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2780aebb5f47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tor" sheetId="1" r:id="R087cc7c5f9b94312"/>
    <x:sheet xmlns:r="http://schemas.openxmlformats.org/officeDocument/2006/relationships" name="Parameters" sheetId="2" r:id="R88ea98c7348d499c"/>
    <x:sheet xmlns:r="http://schemas.openxmlformats.org/officeDocument/2006/relationships" name="Calculation" sheetId="3" r:id="R94dbab01825f4cd3"/>
    <x:sheet xmlns:r="http://schemas.openxmlformats.org/officeDocument/2006/relationships" name="Map Points" sheetId="4" r:id="R17adcafb18a74f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00"/>
    <x:numFmt numFmtId="202" formatCode="0.00"/>
    <x:numFmt numFmtId="203" formatCode="0.000000"/>
  </x:numFmts>
  <x:fonts count="13">
    <x:font>
      <x:sz val="11"/>
      <x:name val="Carlito"/>
    </x:font>
    <x:font>
      <x:b/>
      <x:sz val="16"/>
      <x:color rgb="FF17365D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b/>
      <x:sz val="12"/>
      <x:color rgb="FF17365D"/>
      <x:name val="Arial"/>
    </x:font>
    <x:font>
      <x:b/>
      <x:sz val="10"/>
      <x:color rgb="FF17365D"/>
      <x:name val="Arial"/>
    </x:font>
    <x:font>
      <x:sz val="9"/>
      <x:color rgb="FF5B6573"/>
      <x:name val="Arial"/>
    </x:font>
    <x:font>
      <x:sz val="11"/>
      <x:name val="Arial"/>
    </x:font>
    <x:font>
      <x:b/>
      <x:sz val="9"/>
      <x:color rgb="FFFFFFFF"/>
      <x:name val="Arial"/>
    </x:font>
    <x:font>
      <x:b/>
      <x:sz val="9"/>
      <x:color rgb="FF5B6573"/>
      <x:name val="Arial"/>
    </x:font>
    <x:font>
      <x:b/>
      <x:sz val="9"/>
      <x:color rgb="FF17365D"/>
      <x:name val="Arial"/>
    </x:font>
    <x:font>
      <x:b/>
      <x:sz val="11"/>
      <x:color rgb="FF17365D"/>
      <x:name val="Arial"/>
    </x:font>
    <x:font>
      <x:i/>
      <x:sz val="9"/>
      <x:color rgb="FF5B6573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EEF5FB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EEF5FB"/>
      </x:patternFill>
    </x:fill>
  </x:fills>
  <x:borders count="12">
    <x:border/>
    <x:border>
      <x:bottom style="thin">
        <x:color rgb="FF17365D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AAB7C4"/>
      </x:bottom>
    </x:border>
    <x:border>
      <x:top style="thin">
        <x:color rgb="FFAAB7C4"/>
      </x:top>
      <x:bottom style="thin">
        <x:color rgb="FFAAB7C4"/>
      </x:bottom>
    </x:border>
    <x:border>
      <x:left style="thin">
        <x:color rgb="FFAAB7C4"/>
      </x:left>
      <x:top style="thin">
        <x:color rgb="FFAAB7C4"/>
      </x:top>
      <x:bottom style="thin">
        <x:color rgb="FFAAB7C4"/>
      </x:bottom>
    </x:border>
    <x:border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bottom style="thin">
        <x:color rgb="FFD9E1E8"/>
      </x:bottom>
    </x:border>
    <x:border>
      <x:top style="thin">
        <x:color rgb="FFD9E1E8"/>
      </x:top>
      <x:bottom style="thin">
        <x:color rgb="FFD9E1E8"/>
      </x:bottom>
    </x:border>
    <x:border>
      <x:top style="thin">
        <x:color rgb="FFD9E1E8"/>
      </x:top>
    </x:border>
  </x:borders>
  <x:cellStyleXfs count="1">
    <x:xf numFmtId="0" fontId="0" fillId="0" borderId="0"/>
  </x:cellStyleXfs>
  <x:cellXfs count="140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4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3" fillId="3" borderId="0" xfId="0" applyNumberFormat="1" applyFont="1" applyFill="1" applyBorder="1"/>
    <x:xf numFmtId="0" fontId="0" fillId="0" borderId="5" xfId="0" applyNumberFormat="1" applyFont="1" applyFill="1" applyBorder="1"/>
    <x:xf numFmtId="0" fontId="3" fillId="3" borderId="5" xfId="0" applyNumberFormat="1" applyFont="1" applyFill="1" applyBorder="1"/>
    <x:xf numFmtId="0" fontId="0" fillId="0" borderId="6" xfId="0" applyNumberFormat="1" applyFont="1" applyFill="1" applyBorder="1"/>
    <x:xf numFmtId="0" fontId="3" fillId="3" borderId="6" xfId="0" applyNumberFormat="1" applyFont="1" applyFill="1" applyBorder="1"/>
    <x:xf numFmtId="200" fontId="3" fillId="3" borderId="6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4" borderId="0" xfId="0" applyNumberFormat="1" applyFont="1" applyFill="1" applyBorder="1" applyAlignment="1">
      <x:alignment horizontal="right"/>
    </x:xf>
    <x:xf numFmtId="201" fontId="4" fillId="4" borderId="5" xfId="0" applyNumberFormat="1" applyFont="1" applyFill="1" applyBorder="1" applyAlignment="1">
      <x:alignment horizontal="right"/>
    </x:xf>
    <x:xf numFmtId="201" fontId="4" fillId="4" borderId="6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7" xfId="0" applyNumberFormat="1" applyFont="1" applyFill="1" applyBorder="1"/>
    <x:xf numFmtId="0" fontId="5" fillId="5" borderId="6" xfId="0" applyNumberFormat="1" applyFont="1" applyFill="1" applyBorder="1"/>
    <x:xf numFmtId="0" fontId="5" fillId="5" borderId="8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0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vertical="center"/>
    </x:xf>
    <x:xf numFmtId="0" fontId="3" fillId="3" borderId="6" xfId="0" applyNumberFormat="1" applyFont="1" applyFill="1" applyBorder="1" applyAlignment="1">
      <x:alignment vertical="center"/>
    </x:xf>
    <x:xf numFmtId="200" fontId="3" fillId="3" borderId="6" xfId="0" applyNumberFormat="1" applyFont="1" applyFill="1" applyBorder="1" applyAlignment="1">
      <x:alignment vertical="center"/>
    </x:xf>
    <x:xf numFmtId="201" fontId="4" fillId="4" borderId="5" xfId="0" applyNumberFormat="1" applyFont="1" applyFill="1" applyBorder="1" applyAlignment="1">
      <x:alignment horizontal="right" vertical="center"/>
    </x:xf>
    <x:xf numFmtId="201" fontId="4" fillId="4" borderId="6" xfId="0" applyNumberFormat="1" applyFont="1" applyFill="1" applyBorder="1" applyAlignment="1">
      <x:alignment horizontal="right" vertical="center"/>
    </x:xf>
    <x:xf numFmtId="0" fontId="5" fillId="5" borderId="7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5" fillId="5" borderId="8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0"/>
    </x:xf>
    <x:xf numFmtId="0" fontId="2" fillId="2" borderId="2" xfId="0" applyNumberFormat="1" applyFont="1" applyFill="1" applyBorder="1" applyAlignment="1">
      <x:alignment horizontal="left" vertical="center"/>
    </x:xf>
    <x:xf numFmtId="0" fontId="7" fillId="0" borderId="5" xfId="0" applyNumberFormat="1" applyFont="1" applyFill="1" applyBorder="1" applyAlignment="1">
      <x:alignment horizontal="left" vertical="center"/>
    </x:xf>
    <x:xf numFmtId="0" fontId="7" fillId="0" borderId="6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horizontal="left" vertical="center"/>
    </x:xf>
    <x:xf numFmtId="0" fontId="7" fillId="0" borderId="5" xfId="0" applyNumberFormat="1" applyFont="1" applyFill="1" applyBorder="1" applyAlignment="1">
      <x:alignment horizontal="center" vertical="center"/>
    </x:xf>
    <x:xf numFmtId="0" fontId="7" fillId="0" borderId="6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202" fontId="0" fillId="0" borderId="5" xfId="0" applyNumberFormat="1" applyFont="1" applyFill="1" applyBorder="1"/>
    <x:xf numFmtId="202" fontId="0" fillId="0" borderId="6" xfId="0" applyNumberFormat="1" applyFont="1" applyFill="1" applyBorder="1"/>
    <x:xf numFmtId="0" fontId="9" fillId="5" borderId="0" xfId="0" applyNumberFormat="1" applyFont="1" applyFill="1" applyBorder="1"/>
    <x:xf numFmtId="203" fontId="0" fillId="0" borderId="0" xfId="0" applyNumberFormat="1" applyFont="1" applyFill="1" applyBorder="1"/>
    <x:xf numFmtId="203" fontId="0" fillId="0" borderId="6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203" fontId="7" fillId="0" borderId="6" xfId="0" applyNumberFormat="1" applyFont="1" applyFill="1" applyBorder="1"/>
    <x:xf numFmtId="203" fontId="7" fillId="0" borderId="0" xfId="0" applyNumberFormat="1" applyFont="1" applyFill="1" applyBorder="1"/>
    <x:xf numFmtId="203" fontId="10" fillId="5" borderId="0" xfId="0" applyNumberFormat="1" applyFont="1" applyFill="1" applyBorder="1" applyAlignment="1">
      <x:alignment horizontal="center"/>
    </x:xf>
    <x:xf numFmtId="203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2" xfId="0" applyNumberFormat="1" applyFont="1" applyFill="1" applyBorder="1"/>
    <x:xf numFmtId="0" fontId="2" fillId="7" borderId="3" xfId="0" applyNumberFormat="1" applyFont="1" applyFill="1" applyBorder="1"/>
    <x:xf numFmtId="0" fontId="2" fillId="7" borderId="4" xfId="0" applyNumberFormat="1" applyFont="1" applyFill="1" applyBorder="1"/>
    <x:xf numFmtId="0" fontId="2" fillId="7" borderId="2" xfId="0" applyNumberFormat="1" applyFont="1" applyFill="1" applyBorder="1" applyAlignment="1">
      <x:alignment horizontal="center"/>
    </x:xf>
    <x:xf numFmtId="0" fontId="2" fillId="7" borderId="3" xfId="0" applyNumberFormat="1" applyFont="1" applyFill="1" applyBorder="1" applyAlignment="1">
      <x:alignment horizontal="center"/>
    </x:xf>
    <x:xf numFmtId="0" fontId="2" fillId="7" borderId="4" xfId="0" applyNumberFormat="1" applyFont="1" applyFill="1" applyBorder="1" applyAlignment="1">
      <x:alignment horizontal="center"/>
    </x:xf>
    <x:xf numFmtId="0" fontId="2" fillId="7" borderId="2" xfId="0" applyNumberFormat="1" applyFont="1" applyFill="1" applyBorder="1" applyAlignment="1">
      <x:alignment horizontal="center" vertical="center"/>
    </x:xf>
    <x:xf numFmtId="0" fontId="2" fillId="7" borderId="3" xfId="0" applyNumberFormat="1" applyFont="1" applyFill="1" applyBorder="1" applyAlignment="1">
      <x:alignment horizontal="center" vertical="center"/>
    </x:xf>
    <x:xf numFmtId="0" fontId="2" fillId="7" borderId="4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200" fontId="11" fillId="9" borderId="0" xfId="0" applyNumberFormat="1" applyFont="1" applyFill="1" applyBorder="1"/>
    <x:xf numFmtId="200" fontId="11" fillId="9" borderId="0" xfId="0" applyNumberFormat="1" applyFont="1" applyFill="1" applyBorder="1" applyAlignment="1">
      <x:alignment horizontal="right"/>
    </x:xf>
    <x:xf numFmtId="200" fontId="3" fillId="8" borderId="0" xfId="0" applyNumberFormat="1" applyFont="1" applyFill="1" applyBorder="1"/>
    <x:xf numFmtId="0" fontId="3" fillId="8" borderId="5" xfId="0" applyNumberFormat="1" applyFont="1" applyFill="1" applyBorder="1"/>
    <x:xf numFmtId="0" fontId="3" fillId="8" borderId="6" xfId="0" applyNumberFormat="1" applyFont="1" applyFill="1" applyBorder="1"/>
    <x:xf numFmtId="200" fontId="3" fillId="8" borderId="6" xfId="0" applyNumberFormat="1" applyFont="1" applyFill="1" applyBorder="1"/>
    <x:xf numFmtId="200" fontId="11" fillId="9" borderId="6" xfId="0" applyNumberFormat="1" applyFont="1" applyFill="1" applyBorder="1" applyAlignment="1">
      <x:alignment horizontal="right"/>
    </x:xf>
    <x:xf numFmtId="0" fontId="4" fillId="9" borderId="0" xfId="0" applyNumberFormat="1" applyFont="1" applyFill="1" applyBorder="1"/>
    <x:xf numFmtId="201" fontId="4" fillId="9" borderId="0" xfId="0" applyNumberFormat="1" applyFont="1" applyFill="1" applyBorder="1"/>
    <x:xf numFmtId="201" fontId="4" fillId="9" borderId="0" xfId="0" applyNumberFormat="1" applyFont="1" applyFill="1" applyBorder="1" applyAlignment="1">
      <x:alignment horizontal="right"/>
    </x:xf>
    <x:xf numFmtId="201" fontId="4" fillId="9" borderId="5" xfId="0" applyNumberFormat="1" applyFont="1" applyFill="1" applyBorder="1" applyAlignment="1">
      <x:alignment horizontal="right"/>
    </x:xf>
    <x:xf numFmtId="201" fontId="4" fillId="9" borderId="6" xfId="0" applyNumberFormat="1" applyFont="1" applyFill="1" applyBorder="1" applyAlignment="1">
      <x:alignment horizontal="right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7" xfId="0" applyNumberFormat="1" applyFont="1" applyFill="1" applyBorder="1"/>
    <x:xf numFmtId="0" fontId="5" fillId="10" borderId="6" xfId="0" applyNumberFormat="1" applyFont="1" applyFill="1" applyBorder="1"/>
    <x:xf numFmtId="0" fontId="5" fillId="10" borderId="8" xfId="0" applyNumberFormat="1" applyFont="1" applyFill="1" applyBorder="1"/>
    <x:xf numFmtId="0" fontId="3" fillId="8" borderId="5" xfId="0" applyNumberFormat="1" applyFont="1" applyFill="1" applyBorder="1" applyAlignment="1">
      <x:alignment vertical="center"/>
    </x:xf>
    <x:xf numFmtId="0" fontId="3" fillId="8" borderId="6" xfId="0" applyNumberFormat="1" applyFont="1" applyFill="1" applyBorder="1" applyAlignment="1">
      <x:alignment vertical="center"/>
    </x:xf>
    <x:xf numFmtId="200" fontId="3" fillId="8" borderId="6" xfId="0" applyNumberFormat="1" applyFont="1" applyFill="1" applyBorder="1" applyAlignment="1">
      <x:alignment vertical="center"/>
    </x:xf>
    <x:xf numFmtId="200" fontId="11" fillId="9" borderId="6" xfId="0" applyNumberFormat="1" applyFont="1" applyFill="1" applyBorder="1" applyAlignment="1">
      <x:alignment horizontal="right" vertical="center"/>
    </x:xf>
    <x:xf numFmtId="201" fontId="4" fillId="9" borderId="5" xfId="0" applyNumberFormat="1" applyFont="1" applyFill="1" applyBorder="1" applyAlignment="1">
      <x:alignment horizontal="right" vertical="center"/>
    </x:xf>
    <x:xf numFmtId="201" fontId="4" fillId="9" borderId="6" xfId="0" applyNumberFormat="1" applyFont="1" applyFill="1" applyBorder="1" applyAlignment="1">
      <x:alignment horizontal="right" vertical="center"/>
    </x:xf>
    <x:xf numFmtId="0" fontId="5" fillId="10" borderId="7" xfId="0" applyNumberFormat="1" applyFont="1" applyFill="1" applyBorder="1" applyAlignment="1">
      <x:alignment vertical="center"/>
    </x:xf>
    <x:xf numFmtId="0" fontId="5" fillId="10" borderId="6" xfId="0" applyNumberFormat="1" applyFont="1" applyFill="1" applyBorder="1" applyAlignment="1">
      <x:alignment vertical="center"/>
    </x:xf>
    <x:xf numFmtId="0" fontId="5" fillId="10" borderId="8" xfId="0" applyNumberFormat="1" applyFont="1" applyFill="1" applyBorder="1" applyAlignment="1">
      <x:alignment vertical="center"/>
    </x:xf>
    <x:xf numFmtId="0" fontId="2" fillId="7" borderId="2" xfId="0" applyNumberFormat="1" applyFont="1" applyFill="1" applyBorder="1" applyAlignment="1">
      <x:alignment horizontal="left" vertical="center"/>
    </x:xf>
    <x:xf numFmtId="0" fontId="12" fillId="0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horizont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11" borderId="0" xfId="0" applyNumberFormat="1" applyFont="1" applyFill="1" applyBorder="1"/>
    <x:xf numFmtId="202" fontId="0" fillId="0" borderId="9" xfId="0" applyNumberFormat="1" applyFont="1" applyFill="1" applyBorder="1"/>
    <x:xf numFmtId="202" fontId="0" fillId="0" borderId="10" xfId="0" applyNumberFormat="1" applyFont="1" applyFill="1" applyBorder="1"/>
    <x:xf numFmtId="202" fontId="0" fillId="0" borderId="11" xfId="0" applyNumberFormat="1" applyFont="1" applyFill="1" applyBorder="1"/>
    <x:xf numFmtId="202" fontId="0" fillId="11" borderId="0" xfId="0" applyNumberFormat="1" applyFont="1" applyFill="1" applyBorder="1"/>
    <x:xf numFmtId="0" fontId="7" fillId="0" borderId="9" xfId="0" applyNumberFormat="1" applyFont="1" applyFill="1" applyBorder="1"/>
    <x:xf numFmtId="202" fontId="7" fillId="0" borderId="9" xfId="0" applyNumberFormat="1" applyFont="1" applyFill="1" applyBorder="1"/>
    <x:xf numFmtId="0" fontId="7" fillId="11" borderId="0" xfId="0" applyNumberFormat="1" applyFont="1" applyFill="1" applyBorder="1"/>
    <x:xf numFmtId="202" fontId="7" fillId="11" borderId="0" xfId="0" applyNumberFormat="1" applyFont="1" applyFill="1" applyBorder="1"/>
    <x:xf numFmtId="0" fontId="7" fillId="0" borderId="10" xfId="0" applyNumberFormat="1" applyFont="1" applyFill="1" applyBorder="1"/>
    <x:xf numFmtId="202" fontId="7" fillId="0" borderId="10" xfId="0" applyNumberFormat="1" applyFont="1" applyFill="1" applyBorder="1"/>
    <x:xf numFmtId="0" fontId="7" fillId="0" borderId="11" xfId="0" applyNumberFormat="1" applyFont="1" applyFill="1" applyBorder="1"/>
    <x:xf numFmtId="202" fontId="7" fillId="0" borderId="1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23c7774e764829" /><Relationship Type="http://schemas.openxmlformats.org/officeDocument/2006/relationships/theme" Target="/xl/theme/theme1.xml" Id="Rb9c0572e9b1841f6" /><Relationship Type="http://schemas.openxmlformats.org/officeDocument/2006/relationships/sharedStrings" Target="/xl/sharedStrings.xml" Id="Ra4a8186b37aa491f" /><Relationship Type="http://schemas.openxmlformats.org/officeDocument/2006/relationships/worksheet" Target="/xl/worksheets/sheet1.xml" Id="R087cc7c5f9b94312" /><Relationship Type="http://schemas.openxmlformats.org/officeDocument/2006/relationships/worksheet" Target="/xl/worksheets/sheet2.xml" Id="R88ea98c7348d499c" /><Relationship Type="http://schemas.openxmlformats.org/officeDocument/2006/relationships/worksheet" Target="/xl/worksheets/sheet3.xml" Id="R94dbab01825f4cd3" /><Relationship Type="http://schemas.openxmlformats.org/officeDocument/2006/relationships/worksheet" Target="/xl/worksheets/sheet4.xml" Id="R17adcafb18a74f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8" hidden="0" customWidth="1"/>
    <x:col min="2" max="2" width="64" hidden="0" customWidth="1"/>
    <x:col min="3" max="3" width="13" hidden="0" customWidth="1"/>
    <x:col min="4" max="4" width="15" hidden="0" customWidth="1"/>
    <x:col min="5" max="5" width="15" hidden="0" customWidth="1"/>
    <x:col min="6" max="6" width="15" hidden="0" customWidth="1"/>
    <x:col min="7" max="7" width="2" hidden="0" customWidth="1"/>
  </x:cols>
  <x:sheetData>
    <x:row r="1">
      <x:c r="A1" s="39"/>
      <x:c r="B1" s="39"/>
      <x:c r="C1" s="39"/>
      <x:c r="D1" s="39"/>
      <x:c r="E1" s="39"/>
      <x:c r="F1" s="39"/>
      <x:c r="G1" s="39"/>
    </x:row>
    <x:row r="2" ht="24" customHeight="1">
      <x:c r="A2" s="40" t="str">
        <x:v>Map-position elevation and fuze calculator</x:v>
      </x:c>
      <x:c r="B2" s="40"/>
      <x:c r="C2" s="40"/>
      <x:c r="D2" s="40"/>
      <x:c r="E2" s="40"/>
      <x:c r="F2" s="40"/>
      <x:c r="G2" s="40"/>
    </x:row>
    <x:row r="3">
      <x:c r="A3" s="41"/>
      <x:c r="B3" s="41"/>
      <x:c r="C3" s="41"/>
      <x:c r="D3" s="41"/>
      <x:c r="E3" s="41"/>
      <x:c r="F3" s="41"/>
      <x:c r="G3" s="41"/>
    </x:row>
    <x:row r="4">
      <x:c r="A4" s="39"/>
      <x:c r="B4" s="39"/>
      <x:c r="C4" s="39"/>
      <x:c r="D4" s="39"/>
      <x:c r="E4" s="39"/>
      <x:c r="F4" s="39"/>
      <x:c r="G4" s="39"/>
    </x:row>
    <x:row r="5" ht="22" customHeight="1">
      <x:c r="A5" s="118" t="str">
        <x:v>INPUTS</x:v>
      </x:c>
      <x:c r="B5" s="86" t="str">
        <x:v>VALUE</x:v>
      </x:c>
      <x:c r="C5" s="87" t="str">
        <x:v>UNIT</x:v>
      </x:c>
      <x:c r="D5" s="39"/>
      <x:c r="E5" s="39"/>
      <x:c r="F5" s="39"/>
      <x:c r="G5" s="39"/>
    </x:row>
    <x:row r="6">
      <x:c r="A6" s="54" t="str">
        <x:v>Cannon</x:v>
      </x:c>
      <x:c r="B6" s="109" t="str">
        <x:v>3-inch Ordnance</x:v>
      </x:c>
      <x:c r="C6" s="57" t="str">
        <x:v>profile</x:v>
      </x:c>
      <x:c r="D6" s="39"/>
      <x:c r="E6" s="39"/>
      <x:c r="F6" s="39"/>
      <x:c r="G6" s="39"/>
    </x:row>
    <x:row r="7">
      <x:c r="A7" s="55" t="str">
        <x:v>Ammunition</x:v>
      </x:c>
      <x:c r="B7" s="110" t="str">
        <x:v>Shell</x:v>
      </x:c>
      <x:c r="C7" s="58" t="str">
        <x:v>profile</x:v>
      </x:c>
      <x:c r="D7" s="39"/>
      <x:c r="E7" s="39"/>
      <x:c r="F7" s="39"/>
      <x:c r="G7" s="39"/>
    </x:row>
    <x:row r="8">
      <x:c r="A8" s="55" t="str">
        <x:v>Range source</x:v>
      </x:c>
      <x:c r="B8" s="110" t="str">
        <x:v>Map positions</x:v>
      </x:c>
      <x:c r="C8" s="58" t="str">
        <x:v>mode</x:v>
      </x:c>
      <x:c r="D8" s="39"/>
      <x:c r="E8" s="39"/>
      <x:c r="F8" s="39"/>
      <x:c r="G8" s="39"/>
    </x:row>
    <x:row r="9">
      <x:c r="A9" s="55" t="str">
        <x:v>Map</x:v>
      </x:c>
      <x:c r="B9" s="110" t="str">
        <x:v>Antietam | Conquest | Smokestacks</x:v>
      </x:c>
      <x:c r="C9" s="58" t="str">
        <x:v>selection</x:v>
      </x:c>
      <x:c r="D9" s="39"/>
      <x:c r="E9" s="39"/>
      <x:c r="F9" s="39"/>
      <x:c r="G9" s="39"/>
    </x:row>
    <x:row r="10">
      <x:c r="A10" s="55" t="str">
        <x:v>Gun position</x:v>
      </x:c>
      <x:c r="B10" s="110" t="str">
        <x:v>Spawn | USA CQ1_Spawnpoint_USA_Infantry_1 [map-1/001]</x:v>
      </x:c>
      <x:c r="C10" s="58" t="str">
        <x:v>map point</x:v>
      </x:c>
      <x:c r="D10" s="39"/>
      <x:c r="E10" s="39"/>
      <x:c r="F10" s="39"/>
      <x:c r="G10" s="39"/>
    </x:row>
    <x:row r="11" ht="22" customHeight="1">
      <x:c r="A11" s="55" t="str">
        <x:v>Target position</x:v>
      </x:c>
      <x:c r="B11" s="110" t="str">
        <x:v>Artillery | USA CQ1_Spawnpoint_USA_Artillery_Forward [map-1/002]</x:v>
      </x:c>
      <x:c r="C11" s="58" t="str">
        <x:v>map point</x:v>
      </x:c>
      <x:c r="D11" s="39"/>
      <x:c r="E11" s="39"/>
      <x:c r="F11" s="39"/>
      <x:c r="G11" s="39"/>
    </x:row>
    <x:row r="12">
      <x:c r="A12" s="55" t="str">
        <x:v>Manual range</x:v>
      </x:c>
      <x:c r="B12" s="111" t="n">
        <x:v>300</x:v>
      </x:c>
      <x:c r="C12" s="58" t="str">
        <x:v>yd</x:v>
      </x:c>
      <x:c r="D12" s="39"/>
      <x:c r="E12" s="39"/>
      <x:c r="F12" s="39"/>
      <x:c r="G12" s="39"/>
    </x:row>
    <x:row r="13">
      <x:c r="A13" s="55" t="str">
        <x:v>Active range</x:v>
      </x:c>
      <x:c r="B13" s="112" t="n">
        <x:f>IF(B8="Manual range",B12,IF(OR(B9="",B10="",B11=""),"",IF(B10=B11,0,IFERROR(SQRT((SUMIF('Map Points'!$B$6:$B$2148,B11,'Map Points'!$F$6:$F$2148)-SUMIF('Map Points'!$B$6:$B$2148,B10,'Map Points'!$F$6:$F$2148))^2+(SUMIF('Map Points'!$B$6:$B$2148,B11,'Map Points'!$G$6:$G$2148)-SUMIF('Map Points'!$B$6:$B$2148,B10,'Map Points'!$G$6:$G$2148))^2)*'Parameters'!B12,""))))</x:f>
        <x:v>557.4949816074703</x:v>
      </x:c>
      <x:c r="C13" s="58" t="str">
        <x:v>yd</x:v>
      </x:c>
      <x:c r="D13" s="39"/>
      <x:c r="E13" s="39"/>
      <x:c r="F13" s="39"/>
      <x:c r="G13" s="39"/>
    </x:row>
    <x:row r="14">
      <x:c r="A14" s="56"/>
      <x:c r="B14" s="39"/>
      <x:c r="C14" s="59"/>
      <x:c r="D14" s="39"/>
      <x:c r="E14" s="39"/>
      <x:c r="F14" s="39"/>
      <x:c r="G14" s="39"/>
    </x:row>
    <x:row r="15">
      <x:c r="A15" s="56"/>
      <x:c r="B15" s="39"/>
      <x:c r="C15" s="59"/>
      <x:c r="D15" s="39"/>
      <x:c r="E15" s="39"/>
      <x:c r="F15" s="39"/>
      <x:c r="G15" s="39"/>
    </x:row>
    <x:row r="16" ht="22" customHeight="1">
      <x:c r="A16" s="118" t="str">
        <x:v>RESULTS</x:v>
      </x:c>
      <x:c r="B16" s="86" t="str">
        <x:v>VALUE</x:v>
      </x:c>
      <x:c r="C16" s="87" t="str">
        <x:v>UNIT</x:v>
      </x:c>
      <x:c r="D16" s="39"/>
      <x:c r="E16" s="39"/>
      <x:c r="F16" s="39"/>
      <x:c r="G16" s="39"/>
    </x:row>
    <x:row r="17">
      <x:c r="A17" s="54" t="str">
        <x:v>Ground elevation</x:v>
      </x:c>
      <x:c r="B17" s="113" t="n">
        <x:f>IF(B13="","",IF('Calculation'!B20,('Calculation'!B143+'Calculation'!C143)/2,"No solution"))</x:f>
        <x:v>0.4556202650245943</x:v>
      </x:c>
      <x:c r="C17" s="57" t="str">
        <x:v>°</x:v>
      </x:c>
      <x:c r="D17" s="39"/>
      <x:c r="E17" s="39"/>
      <x:c r="F17" s="39"/>
      <x:c r="G17" s="39"/>
    </x:row>
    <x:row r="18">
      <x:c r="A18" s="55" t="str">
        <x:v>Airburst elevation (+1 m)</x:v>
      </x:c>
      <x:c r="B18" s="114" t="n">
        <x:f>IF(B13="","",IF('Calculation'!B21,('Calculation'!I143+'Calculation'!J143)/2,"No solution"))</x:f>
        <x:v>0.5680576562671662</x:v>
      </x:c>
      <x:c r="C18" s="58" t="str">
        <x:v>°</x:v>
      </x:c>
      <x:c r="D18" s="39"/>
      <x:c r="E18" s="39"/>
      <x:c r="F18" s="39"/>
      <x:c r="G18" s="39"/>
    </x:row>
    <x:row r="19">
      <x:c r="A19" s="55" t="str">
        <x:v>Ground fuze</x:v>
      </x:c>
      <x:c r="B19" s="114" t="n">
        <x:f>IF(B13="","",IF('Calculation'!B20,'Calculation'!B148,"No solution"))</x:f>
        <x:v>1.4826218189923157</x:v>
      </x:c>
      <x:c r="C19" s="58" t="str">
        <x:v>s</x:v>
      </x:c>
      <x:c r="D19" s="39"/>
      <x:c r="E19" s="39"/>
      <x:c r="F19" s="39"/>
      <x:c r="G19" s="39"/>
    </x:row>
    <x:row r="20">
      <x:c r="A20" s="55" t="str">
        <x:v>Airburst fuze (+1 m)</x:v>
      </x:c>
      <x:c r="B20" s="114" t="n">
        <x:f>IF(B13="","",IF('Calculation'!B21,'Calculation'!H148,"No solution"))</x:f>
        <x:v>1.4826761167067841</x:v>
      </x:c>
      <x:c r="C20" s="58" t="str">
        <x:v>s</x:v>
      </x:c>
      <x:c r="D20" s="39"/>
      <x:c r="E20" s="39"/>
      <x:c r="F20" s="39"/>
      <x:c r="G20" s="39"/>
    </x:row>
    <x:row r="21">
      <x:c r="A21" s="39"/>
      <x:c r="B21" s="39"/>
      <x:c r="C21" s="39"/>
      <x:c r="D21" s="39"/>
      <x:c r="E21" s="39"/>
      <x:c r="F21" s="39"/>
      <x:c r="G21" s="39"/>
    </x:row>
    <x:row r="22">
      <x:c r="A22" s="39"/>
      <x:c r="B22" s="39"/>
      <x:c r="C22" s="39"/>
      <x:c r="D22" s="39"/>
      <x:c r="E22" s="39"/>
      <x:c r="F22" s="39"/>
      <x:c r="G22" s="39"/>
    </x:row>
    <x:row r="23">
      <x:c r="A23" s="115" t="str">
        <x:v>USAGE NOTES</x:v>
      </x:c>
      <x:c r="B23" s="116" t="str"/>
      <x:c r="C23" s="116" t="str"/>
      <x:c r="D23" s="116" t="str"/>
      <x:c r="E23" s="116" t="str"/>
      <x:c r="F23" s="117" t="str"/>
      <x:c r="G23" s="39"/>
    </x:row>
    <x:row r="24">
      <x:c r="A24" s="52" t="str">
        <x:v>Choose Map positions to calculate range from the selected gun and target points.</x:v>
      </x:c>
      <x:c r="B24" s="52" t="str"/>
      <x:c r="C24" s="52" t="str"/>
      <x:c r="D24" s="52" t="str"/>
      <x:c r="E24" s="52" t="str"/>
      <x:c r="F24" s="52" t="str"/>
      <x:c r="G24" s="39"/>
    </x:row>
    <x:row r="25">
      <x:c r="A25" s="52" t="str">
        <x:v>The workbook includes 99 maps and 2,143 extracted spawns, artillery positions, objectives, and gun spawns.</x:v>
      </x:c>
      <x:c r="B25" s="52" t="str"/>
      <x:c r="C25" s="52" t="str"/>
      <x:c r="D25" s="52" t="str"/>
      <x:c r="E25" s="52" t="str"/>
      <x:c r="F25" s="52" t="str"/>
    </x:row>
    <x:row r="26">
      <x:c r="A26" s="52" t="str">
        <x:v>Map-point distance uses the game world coordinates and is converted from metres to yards.</x:v>
      </x:c>
      <x:c r="B26" s="52" t="str"/>
      <x:c r="C26" s="52" t="str"/>
      <x:c r="D26" s="52" t="str"/>
      <x:c r="E26" s="52" t="str"/>
      <x:c r="F26" s="52" t="str"/>
    </x:row>
    <x:row r="27">
      <x:c r="A27" s="52" t="str">
        <x:v>The ballistic solution remains flat-ground: stored point elevations are shown in Map Points but are not applied.</x:v>
      </x:c>
      <x:c r="B27" s="52" t="str"/>
      <x:c r="C27" s="52" t="str"/>
      <x:c r="D27" s="52" t="str"/>
      <x:c r="E27" s="52" t="str"/>
      <x:c r="F27" s="52" t="str"/>
    </x:row>
    <x:row r="28">
      <x:c r="A28" s="52" t="str">
        <x:v>Choose Manual range to enter a horizontal distance directly in yards.</x:v>
      </x:c>
      <x:c r="B28" s="52" t="str"/>
      <x:c r="C28" s="52" t="str"/>
      <x:c r="D28" s="52" t="str"/>
      <x:c r="E28" s="52" t="str"/>
      <x:c r="F28" s="52" t="str"/>
    </x:row>
    <x:row r="29">
      <x:c r="A29" s="52" t="str">
        <x:v>Edit only the yellow cells; active range and firing results recalculate in Excel.</x:v>
      </x:c>
      <x:c r="B29" s="52" t="str"/>
      <x:c r="C29" s="52" t="str"/>
      <x:c r="D29" s="52" t="str"/>
      <x:c r="E29" s="52" t="str"/>
      <x:c r="F29" s="52" t="str"/>
    </x:row>
    <x:row r="30">
      <x:c r="A30" s="39"/>
      <x:c r="B30" s="39"/>
      <x:c r="C30" s="39"/>
      <x:c r="D30" s="39"/>
      <x:c r="E30" s="39"/>
      <x:c r="F30" s="39"/>
    </x:row>
  </x:sheetData>
  <x:dataValidations count="6">
    <x:dataValidation type="list" sqref="B6">
      <x:formula1>"3-inch Ordnance,10-pounder Parrott,12-pounder Napoleon"</x:formula1>
    </x:dataValidation>
    <x:dataValidation type="list" sqref="B7">
      <x:formula1>"Shell,Case"</x:formula1>
    </x:dataValidation>
    <x:dataValidation type="list" sqref="B8">
      <x:formula1>"Map positions,Manual range"</x:formula1>
    </x:dataValidation>
    <x:dataValidation type="list" sqref="B9">
      <x:formula1>'Map Points'!$T$6:$T$104</x:formula1>
    </x:dataValidation>
    <x:dataValidation type="list" sqref="B10:B11">
      <x:formula1>'Map Points'!$M$6:$M$52</x:formula1>
    </x:dataValidation>
    <x:dataValidation type="decimal" operator="greaterThan" sqref="B12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6E4F0"/>
  </x:sheetPr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2" ht="24" customHeight="1">
      <x:c r="A2" s="1" t="str">
        <x:v>Model parameters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5" ht="32" customHeight="1">
      <x:c r="A5" s="63" t="str">
        <x:v>Cannon</x:v>
      </x:c>
      <x:c r="B5" s="63" t="str">
        <x:v>Shell speed</x:v>
      </x:c>
      <x:c r="C5" s="63" t="str">
        <x:v>Shell drag</x:v>
      </x:c>
      <x:c r="D5" s="63" t="str">
        <x:v>Case speed</x:v>
      </x:c>
      <x:c r="E5" s="63" t="str">
        <x:v>Case drag</x:v>
      </x:c>
      <x:c r="F5" s="63" t="str">
        <x:v>Launch height</x:v>
      </x:c>
      <x:c r="G5" s="63" t="str">
        <x:v>Forward offset</x:v>
      </x:c>
      <x:c r="H5" s="63" t="str">
        <x:v>Angle offset</x:v>
      </x:c>
      <x:c r="I5" s="63" t="str">
        <x:v>Min. display</x:v>
      </x:c>
      <x:c r="J5" s="63" t="str">
        <x:v>Max. display</x:v>
      </x:c>
    </x:row>
    <x:row r="6">
      <x:c r="A6" s="17" t="str">
        <x:v>3-inch Ordnance</x:v>
      </x:c>
      <x:c r="B6" s="64" t="n">
        <x:v>370</x:v>
      </x:c>
      <x:c r="C6" s="64" t="n">
        <x:v>0.1</x:v>
      </x:c>
      <x:c r="D6" s="64" t="n">
        <x:v>375</x:v>
      </x:c>
      <x:c r="E6" s="64" t="n">
        <x:v>0.1</x:v>
      </x:c>
      <x:c r="F6" s="64" t="n">
        <x:v>1.2</x:v>
      </x:c>
      <x:c r="G6" s="64" t="n">
        <x:v>0</x:v>
      </x:c>
      <x:c r="H6" s="64" t="n">
        <x:v>0.48</x:v>
      </x:c>
      <x:c r="I6" s="64" t="n">
        <x:v>-8</x:v>
      </x:c>
      <x:c r="J6" s="64" t="n">
        <x:v>13.7</x:v>
      </x:c>
    </x:row>
    <x:row r="7">
      <x:c r="A7" s="19" t="str">
        <x:v>10-pounder Parrott</x:v>
      </x:c>
      <x:c r="B7" s="65" t="n">
        <x:v>370</x:v>
      </x:c>
      <x:c r="C7" s="65" t="n">
        <x:v>0.1</x:v>
      </x:c>
      <x:c r="D7" s="65" t="n">
        <x:v>375</x:v>
      </x:c>
      <x:c r="E7" s="65" t="n">
        <x:v>0.1</x:v>
      </x:c>
      <x:c r="F7" s="65" t="n">
        <x:v>1.2</x:v>
      </x:c>
      <x:c r="G7" s="65" t="n">
        <x:v>0</x:v>
      </x:c>
      <x:c r="H7" s="65" t="n">
        <x:v>0.48</x:v>
      </x:c>
      <x:c r="I7" s="65" t="n">
        <x:v>-8</x:v>
      </x:c>
      <x:c r="J7" s="65" t="n">
        <x:v>10.5</x:v>
      </x:c>
    </x:row>
    <x:row r="8">
      <x:c r="A8" s="19" t="str">
        <x:v>12-pounder Napoleon</x:v>
      </x:c>
      <x:c r="B8" s="65" t="n">
        <x:v>439</x:v>
      </x:c>
      <x:c r="C8" s="65" t="n">
        <x:v>0.31</x:v>
      </x:c>
      <x:c r="D8" s="65" t="n">
        <x:v>439</x:v>
      </x:c>
      <x:c r="E8" s="65" t="n">
        <x:v>0.31</x:v>
      </x:c>
      <x:c r="F8" s="65" t="n">
        <x:v>1.2</x:v>
      </x:c>
      <x:c r="G8" s="65" t="n">
        <x:v>0</x:v>
      </x:c>
      <x:c r="H8" s="65" t="n">
        <x:v>0.48</x:v>
      </x:c>
      <x:c r="I8" s="65" t="n">
        <x:v>-8</x:v>
      </x:c>
      <x:c r="J8" s="65" t="n">
        <x:v>13.6</x:v>
      </x:c>
    </x:row>
    <x:row r="11">
      <x:c r="A11" s="29" t="str">
        <x:v>Constant</x:v>
      </x:c>
      <x:c r="B11" s="29" t="str">
        <x:v>Value</x:v>
      </x:c>
    </x:row>
    <x:row r="12">
      <x:c r="A12" s="17" t="str">
        <x:v>Metres to yards</x:v>
      </x:c>
      <x:c r="B12" s="17" t="n">
        <x:v>1.0936132983377078</x:v>
      </x:c>
    </x:row>
    <x:row r="13">
      <x:c r="A13" s="19" t="str">
        <x:v>Gravity (m/s²)</x:v>
      </x:c>
      <x:c r="B13" s="19" t="n">
        <x:v>9.1</x:v>
      </x:c>
    </x:row>
    <x:row r="14">
      <x:c r="A14" s="19" t="str">
        <x:v>Airburst height (m)</x:v>
      </x:c>
      <x:c r="B14" s="19" t="n">
        <x:v>1</x:v>
      </x:c>
    </x:row>
    <x:row r="15">
      <x:c r="A15" s="19" t="str">
        <x:v>Ternary iterations</x:v>
      </x:c>
      <x:c r="B15" s="19" t="n">
        <x:v>50</x:v>
      </x:c>
    </x:row>
    <x:row r="16">
      <x:c r="A16" s="19" t="str">
        <x:v>Bisection iterations</x:v>
      </x:c>
      <x:c r="B16" s="19" t="n">
        <x:v>65</x:v>
      </x:c>
    </x:row>
    <x:row r="19">
      <x:c r="A19" s="29" t="str">
        <x:v>Method</x:v>
      </x:c>
      <x:c r="B19" s="29" t="str"/>
      <x:c r="C19" s="29" t="str"/>
      <x:c r="D19" s="29" t="str"/>
      <x:c r="E19" s="29" t="str"/>
      <x:c r="F19" s="29" t="str"/>
      <x:c r="G19" s="29" t="str"/>
      <x:c r="H19" s="29" t="str"/>
      <x:c r="I19" s="29" t="str"/>
      <x:c r="J19" s="29" t="str"/>
    </x:row>
    <x:row r="20">
      <x:c r="A20" s="33" t="str">
        <x:v>The Calculation sheet first finds the maximum height by ternary search, then solves the lower-angle root by bisection.</x:v>
      </x:c>
      <x:c r="B20" s="33" t="str"/>
      <x:c r="C20" s="33" t="str"/>
      <x:c r="D20" s="33" t="str"/>
      <x:c r="E20" s="33" t="str"/>
      <x:c r="F20" s="33" t="str"/>
      <x:c r="G20" s="33" t="str"/>
      <x:c r="H20" s="33" t="str"/>
      <x:c r="I20" s="33" t="str"/>
      <x:c r="J20" s="33" t="str"/>
    </x:row>
    <x:row r="21">
      <x:c r="A21" s="66" t="str">
        <x:v>Source</x:v>
      </x:c>
      <x:c r="B21" s="66" t="str"/>
      <x:c r="C21" s="66" t="str"/>
      <x:c r="D21" s="66" t="str"/>
      <x:c r="E21" s="66" t="str"/>
      <x:c r="F21" s="66" t="str"/>
      <x:c r="G21" s="66" t="str"/>
      <x:c r="H21" s="66" t="str"/>
      <x:c r="I21" s="66" t="str"/>
      <x:c r="J21" s="66" t="str"/>
    </x:row>
    <x:row r="22">
      <x:c r="A22" s="33" t="str">
        <x:v>worCalc unified physics model: projectile profiles, launch geometry, elevation, and flight time. Project state as of September 18, 2026.</x:v>
      </x:c>
      <x:c r="B22" s="33" t="str"/>
      <x:c r="C22" s="33" t="str"/>
      <x:c r="D22" s="33" t="str"/>
      <x:c r="E22" s="33" t="str"/>
      <x:c r="F22" s="33" t="str"/>
      <x:c r="G22" s="33" t="str"/>
      <x:c r="H22" s="33" t="str"/>
      <x:c r="I22" s="33" t="str"/>
      <x:c r="J22" s="3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>
      <x:c r="A1" s="35"/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</x:row>
    <x:row r="2">
      <x:c r="A2" s="1" t="str">
        <x:v>Physics calculation and numerical solution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</x:row>
    <x:row r="4">
      <x:c r="A4" s="35"/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</x:row>
    <x:row r="5">
      <x:c r="A5" s="4" t="str">
        <x:v>Input/constant</x:v>
      </x:c>
      <x:c r="B5" s="4" t="str">
        <x:v>Value</x:v>
      </x:c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</x:row>
    <x:row r="6">
      <x:c r="A6" s="37" t="str">
        <x:v>Cannon</x:v>
      </x:c>
      <x:c r="B6" s="37" t="str">
        <x:f>'Calculator'!B6</x:f>
        <x:v>3-inch Ordnance</x:v>
      </x:c>
      <x:c r="C6" s="37"/>
      <x:c r="D6" s="35"/>
      <x:c r="E6" s="35"/>
      <x:c r="F6" s="35"/>
      <x:c r="G6" s="35"/>
      <x:c r="H6" s="35"/>
      <x:c r="I6" s="35"/>
      <x:c r="J6" s="35"/>
      <x:c r="K6" s="35"/>
      <x:c r="L6" s="35"/>
      <x:c r="M6" s="35"/>
    </x:row>
    <x:row r="7">
      <x:c r="A7" s="38" t="str">
        <x:v>Ammunition</x:v>
      </x:c>
      <x:c r="B7" s="38" t="str">
        <x:f>'Calculator'!B7</x:f>
        <x:v>Shell</x:v>
      </x:c>
      <x:c r="C7" s="38"/>
      <x:c r="D7" s="35"/>
      <x:c r="E7" s="35"/>
      <x:c r="F7" s="35"/>
      <x:c r="G7" s="35"/>
      <x:c r="H7" s="35"/>
      <x:c r="I7" s="35"/>
      <x:c r="J7" s="35"/>
      <x:c r="K7" s="35"/>
      <x:c r="L7" s="35"/>
      <x:c r="M7" s="35"/>
    </x:row>
    <x:row r="8">
      <x:c r="A8" s="38" t="str">
        <x:v>Range (yd)</x:v>
      </x:c>
      <x:c r="B8" s="73" t="n">
        <x:f>'Calculator'!B13</x:f>
        <x:v>557.4949816074703</x:v>
      </x:c>
      <x:c r="C8" s="73"/>
      <x:c r="D8" s="74"/>
      <x:c r="E8" s="74"/>
      <x:c r="F8" s="74"/>
      <x:c r="G8" s="74"/>
      <x:c r="H8" s="74"/>
      <x:c r="I8" s="74"/>
      <x:c r="J8" s="74"/>
      <x:c r="K8" s="74"/>
      <x:c r="L8" s="74"/>
      <x:c r="M8" s="74"/>
    </x:row>
    <x:row r="9">
      <x:c r="A9" s="38" t="str">
        <x:v>Speed (m/s)</x:v>
      </x:c>
      <x:c r="B9" s="73" t="n">
        <x:f>IF(B6="12-pounder Napoleon",439,IF(B7="Case",375,370))</x:f>
        <x:v>370</x:v>
      </x:c>
      <x:c r="C9" s="73"/>
      <x:c r="D9" s="74"/>
      <x:c r="E9" s="74"/>
      <x:c r="F9" s="74"/>
      <x:c r="G9" s="74"/>
      <x:c r="H9" s="74"/>
      <x:c r="I9" s="74"/>
      <x:c r="J9" s="74"/>
      <x:c r="K9" s="74"/>
      <x:c r="L9" s="74"/>
      <x:c r="M9" s="74"/>
    </x:row>
    <x:row r="10">
      <x:c r="A10" s="38" t="str">
        <x:v>Drag (1/s)</x:v>
      </x:c>
      <x:c r="B10" s="73" t="n">
        <x:f>IF(B6="12-pounder Napoleon",0.31,0.1)</x:f>
        <x:v>0.1</x:v>
      </x:c>
      <x:c r="C10" s="73"/>
      <x:c r="D10" s="74"/>
      <x:c r="E10" s="74"/>
      <x:c r="F10" s="74"/>
      <x:c r="G10" s="74"/>
      <x:c r="H10" s="74"/>
      <x:c r="I10" s="74"/>
      <x:c r="J10" s="74"/>
      <x:c r="K10" s="74"/>
      <x:c r="L10" s="74"/>
      <x:c r="M10" s="74"/>
    </x:row>
    <x:row r="11">
      <x:c r="A11" s="38" t="str">
        <x:v>Gravity (m/s²)</x:v>
      </x:c>
      <x:c r="B11" s="73" t="n">
        <x:v>9.1</x:v>
      </x:c>
      <x:c r="C11" s="73"/>
      <x:c r="D11" s="74"/>
      <x:c r="E11" s="74"/>
      <x:c r="F11" s="74"/>
      <x:c r="G11" s="74"/>
      <x:c r="H11" s="74"/>
      <x:c r="I11" s="74"/>
      <x:c r="J11" s="74"/>
      <x:c r="K11" s="74"/>
      <x:c r="L11" s="74"/>
      <x:c r="M11" s="74"/>
    </x:row>
    <x:row r="12">
      <x:c r="A12" s="38" t="str">
        <x:v>Metres to yards</x:v>
      </x:c>
      <x:c r="B12" s="73" t="n">
        <x:v>1.0936132983377078</x:v>
      </x:c>
      <x:c r="C12" s="73"/>
      <x:c r="D12" s="74"/>
      <x:c r="E12" s="74"/>
      <x:c r="F12" s="74"/>
      <x:c r="G12" s="74"/>
      <x:c r="H12" s="74"/>
      <x:c r="I12" s="74"/>
      <x:c r="J12" s="74"/>
      <x:c r="K12" s="74"/>
      <x:c r="L12" s="74"/>
      <x:c r="M12" s="74"/>
    </x:row>
    <x:row r="13">
      <x:c r="A13" s="38" t="str">
        <x:v>Launch height (m)</x:v>
      </x:c>
      <x:c r="B13" s="73" t="n">
        <x:v>1.2</x:v>
      </x:c>
      <x:c r="C13" s="73"/>
      <x:c r="D13" s="74"/>
      <x:c r="E13" s="74"/>
      <x:c r="F13" s="74"/>
      <x:c r="G13" s="74"/>
      <x:c r="H13" s="74"/>
      <x:c r="I13" s="74"/>
      <x:c r="J13" s="74"/>
      <x:c r="K13" s="74"/>
      <x:c r="L13" s="74"/>
      <x:c r="M13" s="74"/>
    </x:row>
    <x:row r="14">
      <x:c r="A14" s="38" t="str">
        <x:v>Forward offset (m)</x:v>
      </x:c>
      <x:c r="B14" s="73" t="n">
        <x:v>0</x:v>
      </x:c>
      <x:c r="C14" s="73"/>
      <x:c r="D14" s="74"/>
      <x:c r="E14" s="74"/>
      <x:c r="F14" s="74"/>
      <x:c r="G14" s="74"/>
      <x:c r="H14" s="74"/>
      <x:c r="I14" s="74"/>
      <x:c r="J14" s="74"/>
      <x:c r="K14" s="74"/>
      <x:c r="L14" s="74"/>
      <x:c r="M14" s="74"/>
    </x:row>
    <x:row r="15">
      <x:c r="A15" s="38" t="str">
        <x:v>Angle offset (°)</x:v>
      </x:c>
      <x:c r="B15" s="73" t="n">
        <x:v>0.48</x:v>
      </x:c>
      <x:c r="C15" s="73"/>
      <x:c r="D15" s="74"/>
      <x:c r="E15" s="74"/>
      <x:c r="F15" s="74"/>
      <x:c r="G15" s="74"/>
      <x:c r="H15" s="74"/>
      <x:c r="I15" s="74"/>
      <x:c r="J15" s="74"/>
      <x:c r="K15" s="74"/>
      <x:c r="L15" s="74"/>
      <x:c r="M15" s="74"/>
    </x:row>
    <x:row r="16">
      <x:c r="A16" s="38" t="str">
        <x:v>Range ratio</x:v>
      </x:c>
      <x:c r="B16" s="73" t="n">
        <x:f>IF(B8&gt;0,B8/B12/(B14+B9/B10),1)</x:f>
        <x:v>0.13777659761672187</x:v>
      </x:c>
      <x:c r="C16" s="73"/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</x:row>
    <x:row r="17">
      <x:c r="A17" s="38" t="str">
        <x:v>Physical limit (°)</x:v>
      </x:c>
      <x:c r="B17" s="73" t="n">
        <x:f>IF(AND(B8&gt;0,B16&lt;1),DEGREES(ACOS(B16))-0.00000001,0)</x:f>
        <x:v>82.08079209984436</x:v>
      </x:c>
      <x:c r="C17" s="73"/>
      <x:c r="D17" s="74"/>
      <x:c r="E17" s="74"/>
      <x:c r="F17" s="74"/>
      <x:c r="G17" s="74"/>
      <x:c r="H17" s="74"/>
      <x:c r="I17" s="74"/>
      <x:c r="J17" s="74"/>
      <x:c r="K17" s="74"/>
      <x:c r="L17" s="74"/>
      <x:c r="M17" s="74"/>
    </x:row>
    <x:row r="18">
      <x:c r="A18" s="38" t="str">
        <x:v>Lower angle (°)</x:v>
      </x:c>
      <x:c r="B18" s="73" t="n">
        <x:f>IF(AND(B8&gt;0,B16&lt;1),MAX(-89-B15+0.00000001,-B17-B15),0)</x:f>
        <x:v>-82.56079209984436</x:v>
      </x:c>
      <x:c r="C18" s="73" t="n">
        <x:f>IF(AND(B8&gt;0,B16&lt;1),MIN(89-B15-0.00000001,B17-B15),0)</x:f>
        <x:v>81.60079209984436</x:v>
      </x:c>
      <x:c r="D18" s="74"/>
      <x:c r="E18" s="74"/>
      <x:c r="F18" s="74"/>
      <x:c r="G18" s="74"/>
      <x:c r="H18" s="74"/>
      <x:c r="I18" s="74"/>
      <x:c r="J18" s="74"/>
      <x:c r="K18" s="74"/>
      <x:c r="L18" s="74"/>
      <x:c r="M18" s="74"/>
    </x:row>
    <x:row r="19">
      <x:c r="A19" s="38" t="str">
        <x:v>Upper angle (°)</x:v>
      </x:c>
      <x:c r="B19" s="73" t="n">
        <x:f>C18</x:f>
        <x:v>81.60079209984436</x:v>
      </x:c>
      <x:c r="C19" s="73"/>
      <x:c r="D19" s="74"/>
      <x:c r="E19" s="74"/>
      <x:c r="F19" s="74"/>
      <x:c r="G19" s="74"/>
      <x:c r="H19" s="74"/>
      <x:c r="I19" s="74"/>
      <x:c r="J19" s="74"/>
      <x:c r="K19" s="74"/>
      <x:c r="L19" s="74"/>
      <x:c r="M19" s="74"/>
    </x:row>
    <x:row r="20">
      <x:c r="A20" s="38" t="str">
        <x:v>Ground available</x:v>
      </x:c>
      <x:c r="B20" s="73" t="b">
        <x:f>AND(B8&gt;0,B16&lt;1,B75&gt;=0,B147&lt;=0)</x:f>
        <x:v>1</x:v>
      </x:c>
      <x:c r="C20" s="73"/>
      <x:c r="D20" s="74"/>
      <x:c r="E20" s="74"/>
      <x:c r="F20" s="74"/>
      <x:c r="G20" s="74"/>
      <x:c r="H20" s="74"/>
      <x:c r="I20" s="74"/>
      <x:c r="J20" s="74"/>
      <x:c r="K20" s="74"/>
      <x:c r="L20" s="74"/>
      <x:c r="M20" s="74"/>
    </x:row>
    <x:row r="21">
      <x:c r="A21" s="38" t="str">
        <x:v>Airburst available</x:v>
      </x:c>
      <x:c r="B21" s="73" t="b">
        <x:f>AND(B8&gt;0,B16&lt;1,B75&gt;=1,H147&lt;=1)</x:f>
        <x:v>1</x:v>
      </x:c>
      <x:c r="C21" s="73"/>
      <x:c r="D21" s="74"/>
      <x:c r="E21" s="74"/>
      <x:c r="F21" s="74"/>
      <x:c r="G21" s="74"/>
      <x:c r="H21" s="74"/>
      <x:c r="I21" s="74"/>
      <x:c r="J21" s="74"/>
      <x:c r="K21" s="74"/>
      <x:c r="L21" s="74"/>
      <x:c r="M21" s="74"/>
    </x:row>
    <x:row r="22">
      <x:c r="A22" s="70" t="str">
        <x:v>Iter.</x:v>
      </x:c>
      <x:c r="B22" s="75" t="str">
        <x:v>Left</x:v>
      </x:c>
      <x:c r="C22" s="75" t="str">
        <x:v>Right</x:v>
      </x:c>
      <x:c r="D22" s="75" t="str">
        <x:v>A</x:v>
      </x:c>
      <x:c r="E22" s="75" t="str">
        <x:v>B</x:v>
      </x:c>
      <x:c r="F22" s="75" t="str">
        <x:v>Height A</x:v>
      </x:c>
      <x:c r="G22" s="75" t="str">
        <x:v>Height B</x:v>
      </x:c>
      <x:c r="H22" s="74"/>
      <x:c r="I22" s="74"/>
      <x:c r="J22" s="74"/>
      <x:c r="K22" s="74"/>
      <x:c r="L22" s="74"/>
      <x:c r="M22" s="74"/>
    </x:row>
    <x:row r="23">
      <x:c r="A23" s="35" t="n">
        <x:v>1</x:v>
      </x:c>
      <x:c r="B23" s="74" t="n">
        <x:f>$B$18</x:f>
        <x:v>-82.56079209984436</x:v>
      </x:c>
      <x:c r="C23" s="74" t="n">
        <x:f>$C$18</x:f>
        <x:v>81.60079209984436</x:v>
      </x:c>
      <x:c r="D23" s="74" t="n">
        <x:f>B23+(C23-B23)/3</x:f>
        <x:v>-27.840264033281457</x:v>
      </x:c>
      <x:c r="E23" s="74" t="n">
        <x:f>C23-(C23-B23)/3</x:f>
        <x:v>26.88026403328145</x:v>
      </x:c>
      <x:c r="F23" s="74" t="n">
        <x:f>$B$13+$B$14*SIN(RADIANS(D23+$B$15))+$B$9*SIN(RADIANS(D23+$B$15))*((1-EXP(-$B$10*(-LN(1-$B$10*($B$8/$B$12-$B$14*COS(RADIANS(D23+$B$15)))/($B$9*COS(RADIANS(D23+$B$15))))/$B$10)))/$B$10)-$B$11*(((-LN(1-$B$10*($B$8/$B$12-$B$14*COS(RADIANS(D23+$B$15)))/($B$9*COS(RADIANS(D23+$B$15))))/$B$10)-((1-EXP(-$B$10*(-LN(1-$B$10*($B$8/$B$12-$B$14*COS(RADIANS(D23+$B$15)))/($B$9*COS(RADIANS(D23+$B$15))))/$B$10)))/$B$10))/$B$10)</x:f>
        <x:v>-274.82581137517786</x:v>
      </x:c>
      <x:c r="G23" s="74" t="n">
        <x:f>$B$13+$B$14*SIN(RADIANS(E23+$B$15))+$B$9*SIN(RADIANS(E23+$B$15))*((1-EXP(-$B$10*(-LN(1-$B$10*($B$8/$B$12-$B$14*COS(RADIANS(E23+$B$15)))/($B$9*COS(RADIANS(E23+$B$15))))/$B$10)))/$B$10)-$B$11*(((-LN(1-$B$10*($B$8/$B$12-$B$14*COS(RADIANS(E23+$B$15)))/($B$9*COS(RADIANS(E23+$B$15))))/$B$10)-((1-EXP(-$B$10*(-LN(1-$B$10*($B$8/$B$12-$B$14*COS(RADIANS(E23+$B$15)))/($B$9*COS(RADIANS(E23+$B$15))))/$B$10)))/$B$10))/$B$10)</x:f>
        <x:v>252.76032390077734</x:v>
      </x:c>
      <x:c r="H23" s="74"/>
      <x:c r="I23" s="74"/>
      <x:c r="J23" s="74"/>
      <x:c r="K23" s="74"/>
      <x:c r="L23" s="74"/>
      <x:c r="M23" s="74"/>
    </x:row>
    <x:row r="24">
      <x:c r="A24" s="35" t="n">
        <x:v>2</x:v>
      </x:c>
      <x:c r="B24" s="74" t="n">
        <x:f>IF(F23&lt;G23,D23,B23)</x:f>
        <x:v>-27.840264033281457</x:v>
      </x:c>
      <x:c r="C24" s="74" t="n">
        <x:f>IF(F23&lt;G23,C23,E23)</x:f>
        <x:v>81.60079209984436</x:v>
      </x:c>
      <x:c r="D24" s="74" t="n">
        <x:f>B24+(C24-B24)/3</x:f>
        <x:v>8.640088011093816</x:v>
      </x:c>
      <x:c r="E24" s="74" t="n">
        <x:f>C24-(C24-B24)/3</x:f>
        <x:v>45.12044005546908</x:v>
      </x:c>
      <x:c r="F24" s="74" t="n">
        <x:f>$B$13+$B$14*SIN(RADIANS(D24+$B$15))+$B$9*SIN(RADIANS(D24+$B$15))*((1-EXP(-$B$10*(-LN(1-$B$10*($B$8/$B$12-$B$14*COS(RADIANS(D24+$B$15)))/($B$9*COS(RADIANS(D24+$B$15))))/$B$10)))/$B$10)-$B$11*(((-LN(1-$B$10*($B$8/$B$12-$B$14*COS(RADIANS(D24+$B$15)))/($B$9*COS(RADIANS(D24+$B$15))))/$B$10)-((1-EXP(-$B$10*(-LN(1-$B$10*($B$8/$B$12-$B$14*COS(RADIANS(D24+$B$15)))/($B$9*COS(RADIANS(D24+$B$15))))/$B$10)))/$B$10))/$B$10)</x:f>
        <x:v>73.25488603623495</x:v>
      </x:c>
      <x:c r="G24" s="74" t="n">
        <x:f>$B$13+$B$14*SIN(RADIANS(E24+$B$15))+$B$9*SIN(RADIANS(E24+$B$15))*((1-EXP(-$B$10*(-LN(1-$B$10*($B$8/$B$12-$B$14*COS(RADIANS(E24+$B$15)))/($B$9*COS(RADIANS(E24+$B$15))))/$B$10)))/$B$10)-$B$11*(((-LN(1-$B$10*($B$8/$B$12-$B$14*COS(RADIANS(E24+$B$15)))/($B$9*COS(RADIANS(E24+$B$15))))/$B$10)-((1-EXP(-$B$10*(-LN(1-$B$10*($B$8/$B$12-$B$14*COS(RADIANS(E24+$B$15)))/($B$9*COS(RADIANS(E24+$B$15))))/$B$10)))/$B$10))/$B$10)</x:f>
        <x:v>501.40481615649566</x:v>
      </x:c>
      <x:c r="H24" s="74"/>
      <x:c r="I24" s="74"/>
      <x:c r="J24" s="74"/>
      <x:c r="K24" s="74"/>
      <x:c r="L24" s="74"/>
      <x:c r="M24" s="74"/>
    </x:row>
    <x:row r="25">
      <x:c r="A25" s="35" t="n">
        <x:v>3</x:v>
      </x:c>
      <x:c r="B25" s="74" t="n">
        <x:f>IF(F24&lt;G24,D24,B24)</x:f>
        <x:v>8.640088011093816</x:v>
      </x:c>
      <x:c r="C25" s="74" t="n">
        <x:f>IF(F24&lt;G24,C24,E24)</x:f>
        <x:v>81.60079209984436</x:v>
      </x:c>
      <x:c r="D25" s="74" t="n">
        <x:f>B25+(C25-B25)/3</x:f>
        <x:v>32.96032270734399</x:v>
      </x:c>
      <x:c r="E25" s="74" t="n">
        <x:f>C25-(C25-B25)/3</x:f>
        <x:v>57.28055740359417</x:v>
      </x:c>
      <x:c r="F25" s="74" t="n">
        <x:f>$B$13+$B$14*SIN(RADIANS(D25+$B$15))+$B$9*SIN(RADIANS(D25+$B$15))*((1-EXP(-$B$10*(-LN(1-$B$10*($B$8/$B$12-$B$14*COS(RADIANS(D25+$B$15)))/($B$9*COS(RADIANS(D25+$B$15))))/$B$10)))/$B$10)-$B$11*(((-LN(1-$B$10*($B$8/$B$12-$B$14*COS(RADIANS(D25+$B$15)))/($B$9*COS(RADIANS(D25+$B$15))))/$B$10)-((1-EXP(-$B$10*(-LN(1-$B$10*($B$8/$B$12-$B$14*COS(RADIANS(D25+$B$15)))/($B$9*COS(RADIANS(D25+$B$15))))/$B$10)))/$B$10))/$B$10)</x:f>
        <x:v>323.8846354083986</x:v>
      </x:c>
      <x:c r="G25" s="74" t="n">
        <x:f>$B$13+$B$14*SIN(RADIANS(E25+$B$15))+$B$9*SIN(RADIANS(E25+$B$15))*((1-EXP(-$B$10*(-LN(1-$B$10*($B$8/$B$12-$B$14*COS(RADIANS(E25+$B$15)))/($B$9*COS(RADIANS(E25+$B$15))))/$B$10)))/$B$10)-$B$11*(((-LN(1-$B$10*($B$8/$B$12-$B$14*COS(RADIANS(E25+$B$15)))/($B$9*COS(RADIANS(E25+$B$15))))/$B$10)-((1-EXP(-$B$10*(-LN(1-$B$10*($B$8/$B$12-$B$14*COS(RADIANS(E25+$B$15)))/($B$9*COS(RADIANS(E25+$B$15))))/$B$10)))/$B$10))/$B$10)</x:f>
        <x:v>772.6168148697699</x:v>
      </x:c>
      <x:c r="H25" s="74"/>
      <x:c r="I25" s="74"/>
      <x:c r="J25" s="74"/>
      <x:c r="K25" s="74"/>
      <x:c r="L25" s="74"/>
      <x:c r="M25" s="74"/>
    </x:row>
    <x:row r="26">
      <x:c r="A26" s="35" t="n">
        <x:v>4</x:v>
      </x:c>
      <x:c r="B26" s="74" t="n">
        <x:f>IF(F25&lt;G25,D25,B25)</x:f>
        <x:v>32.96032270734399</x:v>
      </x:c>
      <x:c r="C26" s="74" t="n">
        <x:f>IF(F25&lt;G25,C25,E25)</x:f>
        <x:v>81.60079209984436</x:v>
      </x:c>
      <x:c r="D26" s="74" t="n">
        <x:f>B26+(C26-B26)/3</x:f>
        <x:v>49.17381250484411</x:v>
      </x:c>
      <x:c r="E26" s="74" t="n">
        <x:f>C26-(C26-B26)/3</x:f>
        <x:v>65.38730230234424</x:v>
      </x:c>
      <x:c r="F26" s="74" t="n">
        <x:f>$B$13+$B$14*SIN(RADIANS(D26+$B$15))+$B$9*SIN(RADIANS(D26+$B$15))*((1-EXP(-$B$10*(-LN(1-$B$10*($B$8/$B$12-$B$14*COS(RADIANS(D26+$B$15)))/($B$9*COS(RADIANS(D26+$B$15))))/$B$10)))/$B$10)-$B$11*(((-LN(1-$B$10*($B$8/$B$12-$B$14*COS(RADIANS(D26+$B$15)))/($B$9*COS(RADIANS(D26+$B$15))))/$B$10)-((1-EXP(-$B$10*(-LN(1-$B$10*($B$8/$B$12-$B$14*COS(RADIANS(D26+$B$15)))/($B$9*COS(RADIANS(D26+$B$15))))/$B$10)))/$B$10))/$B$10)</x:f>
        <x:v>577.2290182643313</x:v>
      </x:c>
      <x:c r="G26" s="74" t="n">
        <x:f>$B$13+$B$14*SIN(RADIANS(E26+$B$15))+$B$9*SIN(RADIANS(E26+$B$15))*((1-EXP(-$B$10*(-LN(1-$B$10*($B$8/$B$12-$B$14*COS(RADIANS(E26+$B$15)))/($B$9*COS(RADIANS(E26+$B$15))))/$B$10)))/$B$10)-$B$11*(((-LN(1-$B$10*($B$8/$B$12-$B$14*COS(RADIANS(E26+$B$15)))/($B$9*COS(RADIANS(E26+$B$15))))/$B$10)-((1-EXP(-$B$10*(-LN(1-$B$10*($B$8/$B$12-$B$14*COS(RADIANS(E26+$B$15)))/($B$9*COS(RADIANS(E26+$B$15))))/$B$10)))/$B$10))/$B$10)</x:f>
        <x:v>1071.7552129112335</x:v>
      </x:c>
      <x:c r="H26" s="74"/>
      <x:c r="I26" s="74"/>
      <x:c r="J26" s="74"/>
      <x:c r="K26" s="74"/>
      <x:c r="L26" s="74"/>
      <x:c r="M26" s="74"/>
    </x:row>
    <x:row r="27">
      <x:c r="A27" s="35" t="n">
        <x:v>5</x:v>
      </x:c>
      <x:c r="B27" s="74" t="n">
        <x:f>IF(F26&lt;G26,D26,B26)</x:f>
        <x:v>49.17381250484411</x:v>
      </x:c>
      <x:c r="C27" s="74" t="n">
        <x:f>IF(F26&lt;G26,C26,E26)</x:f>
        <x:v>81.60079209984436</x:v>
      </x:c>
      <x:c r="D27" s="74" t="n">
        <x:f>B27+(C27-B27)/3</x:f>
        <x:v>59.982805703177526</x:v>
      </x:c>
      <x:c r="E27" s="74" t="n">
        <x:f>C27-(C27-B27)/3</x:f>
        <x:v>70.79179890151094</x:v>
      </x:c>
      <x:c r="F27" s="74" t="n">
        <x:f>$B$13+$B$14*SIN(RADIANS(D27+$B$15))+$B$9*SIN(RADIANS(D27+$B$15))*((1-EXP(-$B$10*(-LN(1-$B$10*($B$8/$B$12-$B$14*COS(RADIANS(D27+$B$15)))/($B$9*COS(RADIANS(D27+$B$15))))/$B$10)))/$B$10)-$B$11*(((-LN(1-$B$10*($B$8/$B$12-$B$14*COS(RADIANS(D27+$B$15)))/($B$9*COS(RADIANS(D27+$B$15))))/$B$10)-((1-EXP(-$B$10*(-LN(1-$B$10*($B$8/$B$12-$B$14*COS(RADIANS(D27+$B$15)))/($B$9*COS(RADIANS(D27+$B$15))))/$B$10)))/$B$10))/$B$10)</x:f>
        <x:v>856.906084234844</x:v>
      </x:c>
      <x:c r="G27" s="74" t="n">
        <x:f>$B$13+$B$14*SIN(RADIANS(E27+$B$15))+$B$9*SIN(RADIANS(E27+$B$15))*((1-EXP(-$B$10*(-LN(1-$B$10*($B$8/$B$12-$B$14*COS(RADIANS(E27+$B$15)))/($B$9*COS(RADIANS(E27+$B$15))))/$B$10)))/$B$10)-$B$11*(((-LN(1-$B$10*($B$8/$B$12-$B$14*COS(RADIANS(E27+$B$15)))/($B$9*COS(RADIANS(E27+$B$15))))/$B$10)-((1-EXP(-$B$10*(-LN(1-$B$10*($B$8/$B$12-$B$14*COS(RADIANS(E27+$B$15)))/($B$9*COS(RADIANS(E27+$B$15))))/$B$10)))/$B$10))/$B$10)</x:f>
        <x:v>1385.2085076559547</x:v>
      </x:c>
      <x:c r="H27" s="74"/>
      <x:c r="I27" s="74"/>
      <x:c r="J27" s="74"/>
      <x:c r="K27" s="74"/>
      <x:c r="L27" s="74"/>
      <x:c r="M27" s="74"/>
    </x:row>
    <x:row r="28">
      <x:c r="A28" s="35" t="n">
        <x:v>6</x:v>
      </x:c>
      <x:c r="B28" s="74" t="n">
        <x:f>IF(F27&lt;G27,D27,B27)</x:f>
        <x:v>59.982805703177526</x:v>
      </x:c>
      <x:c r="C28" s="74" t="n">
        <x:f>IF(F27&lt;G27,C27,E27)</x:f>
        <x:v>81.60079209984436</x:v>
      </x:c>
      <x:c r="D28" s="74" t="n">
        <x:f>B28+(C28-B28)/3</x:f>
        <x:v>67.18880116873314</x:v>
      </x:c>
      <x:c r="E28" s="74" t="n">
        <x:f>C28-(C28-B28)/3</x:f>
        <x:v>74.39479663428875</x:v>
      </x:c>
      <x:c r="F28" s="74" t="n">
        <x:f>$B$13+$B$14*SIN(RADIANS(D28+$B$15))+$B$9*SIN(RADIANS(D28+$B$15))*((1-EXP(-$B$10*(-LN(1-$B$10*($B$8/$B$12-$B$14*COS(RADIANS(D28+$B$15)))/($B$9*COS(RADIANS(D28+$B$15))))/$B$10)))/$B$10)-$B$11*(((-LN(1-$B$10*($B$8/$B$12-$B$14*COS(RADIANS(D28+$B$15)))/($B$9*COS(RADIANS(D28+$B$15))))/$B$10)-((1-EXP(-$B$10*(-LN(1-$B$10*($B$8/$B$12-$B$14*COS(RADIANS(D28+$B$15)))/($B$9*COS(RADIANS(D28+$B$15))))/$B$10)))/$B$10))/$B$10)</x:f>
        <x:v>1162.3667893060363</x:v>
      </x:c>
      <x:c r="G28" s="74" t="n">
        <x:f>$B$13+$B$14*SIN(RADIANS(E28+$B$15))+$B$9*SIN(RADIANS(E28+$B$15))*((1-EXP(-$B$10*(-LN(1-$B$10*($B$8/$B$12-$B$14*COS(RADIANS(E28+$B$15)))/($B$9*COS(RADIANS(E28+$B$15))))/$B$10)))/$B$10)-$B$11*(((-LN(1-$B$10*($B$8/$B$12-$B$14*COS(RADIANS(E28+$B$15)))/($B$9*COS(RADIANS(E28+$B$15))))/$B$10)-((1-EXP(-$B$10*(-LN(1-$B$10*($B$8/$B$12-$B$14*COS(RADIANS(E28+$B$15)))/($B$9*COS(RADIANS(E28+$B$15))))/$B$10)))/$B$10))/$B$10)</x:f>
        <x:v>1684.4555034901969</x:v>
      </x:c>
      <x:c r="H28" s="74"/>
      <x:c r="I28" s="74"/>
      <x:c r="J28" s="74"/>
      <x:c r="K28" s="74"/>
      <x:c r="L28" s="74"/>
      <x:c r="M28" s="74"/>
    </x:row>
    <x:row r="29">
      <x:c r="A29" s="35" t="n">
        <x:v>7</x:v>
      </x:c>
      <x:c r="B29" s="74" t="n">
        <x:f>IF(F28&lt;G28,D28,B28)</x:f>
        <x:v>67.18880116873314</x:v>
      </x:c>
      <x:c r="C29" s="74" t="n">
        <x:f>IF(F28&lt;G28,C28,E28)</x:f>
        <x:v>81.60079209984436</x:v>
      </x:c>
      <x:c r="D29" s="74" t="n">
        <x:f>B29+(C29-B29)/3</x:f>
        <x:v>71.99279814577021</x:v>
      </x:c>
      <x:c r="E29" s="74" t="n">
        <x:f>C29-(C29-B29)/3</x:f>
        <x:v>76.79679512280728</x:v>
      </x:c>
      <x:c r="F29" s="74" t="n">
        <x:f>$B$13+$B$14*SIN(RADIANS(D29+$B$15))+$B$9*SIN(RADIANS(D29+$B$15))*((1-EXP(-$B$10*(-LN(1-$B$10*($B$8/$B$12-$B$14*COS(RADIANS(D29+$B$15)))/($B$9*COS(RADIANS(D29+$B$15))))/$B$10)))/$B$10)-$B$11*(((-LN(1-$B$10*($B$8/$B$12-$B$14*COS(RADIANS(D29+$B$15)))/($B$9*COS(RADIANS(D29+$B$15))))/$B$10)-((1-EXP(-$B$10*(-LN(1-$B$10*($B$8/$B$12-$B$14*COS(RADIANS(D29+$B$15)))/($B$9*COS(RADIANS(D29+$B$15))))/$B$10)))/$B$10))/$B$10)</x:f>
        <x:v>1475.1298334132393</x:v>
      </x:c>
      <x:c r="G29" s="74" t="n">
        <x:f>$B$13+$B$14*SIN(RADIANS(E29+$B$15))+$B$9*SIN(RADIANS(E29+$B$15))*((1-EXP(-$B$10*(-LN(1-$B$10*($B$8/$B$12-$B$14*COS(RADIANS(E29+$B$15)))/($B$9*COS(RADIANS(E29+$B$15))))/$B$10)))/$B$10)-$B$11*(((-LN(1-$B$10*($B$8/$B$12-$B$14*COS(RADIANS(E29+$B$15)))/($B$9*COS(RADIANS(E29+$B$15))))/$B$10)-((1-EXP(-$B$10*(-LN(1-$B$10*($B$8/$B$12-$B$14*COS(RADIANS(E29+$B$15)))/($B$9*COS(RADIANS(E29+$B$15))))/$B$10)))/$B$10))/$B$10)</x:f>
        <x:v>1934.3070602384862</x:v>
      </x:c>
      <x:c r="H29" s="74"/>
      <x:c r="I29" s="74"/>
      <x:c r="J29" s="74"/>
      <x:c r="K29" s="74"/>
      <x:c r="L29" s="74"/>
      <x:c r="M29" s="74"/>
    </x:row>
    <x:row r="30">
      <x:c r="A30" s="35" t="n">
        <x:v>8</x:v>
      </x:c>
      <x:c r="B30" s="74" t="n">
        <x:f>IF(F29&lt;G29,D29,B29)</x:f>
        <x:v>71.99279814577021</x:v>
      </x:c>
      <x:c r="C30" s="74" t="n">
        <x:f>IF(F29&lt;G29,C29,E29)</x:f>
        <x:v>81.60079209984436</x:v>
      </x:c>
      <x:c r="D30" s="74" t="n">
        <x:f>B30+(C30-B30)/3</x:f>
        <x:v>75.19546279712826</x:v>
      </x:c>
      <x:c r="E30" s="74" t="n">
        <x:f>C30-(C30-B30)/3</x:f>
        <x:v>78.3981274484863</x:v>
      </x:c>
      <x:c r="F30" s="74" t="n">
        <x:f>$B$13+$B$14*SIN(RADIANS(D30+$B$15))+$B$9*SIN(RADIANS(D30+$B$15))*((1-EXP(-$B$10*(-LN(1-$B$10*($B$8/$B$12-$B$14*COS(RADIANS(D30+$B$15)))/($B$9*COS(RADIANS(D30+$B$15))))/$B$10)))/$B$10)-$B$11*(((-LN(1-$B$10*($B$8/$B$12-$B$14*COS(RADIANS(D30+$B$15)))/($B$9*COS(RADIANS(D30+$B$15))))/$B$10)-((1-EXP(-$B$10*(-LN(1-$B$10*($B$8/$B$12-$B$14*COS(RADIANS(D30+$B$15)))/($B$9*COS(RADIANS(D30+$B$15))))/$B$10)))/$B$10))/$B$10)</x:f>
        <x:v>1763.6620612898391</x:v>
      </x:c>
      <x:c r="G30" s="74" t="n">
        <x:f>$B$13+$B$14*SIN(RADIANS(E30+$B$15))+$B$9*SIN(RADIANS(E30+$B$15))*((1-EXP(-$B$10*(-LN(1-$B$10*($B$8/$B$12-$B$14*COS(RADIANS(E30+$B$15)))/($B$9*COS(RADIANS(E30+$B$15))))/$B$10)))/$B$10)-$B$11*(((-LN(1-$B$10*($B$8/$B$12-$B$14*COS(RADIANS(E30+$B$15)))/($B$9*COS(RADIANS(E30+$B$15))))/$B$10)-((1-EXP(-$B$10*(-LN(1-$B$10*($B$8/$B$12-$B$14*COS(RADIANS(E30+$B$15)))/($B$9*COS(RADIANS(E30+$B$15))))/$B$10)))/$B$10))/$B$10)</x:f>
        <x:v>2104.360800264136</x:v>
      </x:c>
      <x:c r="H30" s="74"/>
      <x:c r="I30" s="74"/>
      <x:c r="J30" s="74"/>
      <x:c r="K30" s="74"/>
      <x:c r="L30" s="74"/>
      <x:c r="M30" s="74"/>
    </x:row>
    <x:row r="31">
      <x:c r="A31" s="35" t="n">
        <x:v>9</x:v>
      </x:c>
      <x:c r="B31" s="74" t="n">
        <x:f>IF(F30&lt;G30,D30,B30)</x:f>
        <x:v>75.19546279712826</x:v>
      </x:c>
      <x:c r="C31" s="74" t="n">
        <x:f>IF(F30&lt;G30,C30,E30)</x:f>
        <x:v>81.60079209984436</x:v>
      </x:c>
      <x:c r="D31" s="74" t="n">
        <x:f>B31+(C31-B31)/3</x:f>
        <x:v>77.33057256470029</x:v>
      </x:c>
      <x:c r="E31" s="74" t="n">
        <x:f>C31-(C31-B31)/3</x:f>
        <x:v>79.46568233227232</x:v>
      </x:c>
      <x:c r="F31" s="74" t="n">
        <x:f>$B$13+$B$14*SIN(RADIANS(D31+$B$15))+$B$9*SIN(RADIANS(D31+$B$15))*((1-EXP(-$B$10*(-LN(1-$B$10*($B$8/$B$12-$B$14*COS(RADIANS(D31+$B$15)))/($B$9*COS(RADIANS(D31+$B$15))))/$B$10)))/$B$10)-$B$11*(((-LN(1-$B$10*($B$8/$B$12-$B$14*COS(RADIANS(D31+$B$15)))/($B$9*COS(RADIANS(D31+$B$15))))/$B$10)-((1-EXP(-$B$10*(-LN(1-$B$10*($B$8/$B$12-$B$14*COS(RADIANS(D31+$B$15)))/($B$9*COS(RADIANS(D31+$B$15))))/$B$10)))/$B$10))/$B$10)</x:f>
        <x:v>1992.9778286385276</x:v>
      </x:c>
      <x:c r="G31" s="74" t="n">
        <x:f>$B$13+$B$14*SIN(RADIANS(E31+$B$15))+$B$9*SIN(RADIANS(E31+$B$15))*((1-EXP(-$B$10*(-LN(1-$B$10*($B$8/$B$12-$B$14*COS(RADIANS(E31+$B$15)))/($B$9*COS(RADIANS(E31+$B$15))))/$B$10)))/$B$10)-$B$11*(((-LN(1-$B$10*($B$8/$B$12-$B$14*COS(RADIANS(E31+$B$15)))/($B$9*COS(RADIANS(E31+$B$15))))/$B$10)-((1-EXP(-$B$10*(-LN(1-$B$10*($B$8/$B$12-$B$14*COS(RADIANS(E31+$B$15)))/($B$9*COS(RADIANS(E31+$B$15))))/$B$10)))/$B$10))/$B$10)</x:f>
        <x:v>2177.8342010792308</x:v>
      </x:c>
      <x:c r="H31" s="74"/>
      <x:c r="I31" s="74"/>
      <x:c r="J31" s="74"/>
      <x:c r="K31" s="74"/>
      <x:c r="L31" s="74"/>
      <x:c r="M31" s="74"/>
    </x:row>
    <x:row r="32">
      <x:c r="A32" s="35" t="n">
        <x:v>10</x:v>
      </x:c>
      <x:c r="B32" s="74" t="n">
        <x:f>IF(F31&lt;G31,D31,B31)</x:f>
        <x:v>77.33057256470029</x:v>
      </x:c>
      <x:c r="C32" s="74" t="n">
        <x:f>IF(F31&lt;G31,C31,E31)</x:f>
        <x:v>81.60079209984436</x:v>
      </x:c>
      <x:c r="D32" s="74" t="n">
        <x:f>B32+(C32-B32)/3</x:f>
        <x:v>78.75397907641498</x:v>
      </x:c>
      <x:c r="E32" s="74" t="n">
        <x:f>C32-(C32-B32)/3</x:f>
        <x:v>80.17738558812967</x:v>
      </x:c>
      <x:c r="F32" s="74" t="n">
        <x:f>$B$13+$B$14*SIN(RADIANS(D32+$B$15))+$B$9*SIN(RADIANS(D32+$B$15))*((1-EXP(-$B$10*(-LN(1-$B$10*($B$8/$B$12-$B$14*COS(RADIANS(D32+$B$15)))/($B$9*COS(RADIANS(D32+$B$15))))/$B$10)))/$B$10)-$B$11*(((-LN(1-$B$10*($B$8/$B$12-$B$14*COS(RADIANS(D32+$B$15)))/($B$9*COS(RADIANS(D32+$B$15))))/$B$10)-((1-EXP(-$B$10*(-LN(1-$B$10*($B$8/$B$12-$B$14*COS(RADIANS(D32+$B$15)))/($B$9*COS(RADIANS(D32+$B$15))))/$B$10)))/$B$10))/$B$10)</x:f>
        <x:v>2135.987557807823</x:v>
      </x:c>
      <x:c r="G32" s="74" t="n">
        <x:f>$B$13+$B$14*SIN(RADIANS(E32+$B$15))+$B$9*SIN(RADIANS(E32+$B$15))*((1-EXP(-$B$10*(-LN(1-$B$10*($B$8/$B$12-$B$14*COS(RADIANS(E32+$B$15)))/($B$9*COS(RADIANS(E32+$B$15))))/$B$10)))/$B$10)-$B$11*(((-LN(1-$B$10*($B$8/$B$12-$B$14*COS(RADIANS(E32+$B$15)))/($B$9*COS(RADIANS(E32+$B$15))))/$B$10)-((1-EXP(-$B$10*(-LN(1-$B$10*($B$8/$B$12-$B$14*COS(RADIANS(E32+$B$15)))/($B$9*COS(RADIANS(E32+$B$15))))/$B$10)))/$B$10))/$B$10)</x:f>
        <x:v>2153.521834433215</x:v>
      </x:c>
      <x:c r="H32" s="74"/>
      <x:c r="I32" s="74"/>
      <x:c r="J32" s="74"/>
      <x:c r="K32" s="74"/>
      <x:c r="L32" s="74"/>
      <x:c r="M32" s="74"/>
    </x:row>
    <x:row r="33">
      <x:c r="A33" s="35" t="n">
        <x:v>11</x:v>
      </x:c>
      <x:c r="B33" s="74" t="n">
        <x:f>IF(F32&lt;G32,D32,B32)</x:f>
        <x:v>78.75397907641498</x:v>
      </x:c>
      <x:c r="C33" s="74" t="n">
        <x:f>IF(F32&lt;G32,C32,E32)</x:f>
        <x:v>81.60079209984436</x:v>
      </x:c>
      <x:c r="D33" s="74" t="n">
        <x:f>B33+(C33-B33)/3</x:f>
        <x:v>79.70291675089143</x:v>
      </x:c>
      <x:c r="E33" s="74" t="n">
        <x:f>C33-(C33-B33)/3</x:f>
        <x:v>80.6518544253679</x:v>
      </x:c>
      <x:c r="F33" s="74" t="n">
        <x:f>$B$13+$B$14*SIN(RADIANS(D33+$B$15))+$B$9*SIN(RADIANS(D33+$B$15))*((1-EXP(-$B$10*(-LN(1-$B$10*($B$8/$B$12-$B$14*COS(RADIANS(D33+$B$15)))/($B$9*COS(RADIANS(D33+$B$15))))/$B$10)))/$B$10)-$B$11*(((-LN(1-$B$10*($B$8/$B$12-$B$14*COS(RADIANS(D33+$B$15)))/($B$9*COS(RADIANS(D33+$B$15))))/$B$10)-((1-EXP(-$B$10*(-LN(1-$B$10*($B$8/$B$12-$B$14*COS(RADIANS(D33+$B$15)))/($B$9*COS(RADIANS(D33+$B$15))))/$B$10)))/$B$10))/$B$10)</x:f>
        <x:v>2180.5563408015323</x:v>
      </x:c>
      <x:c r="G33" s="74" t="n">
        <x:f>$B$13+$B$14*SIN(RADIANS(E33+$B$15))+$B$9*SIN(RADIANS(E33+$B$15))*((1-EXP(-$B$10*(-LN(1-$B$10*($B$8/$B$12-$B$14*COS(RADIANS(E33+$B$15)))/($B$9*COS(RADIANS(E33+$B$15))))/$B$10)))/$B$10)-$B$11*(((-LN(1-$B$10*($B$8/$B$12-$B$14*COS(RADIANS(E33+$B$15)))/($B$9*COS(RADIANS(E33+$B$15))))/$B$10)-((1-EXP(-$B$10*(-LN(1-$B$10*($B$8/$B$12-$B$14*COS(RADIANS(E33+$B$15)))/($B$9*COS(RADIANS(E33+$B$15))))/$B$10)))/$B$10))/$B$10)</x:f>
        <x:v>2041.7986805927612</x:v>
      </x:c>
      <x:c r="H33" s="74"/>
      <x:c r="I33" s="74"/>
      <x:c r="J33" s="74"/>
      <x:c r="K33" s="74"/>
      <x:c r="L33" s="74"/>
      <x:c r="M33" s="74"/>
    </x:row>
    <x:row r="34">
      <x:c r="A34" s="35" t="n">
        <x:v>12</x:v>
      </x:c>
      <x:c r="B34" s="74" t="n">
        <x:f>IF(F33&lt;G33,D33,B33)</x:f>
        <x:v>78.75397907641498</x:v>
      </x:c>
      <x:c r="C34" s="74" t="n">
        <x:f>IF(F33&lt;G33,C33,E33)</x:f>
        <x:v>80.6518544253679</x:v>
      </x:c>
      <x:c r="D34" s="74" t="n">
        <x:f>B34+(C34-B34)/3</x:f>
        <x:v>79.38660419273262</x:v>
      </x:c>
      <x:c r="E34" s="74" t="n">
        <x:f>C34-(C34-B34)/3</x:f>
        <x:v>80.01922930905026</x:v>
      </x:c>
      <x:c r="F34" s="74" t="n">
        <x:f>$B$13+$B$14*SIN(RADIANS(D34+$B$15))+$B$9*SIN(RADIANS(D34+$B$15))*((1-EXP(-$B$10*(-LN(1-$B$10*($B$8/$B$12-$B$14*COS(RADIANS(D34+$B$15)))/($B$9*COS(RADIANS(D34+$B$15))))/$B$10)))/$B$10)-$B$11*(((-LN(1-$B$10*($B$8/$B$12-$B$14*COS(RADIANS(D34+$B$15)))/($B$9*COS(RADIANS(D34+$B$15))))/$B$10)-((1-EXP(-$B$10*(-LN(1-$B$10*($B$8/$B$12-$B$14*COS(RADIANS(D34+$B$15)))/($B$9*COS(RADIANS(D34+$B$15))))/$B$10)))/$B$10))/$B$10)</x:f>
        <x:v>2175.3176810608447</x:v>
      </x:c>
      <x:c r="G34" s="74" t="n">
        <x:f>$B$13+$B$14*SIN(RADIANS(E34+$B$15))+$B$9*SIN(RADIANS(E34+$B$15))*((1-EXP(-$B$10*(-LN(1-$B$10*($B$8/$B$12-$B$14*COS(RADIANS(E34+$B$15)))/($B$9*COS(RADIANS(E34+$B$15))))/$B$10)))/$B$10)-$B$11*(((-LN(1-$B$10*($B$8/$B$12-$B$14*COS(RADIANS(E34+$B$15)))/($B$9*COS(RADIANS(E34+$B$15))))/$B$10)-((1-EXP(-$B$10*(-LN(1-$B$10*($B$8/$B$12-$B$14*COS(RADIANS(E34+$B$15)))/($B$9*COS(RADIANS(E34+$B$15))))/$B$10)))/$B$10))/$B$10)</x:f>
        <x:v>2168.80920589104</x:v>
      </x:c>
      <x:c r="H34" s="74"/>
      <x:c r="I34" s="74"/>
      <x:c r="J34" s="74"/>
      <x:c r="K34" s="74"/>
      <x:c r="L34" s="74"/>
      <x:c r="M34" s="74"/>
    </x:row>
    <x:row r="35">
      <x:c r="A35" s="35" t="n">
        <x:v>13</x:v>
      </x:c>
      <x:c r="B35" s="74" t="n">
        <x:f>IF(F34&lt;G34,D34,B34)</x:f>
        <x:v>78.75397907641498</x:v>
      </x:c>
      <x:c r="C35" s="74" t="n">
        <x:f>IF(F34&lt;G34,C34,E34)</x:f>
        <x:v>80.01922930905026</x:v>
      </x:c>
      <x:c r="D35" s="74" t="n">
        <x:f>B35+(C35-B35)/3</x:f>
        <x:v>79.17572915396008</x:v>
      </x:c>
      <x:c r="E35" s="74" t="n">
        <x:f>C35-(C35-B35)/3</x:f>
        <x:v>79.59747923150516</x:v>
      </x:c>
      <x:c r="F35" s="74" t="n">
        <x:f>$B$13+$B$14*SIN(RADIANS(D35+$B$15))+$B$9*SIN(RADIANS(D35+$B$15))*((1-EXP(-$B$10*(-LN(1-$B$10*($B$8/$B$12-$B$14*COS(RADIANS(D35+$B$15)))/($B$9*COS(RADIANS(D35+$B$15))))/$B$10)))/$B$10)-$B$11*(((-LN(1-$B$10*($B$8/$B$12-$B$14*COS(RADIANS(D35+$B$15)))/($B$9*COS(RADIANS(D35+$B$15))))/$B$10)-((1-EXP(-$B$10*(-LN(1-$B$10*($B$8/$B$12-$B$14*COS(RADIANS(D35+$B$15)))/($B$9*COS(RADIANS(D35+$B$15))))/$B$10)))/$B$10))/$B$10)</x:f>
        <x:v>2165.5189016631875</x:v>
      </x:c>
      <x:c r="G35" s="74" t="n">
        <x:f>$B$13+$B$14*SIN(RADIANS(E35+$B$15))+$B$9*SIN(RADIANS(E35+$B$15))*((1-EXP(-$B$10*(-LN(1-$B$10*($B$8/$B$12-$B$14*COS(RADIANS(E35+$B$15)))/($B$9*COS(RADIANS(E35+$B$15))))/$B$10)))/$B$10)-$B$11*(((-LN(1-$B$10*($B$8/$B$12-$B$14*COS(RADIANS(E35+$B$15)))/($B$9*COS(RADIANS(E35+$B$15))))/$B$10)-((1-EXP(-$B$10*(-LN(1-$B$10*($B$8/$B$12-$B$14*COS(RADIANS(E35+$B$15)))/($B$9*COS(RADIANS(E35+$B$15))))/$B$10)))/$B$10))/$B$10)</x:f>
        <x:v>2180.3305472247844</x:v>
      </x:c>
      <x:c r="H35" s="74"/>
      <x:c r="I35" s="74"/>
      <x:c r="J35" s="74"/>
      <x:c r="K35" s="74"/>
      <x:c r="L35" s="74"/>
      <x:c r="M35" s="74"/>
    </x:row>
    <x:row r="36">
      <x:c r="A36" s="35" t="n">
        <x:v>14</x:v>
      </x:c>
      <x:c r="B36" s="74" t="n">
        <x:f>IF(F35&lt;G35,D35,B35)</x:f>
        <x:v>79.17572915396008</x:v>
      </x:c>
      <x:c r="C36" s="74" t="n">
        <x:f>IF(F35&lt;G35,C35,E35)</x:f>
        <x:v>80.01922930905026</x:v>
      </x:c>
      <x:c r="D36" s="74" t="n">
        <x:f>B36+(C36-B36)/3</x:f>
        <x:v>79.45689587232347</x:v>
      </x:c>
      <x:c r="E36" s="74" t="n">
        <x:f>C36-(C36-B36)/3</x:f>
        <x:v>79.73806259068687</x:v>
      </x:c>
      <x:c r="F36" s="74" t="n">
        <x:f>$B$13+$B$14*SIN(RADIANS(D36+$B$15))+$B$9*SIN(RADIANS(D36+$B$15))*((1-EXP(-$B$10*(-LN(1-$B$10*($B$8/$B$12-$B$14*COS(RADIANS(D36+$B$15)))/($B$9*COS(RADIANS(D36+$B$15))))/$B$10)))/$B$10)-$B$11*(((-LN(1-$B$10*($B$8/$B$12-$B$14*COS(RADIANS(D36+$B$15)))/($B$9*COS(RADIANS(D36+$B$15))))/$B$10)-((1-EXP(-$B$10*(-LN(1-$B$10*($B$8/$B$12-$B$14*COS(RADIANS(D36+$B$15)))/($B$9*COS(RADIANS(D36+$B$15))))/$B$10)))/$B$10))/$B$10)</x:f>
        <x:v>2177.5899020388338</x:v>
      </x:c>
      <x:c r="G36" s="74" t="n">
        <x:f>$B$13+$B$14*SIN(RADIANS(E36+$B$15))+$B$9*SIN(RADIANS(E36+$B$15))*((1-EXP(-$B$10*(-LN(1-$B$10*($B$8/$B$12-$B$14*COS(RADIANS(E36+$B$15)))/($B$9*COS(RADIANS(E36+$B$15))))/$B$10)))/$B$10)-$B$11*(((-LN(1-$B$10*($B$8/$B$12-$B$14*COS(RADIANS(E36+$B$15)))/($B$9*COS(RADIANS(E36+$B$15))))/$B$10)-((1-EXP(-$B$10*(-LN(1-$B$10*($B$8/$B$12-$B$14*COS(RADIANS(E36+$B$15)))/($B$9*COS(RADIANS(E36+$B$15))))/$B$10)))/$B$10))/$B$10)</x:f>
        <x:v>2180.234063826619</x:v>
      </x:c>
      <x:c r="H36" s="74"/>
      <x:c r="I36" s="74"/>
      <x:c r="J36" s="74"/>
      <x:c r="K36" s="74"/>
      <x:c r="L36" s="74"/>
      <x:c r="M36" s="74"/>
    </x:row>
    <x:row r="37">
      <x:c r="A37" s="35" t="n">
        <x:v>15</x:v>
      </x:c>
      <x:c r="B37" s="74" t="n">
        <x:f>IF(F36&lt;G36,D36,B36)</x:f>
        <x:v>79.45689587232347</x:v>
      </x:c>
      <x:c r="C37" s="74" t="n">
        <x:f>IF(F36&lt;G36,C36,E36)</x:f>
        <x:v>80.01922930905026</x:v>
      </x:c>
      <x:c r="D37" s="74" t="n">
        <x:f>B37+(C37-B37)/3</x:f>
        <x:v>79.6443403512324</x:v>
      </x:c>
      <x:c r="E37" s="74" t="n">
        <x:f>C37-(C37-B37)/3</x:f>
        <x:v>79.83178483014133</x:v>
      </x:c>
      <x:c r="F37" s="74" t="n">
        <x:f>$B$13+$B$14*SIN(RADIANS(D37+$B$15))+$B$9*SIN(RADIANS(D37+$B$15))*((1-EXP(-$B$10*(-LN(1-$B$10*($B$8/$B$12-$B$14*COS(RADIANS(D37+$B$15)))/($B$9*COS(RADIANS(D37+$B$15))))/$B$10)))/$B$10)-$B$11*(((-LN(1-$B$10*($B$8/$B$12-$B$14*COS(RADIANS(D37+$B$15)))/($B$9*COS(RADIANS(D37+$B$15))))/$B$10)-((1-EXP(-$B$10*(-LN(1-$B$10*($B$8/$B$12-$B$14*COS(RADIANS(D37+$B$15)))/($B$9*COS(RADIANS(D37+$B$15))))/$B$10)))/$B$10))/$B$10)</x:f>
        <x:v>2180.64196940288</x:v>
      </x:c>
      <x:c r="G37" s="74" t="n">
        <x:f>$B$13+$B$14*SIN(RADIANS(E37+$B$15))+$B$9*SIN(RADIANS(E37+$B$15))*((1-EXP(-$B$10*(-LN(1-$B$10*($B$8/$B$12-$B$14*COS(RADIANS(E37+$B$15)))/($B$9*COS(RADIANS(E37+$B$15))))/$B$10)))/$B$10)-$B$11*(((-LN(1-$B$10*($B$8/$B$12-$B$14*COS(RADIANS(E37+$B$15)))/($B$9*COS(RADIANS(E37+$B$15))))/$B$10)-((1-EXP(-$B$10*(-LN(1-$B$10*($B$8/$B$12-$B$14*COS(RADIANS(E37+$B$15)))/($B$9*COS(RADIANS(E37+$B$15))))/$B$10)))/$B$10))/$B$10)</x:f>
        <x:v>2178.28612945316</x:v>
      </x:c>
      <x:c r="H37" s="74"/>
      <x:c r="I37" s="74"/>
      <x:c r="J37" s="74"/>
      <x:c r="K37" s="74"/>
      <x:c r="L37" s="74"/>
      <x:c r="M37" s="74"/>
    </x:row>
    <x:row r="38">
      <x:c r="A38" s="35" t="n">
        <x:v>16</x:v>
      </x:c>
      <x:c r="B38" s="74" t="n">
        <x:f>IF(F37&lt;G37,D37,B37)</x:f>
        <x:v>79.45689587232347</x:v>
      </x:c>
      <x:c r="C38" s="74" t="n">
        <x:f>IF(F37&lt;G37,C37,E37)</x:f>
        <x:v>79.83178483014133</x:v>
      </x:c>
      <x:c r="D38" s="74" t="n">
        <x:f>B38+(C38-B38)/3</x:f>
        <x:v>79.58185885826276</x:v>
      </x:c>
      <x:c r="E38" s="74" t="n">
        <x:f>C38-(C38-B38)/3</x:f>
        <x:v>79.70682184420204</x:v>
      </x:c>
      <x:c r="F38" s="74" t="n">
        <x:f>$B$13+$B$14*SIN(RADIANS(D38+$B$15))+$B$9*SIN(RADIANS(D38+$B$15))*((1-EXP(-$B$10*(-LN(1-$B$10*($B$8/$B$12-$B$14*COS(RADIANS(D38+$B$15)))/($B$9*COS(RADIANS(D38+$B$15))))/$B$10)))/$B$10)-$B$11*(((-LN(1-$B$10*($B$8/$B$12-$B$14*COS(RADIANS(D38+$B$15)))/($B$9*COS(RADIANS(D38+$B$15))))/$B$10)-((1-EXP(-$B$10*(-LN(1-$B$10*($B$8/$B$12-$B$14*COS(RADIANS(D38+$B$15)))/($B$9*COS(RADIANS(D38+$B$15))))/$B$10)))/$B$10))/$B$10)</x:f>
        <x:v>2180.1559031390016</x:v>
      </x:c>
      <x:c r="G38" s="74" t="n">
        <x:f>$B$13+$B$14*SIN(RADIANS(E38+$B$15))+$B$9*SIN(RADIANS(E38+$B$15))*((1-EXP(-$B$10*(-LN(1-$B$10*($B$8/$B$12-$B$14*COS(RADIANS(E38+$B$15)))/($B$9*COS(RADIANS(E38+$B$15))))/$B$10)))/$B$10)-$B$11*(((-LN(1-$B$10*($B$8/$B$12-$B$14*COS(RADIANS(E38+$B$15)))/($B$9*COS(RADIANS(E38+$B$15))))/$B$10)-((1-EXP(-$B$10*(-LN(1-$B$10*($B$8/$B$12-$B$14*COS(RADIANS(E38+$B$15)))/($B$9*COS(RADIANS(E38+$B$15))))/$B$10)))/$B$10))/$B$10)</x:f>
        <x:v>2180.530869094892</x:v>
      </x:c>
      <x:c r="H38" s="74"/>
      <x:c r="I38" s="74"/>
      <x:c r="J38" s="74"/>
      <x:c r="K38" s="74"/>
      <x:c r="L38" s="74"/>
      <x:c r="M38" s="74"/>
    </x:row>
    <x:row r="39">
      <x:c r="A39" s="35" t="n">
        <x:v>17</x:v>
      </x:c>
      <x:c r="B39" s="74" t="n">
        <x:f>IF(F38&lt;G38,D38,B38)</x:f>
        <x:v>79.58185885826276</x:v>
      </x:c>
      <x:c r="C39" s="74" t="n">
        <x:f>IF(F38&lt;G38,C38,E38)</x:f>
        <x:v>79.83178483014133</x:v>
      </x:c>
      <x:c r="D39" s="74" t="n">
        <x:f>B39+(C39-B39)/3</x:f>
        <x:v>79.66516751555562</x:v>
      </x:c>
      <x:c r="E39" s="74" t="n">
        <x:f>C39-(C39-B39)/3</x:f>
        <x:v>79.74847617284847</x:v>
      </x:c>
      <x:c r="F39" s="74" t="n">
        <x:f>$B$13+$B$14*SIN(RADIANS(D39+$B$15))+$B$9*SIN(RADIANS(D39+$B$15))*((1-EXP(-$B$10*(-LN(1-$B$10*($B$8/$B$12-$B$14*COS(RADIANS(D39+$B$15)))/($B$9*COS(RADIANS(D39+$B$15))))/$B$10)))/$B$10)-$B$11*(((-LN(1-$B$10*($B$8/$B$12-$B$14*COS(RADIANS(D39+$B$15)))/($B$9*COS(RADIANS(D39+$B$15))))/$B$10)-((1-EXP(-$B$10*(-LN(1-$B$10*($B$8/$B$12-$B$14*COS(RADIANS(D39+$B$15)))/($B$9*COS(RADIANS(D39+$B$15))))/$B$10)))/$B$10))/$B$10)</x:f>
        <x:v>2180.673940754637</x:v>
      </x:c>
      <x:c r="G39" s="74" t="n">
        <x:f>$B$13+$B$14*SIN(RADIANS(E39+$B$15))+$B$9*SIN(RADIANS(E39+$B$15))*((1-EXP(-$B$10*(-LN(1-$B$10*($B$8/$B$12-$B$14*COS(RADIANS(E39+$B$15)))/($B$9*COS(RADIANS(E39+$B$15))))/$B$10)))/$B$10)-$B$11*(((-LN(1-$B$10*($B$8/$B$12-$B$14*COS(RADIANS(E39+$B$15)))/($B$9*COS(RADIANS(E39+$B$15))))/$B$10)-((1-EXP(-$B$10*(-LN(1-$B$10*($B$8/$B$12-$B$14*COS(RADIANS(E39+$B$15)))/($B$9*COS(RADIANS(E39+$B$15))))/$B$10)))/$B$10))/$B$10)</x:f>
        <x:v>2180.097552969767</x:v>
      </x:c>
      <x:c r="H39" s="74"/>
      <x:c r="I39" s="74"/>
      <x:c r="J39" s="74"/>
      <x:c r="K39" s="74"/>
      <x:c r="L39" s="74"/>
      <x:c r="M39" s="74"/>
    </x:row>
    <x:row r="40">
      <x:c r="A40" s="35" t="n">
        <x:v>18</x:v>
      </x:c>
      <x:c r="B40" s="74" t="n">
        <x:f>IF(F39&lt;G39,D39,B39)</x:f>
        <x:v>79.58185885826276</x:v>
      </x:c>
      <x:c r="C40" s="74" t="n">
        <x:f>IF(F39&lt;G39,C39,E39)</x:f>
        <x:v>79.74847617284847</x:v>
      </x:c>
      <x:c r="D40" s="74" t="n">
        <x:f>B40+(C40-B40)/3</x:f>
        <x:v>79.63739796312467</x:v>
      </x:c>
      <x:c r="E40" s="74" t="n">
        <x:f>C40-(C40-B40)/3</x:f>
        <x:v>79.69293706798656</x:v>
      </x:c>
      <x:c r="F40" s="74" t="n">
        <x:f>$B$13+$B$14*SIN(RADIANS(D40+$B$15))+$B$9*SIN(RADIANS(D40+$B$15))*((1-EXP(-$B$10*(-LN(1-$B$10*($B$8/$B$12-$B$14*COS(RADIANS(D40+$B$15)))/($B$9*COS(RADIANS(D40+$B$15))))/$B$10)))/$B$10)-$B$11*(((-LN(1-$B$10*($B$8/$B$12-$B$14*COS(RADIANS(D40+$B$15)))/($B$9*COS(RADIANS(D40+$B$15))))/$B$10)-((1-EXP(-$B$10*(-LN(1-$B$10*($B$8/$B$12-$B$14*COS(RADIANS(D40+$B$15)))/($B$9*COS(RADIANS(D40+$B$15))))/$B$10)))/$B$10))/$B$10)</x:f>
        <x:v>2180.6164804849</x:v>
      </x:c>
      <x:c r="G40" s="74" t="n">
        <x:f>$B$13+$B$14*SIN(RADIANS(E40+$B$15))+$B$9*SIN(RADIANS(E40+$B$15))*((1-EXP(-$B$10*(-LN(1-$B$10*($B$8/$B$12-$B$14*COS(RADIANS(E40+$B$15)))/($B$9*COS(RADIANS(E40+$B$15))))/$B$10)))/$B$10)-$B$11*(((-LN(1-$B$10*($B$8/$B$12-$B$14*COS(RADIANS(E40+$B$15)))/($B$9*COS(RADIANS(E40+$B$15))))/$B$10)-((1-EXP(-$B$10*(-LN(1-$B$10*($B$8/$B$12-$B$14*COS(RADIANS(E40+$B$15)))/($B$9*COS(RADIANS(E40+$B$15))))/$B$10)))/$B$10))/$B$10)</x:f>
        <x:v>2180.609948661832</x:v>
      </x:c>
      <x:c r="H40" s="74"/>
      <x:c r="I40" s="74"/>
      <x:c r="J40" s="74"/>
      <x:c r="K40" s="74"/>
      <x:c r="L40" s="74"/>
      <x:c r="M40" s="74"/>
    </x:row>
    <x:row r="41">
      <x:c r="A41" s="35" t="n">
        <x:v>19</x:v>
      </x:c>
      <x:c r="B41" s="74" t="n">
        <x:f>IF(F40&lt;G40,D40,B40)</x:f>
        <x:v>79.58185885826276</x:v>
      </x:c>
      <x:c r="C41" s="74" t="n">
        <x:f>IF(F40&lt;G40,C40,E40)</x:f>
        <x:v>79.69293706798656</x:v>
      </x:c>
      <x:c r="D41" s="74" t="n">
        <x:f>B41+(C41-B41)/3</x:f>
        <x:v>79.6188849281707</x:v>
      </x:c>
      <x:c r="E41" s="74" t="n">
        <x:f>C41-(C41-B41)/3</x:f>
        <x:v>79.65591099807862</x:v>
      </x:c>
      <x:c r="F41" s="74" t="n">
        <x:f>$B$13+$B$14*SIN(RADIANS(D41+$B$15))+$B$9*SIN(RADIANS(D41+$B$15))*((1-EXP(-$B$10*(-LN(1-$B$10*($B$8/$B$12-$B$14*COS(RADIANS(D41+$B$15)))/($B$9*COS(RADIANS(D41+$B$15))))/$B$10)))/$B$10)-$B$11*(((-LN(1-$B$10*($B$8/$B$12-$B$14*COS(RADIANS(D41+$B$15)))/($B$9*COS(RADIANS(D41+$B$15))))/$B$10)-((1-EXP(-$B$10*(-LN(1-$B$10*($B$8/$B$12-$B$14*COS(RADIANS(D41+$B$15)))/($B$9*COS(RADIANS(D41+$B$15))))/$B$10)))/$B$10))/$B$10)</x:f>
        <x:v>2180.5130439411137</x:v>
      </x:c>
      <x:c r="G41" s="74" t="n">
        <x:f>$B$13+$B$14*SIN(RADIANS(E41+$B$15))+$B$9*SIN(RADIANS(E41+$B$15))*((1-EXP(-$B$10*(-LN(1-$B$10*($B$8/$B$12-$B$14*COS(RADIANS(E41+$B$15)))/($B$9*COS(RADIANS(E41+$B$15))))/$B$10)))/$B$10)-$B$11*(((-LN(1-$B$10*($B$8/$B$12-$B$14*COS(RADIANS(E41+$B$15)))/($B$9*COS(RADIANS(E41+$B$15))))/$B$10)-((1-EXP(-$B$10*(-LN(1-$B$10*($B$8/$B$12-$B$14*COS(RADIANS(E41+$B$15)))/($B$9*COS(RADIANS(E41+$B$15))))/$B$10)))/$B$10))/$B$10)</x:f>
        <x:v>2180.668044029349</x:v>
      </x:c>
      <x:c r="H41" s="74"/>
      <x:c r="I41" s="74"/>
      <x:c r="J41" s="74"/>
      <x:c r="K41" s="74"/>
      <x:c r="L41" s="74"/>
      <x:c r="M41" s="74"/>
    </x:row>
    <x:row r="42">
      <x:c r="A42" s="35" t="n">
        <x:v>20</x:v>
      </x:c>
      <x:c r="B42" s="74" t="n">
        <x:f>IF(F41&lt;G41,D41,B41)</x:f>
        <x:v>79.6188849281707</x:v>
      </x:c>
      <x:c r="C42" s="74" t="n">
        <x:f>IF(F41&lt;G41,C41,E41)</x:f>
        <x:v>79.69293706798656</x:v>
      </x:c>
      <x:c r="D42" s="74" t="n">
        <x:f>B42+(C42-B42)/3</x:f>
        <x:v>79.64356897477599</x:v>
      </x:c>
      <x:c r="E42" s="74" t="n">
        <x:f>C42-(C42-B42)/3</x:f>
        <x:v>79.66825302138128</x:v>
      </x:c>
      <x:c r="F42" s="74" t="n">
        <x:f>$B$13+$B$14*SIN(RADIANS(D42+$B$15))+$B$9*SIN(RADIANS(D42+$B$15))*((1-EXP(-$B$10*(-LN(1-$B$10*($B$8/$B$12-$B$14*COS(RADIANS(D42+$B$15)))/($B$9*COS(RADIANS(D42+$B$15))))/$B$10)))/$B$10)-$B$11*(((-LN(1-$B$10*($B$8/$B$12-$B$14*COS(RADIANS(D42+$B$15)))/($B$9*COS(RADIANS(D42+$B$15))))/$B$10)-((1-EXP(-$B$10*(-LN(1-$B$10*($B$8/$B$12-$B$14*COS(RADIANS(D42+$B$15)))/($B$9*COS(RADIANS(D42+$B$15))))/$B$10)))/$B$10))/$B$10)</x:f>
        <x:v>2180.639499758856</x:v>
      </x:c>
      <x:c r="G42" s="74" t="n">
        <x:f>$B$13+$B$14*SIN(RADIANS(E42+$B$15))+$B$9*SIN(RADIANS(E42+$B$15))*((1-EXP(-$B$10*(-LN(1-$B$10*($B$8/$B$12-$B$14*COS(RADIANS(E42+$B$15)))/($B$9*COS(RADIANS(E42+$B$15))))/$B$10)))/$B$10)-$B$11*(((-LN(1-$B$10*($B$8/$B$12-$B$14*COS(RADIANS(E42+$B$15)))/($B$9*COS(RADIANS(E42+$B$15))))/$B$10)-((1-EXP(-$B$10*(-LN(1-$B$10*($B$8/$B$12-$B$14*COS(RADIANS(E42+$B$15)))/($B$9*COS(RADIANS(E42+$B$15))))/$B$10)))/$B$10))/$B$10)</x:f>
        <x:v>2180.672916777996</x:v>
      </x:c>
      <x:c r="H42" s="74"/>
      <x:c r="I42" s="74"/>
      <x:c r="J42" s="74"/>
      <x:c r="K42" s="74"/>
      <x:c r="L42" s="74"/>
      <x:c r="M42" s="74"/>
    </x:row>
    <x:row r="43">
      <x:c r="A43" s="35" t="n">
        <x:v>21</x:v>
      </x:c>
      <x:c r="B43" s="74" t="n">
        <x:f>IF(F42&lt;G42,D42,B42)</x:f>
        <x:v>79.64356897477599</x:v>
      </x:c>
      <x:c r="C43" s="74" t="n">
        <x:f>IF(F42&lt;G42,C42,E42)</x:f>
        <x:v>79.69293706798656</x:v>
      </x:c>
      <x:c r="D43" s="74" t="n">
        <x:f>B43+(C43-B43)/3</x:f>
        <x:v>79.66002500584618</x:v>
      </x:c>
      <x:c r="E43" s="74" t="n">
        <x:f>C43-(C43-B43)/3</x:f>
        <x:v>79.67648103691637</x:v>
      </x:c>
      <x:c r="F43" s="74" t="n">
        <x:f>$B$13+$B$14*SIN(RADIANS(D43+$B$15))+$B$9*SIN(RADIANS(D43+$B$15))*((1-EXP(-$B$10*(-LN(1-$B$10*($B$8/$B$12-$B$14*COS(RADIANS(D43+$B$15)))/($B$9*COS(RADIANS(D43+$B$15))))/$B$10)))/$B$10)-$B$11*(((-LN(1-$B$10*($B$8/$B$12-$B$14*COS(RADIANS(D43+$B$15)))/($B$9*COS(RADIANS(D43+$B$15))))/$B$10)-((1-EXP(-$B$10*(-LN(1-$B$10*($B$8/$B$12-$B$14*COS(RADIANS(D43+$B$15)))/($B$9*COS(RADIANS(D43+$B$15))))/$B$10)))/$B$10))/$B$10)</x:f>
        <x:v>2180.6723191349797</x:v>
      </x:c>
      <x:c r="G43" s="74" t="n">
        <x:f>$B$13+$B$14*SIN(RADIANS(E43+$B$15))+$B$9*SIN(RADIANS(E43+$B$15))*((1-EXP(-$B$10*(-LN(1-$B$10*($B$8/$B$12-$B$14*COS(RADIANS(E43+$B$15)))/($B$9*COS(RADIANS(E43+$B$15))))/$B$10)))/$B$10)-$B$11*(((-LN(1-$B$10*($B$8/$B$12-$B$14*COS(RADIANS(E43+$B$15)))/($B$9*COS(RADIANS(E43+$B$15))))/$B$10)-((1-EXP(-$B$10*(-LN(1-$B$10*($B$8/$B$12-$B$14*COS(RADIANS(E43+$B$15)))/($B$9*COS(RADIANS(E43+$B$15))))/$B$10)))/$B$10))/$B$10)</x:f>
        <x:v>2180.6628061272545</x:v>
      </x:c>
      <x:c r="H43" s="74"/>
      <x:c r="I43" s="74"/>
      <x:c r="J43" s="74"/>
      <x:c r="K43" s="74"/>
      <x:c r="L43" s="74"/>
      <x:c r="M43" s="74"/>
    </x:row>
    <x:row r="44">
      <x:c r="A44" s="35" t="n">
        <x:v>22</x:v>
      </x:c>
      <x:c r="B44" s="74" t="n">
        <x:f>IF(F43&lt;G43,D43,B43)</x:f>
        <x:v>79.64356897477599</x:v>
      </x:c>
      <x:c r="C44" s="74" t="n">
        <x:f>IF(F43&lt;G43,C43,E43)</x:f>
        <x:v>79.67648103691637</x:v>
      </x:c>
      <x:c r="D44" s="74" t="n">
        <x:f>B44+(C44-B44)/3</x:f>
        <x:v>79.65453966215611</x:v>
      </x:c>
      <x:c r="E44" s="74" t="n">
        <x:f>C44-(C44-B44)/3</x:f>
        <x:v>79.66551034953625</x:v>
      </x:c>
      <x:c r="F44" s="74" t="n">
        <x:f>$B$13+$B$14*SIN(RADIANS(D44+$B$15))+$B$9*SIN(RADIANS(D44+$B$15))*((1-EXP(-$B$10*(-LN(1-$B$10*($B$8/$B$12-$B$14*COS(RADIANS(D44+$B$15)))/($B$9*COS(RADIANS(D44+$B$15))))/$B$10)))/$B$10)-$B$11*(((-LN(1-$B$10*($B$8/$B$12-$B$14*COS(RADIANS(D44+$B$15)))/($B$9*COS(RADIANS(D44+$B$15))))/$B$10)-((1-EXP(-$B$10*(-LN(1-$B$10*($B$8/$B$12-$B$14*COS(RADIANS(D44+$B$15)))/($B$9*COS(RADIANS(D44+$B$15))))/$B$10)))/$B$10))/$B$10)</x:f>
        <x:v>2180.6660337634803</x:v>
      </x:c>
      <x:c r="G44" s="74" t="n">
        <x:f>$B$13+$B$14*SIN(RADIANS(E44+$B$15))+$B$9*SIN(RADIANS(E44+$B$15))*((1-EXP(-$B$10*(-LN(1-$B$10*($B$8/$B$12-$B$14*COS(RADIANS(E44+$B$15)))/($B$9*COS(RADIANS(E44+$B$15))))/$B$10)))/$B$10)-$B$11*(((-LN(1-$B$10*($B$8/$B$12-$B$14*COS(RADIANS(E44+$B$15)))/($B$9*COS(RADIANS(E44+$B$15))))/$B$10)-((1-EXP(-$B$10*(-LN(1-$B$10*($B$8/$B$12-$B$14*COS(RADIANS(E44+$B$15)))/($B$9*COS(RADIANS(E44+$B$15))))/$B$10)))/$B$10))/$B$10)</x:f>
        <x:v>2180.673901134567</x:v>
      </x:c>
      <x:c r="H44" s="74"/>
      <x:c r="I44" s="74"/>
      <x:c r="J44" s="74"/>
      <x:c r="K44" s="74"/>
      <x:c r="L44" s="74"/>
      <x:c r="M44" s="74"/>
    </x:row>
    <x:row r="45">
      <x:c r="A45" s="35" t="n">
        <x:v>23</x:v>
      </x:c>
      <x:c r="B45" s="74" t="n">
        <x:f>IF(F44&lt;G44,D44,B44)</x:f>
        <x:v>79.65453966215611</x:v>
      </x:c>
      <x:c r="C45" s="74" t="n">
        <x:f>IF(F44&lt;G44,C44,E44)</x:f>
        <x:v>79.67648103691637</x:v>
      </x:c>
      <x:c r="D45" s="74" t="n">
        <x:f>B45+(C45-B45)/3</x:f>
        <x:v>79.66185345374286</x:v>
      </x:c>
      <x:c r="E45" s="74" t="n">
        <x:f>C45-(C45-B45)/3</x:f>
        <x:v>79.66916724532962</x:v>
      </x:c>
      <x:c r="F45" s="74" t="n">
        <x:f>$B$13+$B$14*SIN(RADIANS(D45+$B$15))+$B$9*SIN(RADIANS(D45+$B$15))*((1-EXP(-$B$10*(-LN(1-$B$10*($B$8/$B$12-$B$14*COS(RADIANS(D45+$B$15)))/($B$9*COS(RADIANS(D45+$B$15))))/$B$10)))/$B$10)-$B$11*(((-LN(1-$B$10*($B$8/$B$12-$B$14*COS(RADIANS(D45+$B$15)))/($B$9*COS(RADIANS(D45+$B$15))))/$B$10)-((1-EXP(-$B$10*(-LN(1-$B$10*($B$8/$B$12-$B$14*COS(RADIANS(D45+$B$15)))/($B$9*COS(RADIANS(D45+$B$15))))/$B$10)))/$B$10))/$B$10)</x:f>
        <x:v>2180.6733708919505</x:v>
      </x:c>
      <x:c r="G45" s="74" t="n">
        <x:f>$B$13+$B$14*SIN(RADIANS(E45+$B$15))+$B$9*SIN(RADIANS(E45+$B$15))*((1-EXP(-$B$10*(-LN(1-$B$10*($B$8/$B$12-$B$14*COS(RADIANS(E45+$B$15)))/($B$9*COS(RADIANS(E45+$B$15))))/$B$10)))/$B$10)-$B$11*(((-LN(1-$B$10*($B$8/$B$12-$B$14*COS(RADIANS(E45+$B$15)))/($B$9*COS(RADIANS(E45+$B$15))))/$B$10)-((1-EXP(-$B$10*(-LN(1-$B$10*($B$8/$B$12-$B$14*COS(RADIANS(E45+$B$15)))/($B$9*COS(RADIANS(E45+$B$15))))/$B$10)))/$B$10))/$B$10)</x:f>
        <x:v>2180.6723244914674</x:v>
      </x:c>
      <x:c r="H45" s="74"/>
      <x:c r="I45" s="74"/>
      <x:c r="J45" s="74"/>
      <x:c r="K45" s="74"/>
      <x:c r="L45" s="74"/>
      <x:c r="M45" s="74"/>
    </x:row>
    <x:row r="46">
      <x:c r="A46" s="35" t="n">
        <x:v>24</x:v>
      </x:c>
      <x:c r="B46" s="74" t="n">
        <x:f>IF(F45&lt;G45,D45,B45)</x:f>
        <x:v>79.65453966215611</x:v>
      </x:c>
      <x:c r="C46" s="74" t="n">
        <x:f>IF(F45&lt;G45,C45,E45)</x:f>
        <x:v>79.66916724532962</x:v>
      </x:c>
      <x:c r="D46" s="74" t="n">
        <x:f>B46+(C46-B46)/3</x:f>
        <x:v>79.65941552321395</x:v>
      </x:c>
      <x:c r="E46" s="74" t="n">
        <x:f>C46-(C46-B46)/3</x:f>
        <x:v>79.66429138427178</x:v>
      </x:c>
      <x:c r="F46" s="74" t="n">
        <x:f>$B$13+$B$14*SIN(RADIANS(D46+$B$15))+$B$9*SIN(RADIANS(D46+$B$15))*((1-EXP(-$B$10*(-LN(1-$B$10*($B$8/$B$12-$B$14*COS(RADIANS(D46+$B$15)))/($B$9*COS(RADIANS(D46+$B$15))))/$B$10)))/$B$10)-$B$11*(((-LN(1-$B$10*($B$8/$B$12-$B$14*COS(RADIANS(D46+$B$15)))/($B$9*COS(RADIANS(D46+$B$15))))/$B$10)-((1-EXP(-$B$10*(-LN(1-$B$10*($B$8/$B$12-$B$14*COS(RADIANS(D46+$B$15)))/($B$9*COS(RADIANS(D46+$B$15))))/$B$10)))/$B$10))/$B$10)</x:f>
        <x:v>2180.6718523497093</x:v>
      </x:c>
      <x:c r="G46" s="74" t="n">
        <x:f>$B$13+$B$14*SIN(RADIANS(E46+$B$15))+$B$9*SIN(RADIANS(E46+$B$15))*((1-EXP(-$B$10*(-LN(1-$B$10*($B$8/$B$12-$B$14*COS(RADIANS(E46+$B$15)))/($B$9*COS(RADIANS(E46+$B$15))))/$B$10)))/$B$10)-$B$11*(((-LN(1-$B$10*($B$8/$B$12-$B$14*COS(RADIANS(E46+$B$15)))/($B$9*COS(RADIANS(E46+$B$15))))/$B$10)-((1-EXP(-$B$10*(-LN(1-$B$10*($B$8/$B$12-$B$14*COS(RADIANS(E46+$B$15)))/($B$9*COS(RADIANS(E46+$B$15))))/$B$10)))/$B$10))/$B$10)</x:f>
        <x:v>2180.6739579398377</x:v>
      </x:c>
      <x:c r="H46" s="74"/>
      <x:c r="I46" s="74"/>
      <x:c r="J46" s="74"/>
      <x:c r="K46" s="74"/>
      <x:c r="L46" s="74"/>
      <x:c r="M46" s="74"/>
    </x:row>
    <x:row r="47">
      <x:c r="A47" s="35" t="n">
        <x:v>25</x:v>
      </x:c>
      <x:c r="B47" s="74" t="n">
        <x:f>IF(F46&lt;G46,D46,B46)</x:f>
        <x:v>79.65941552321395</x:v>
      </x:c>
      <x:c r="C47" s="74" t="n">
        <x:f>IF(F46&lt;G46,C46,E46)</x:f>
        <x:v>79.66916724532962</x:v>
      </x:c>
      <x:c r="D47" s="74" t="n">
        <x:f>B47+(C47-B47)/3</x:f>
        <x:v>79.66266609725251</x:v>
      </x:c>
      <x:c r="E47" s="74" t="n">
        <x:f>C47-(C47-B47)/3</x:f>
        <x:v>79.66591667129106</x:v>
      </x:c>
      <x:c r="F47" s="74" t="n">
        <x:f>$B$13+$B$14*SIN(RADIANS(D47+$B$15))+$B$9*SIN(RADIANS(D47+$B$15))*((1-EXP(-$B$10*(-LN(1-$B$10*($B$8/$B$12-$B$14*COS(RADIANS(D47+$B$15)))/($B$9*COS(RADIANS(D47+$B$15))))/$B$10)))/$B$10)-$B$11*(((-LN(1-$B$10*($B$8/$B$12-$B$14*COS(RADIANS(D47+$B$15)))/($B$9*COS(RADIANS(D47+$B$15))))/$B$10)-((1-EXP(-$B$10*(-LN(1-$B$10*($B$8/$B$12-$B$14*COS(RADIANS(D47+$B$15)))/($B$9*COS(RADIANS(D47+$B$15))))/$B$10)))/$B$10))/$B$10)</x:f>
        <x:v>2180.673670234761</x:v>
      </x:c>
      <x:c r="G47" s="74" t="n">
        <x:f>$B$13+$B$14*SIN(RADIANS(E47+$B$15))+$B$9*SIN(RADIANS(E47+$B$15))*((1-EXP(-$B$10*(-LN(1-$B$10*($B$8/$B$12-$B$14*COS(RADIANS(E47+$B$15)))/($B$9*COS(RADIANS(E47+$B$15))))/$B$10)))/$B$10)-$B$11*(((-LN(1-$B$10*($B$8/$B$12-$B$14*COS(RADIANS(E47+$B$15)))/($B$9*COS(RADIANS(E47+$B$15))))/$B$10)-((1-EXP(-$B$10*(-LN(1-$B$10*($B$8/$B$12-$B$14*COS(RADIANS(E47+$B$15)))/($B$9*COS(RADIANS(E47+$B$15))))/$B$10)))/$B$10))/$B$10)</x:f>
        <x:v>2180.673830197952</x:v>
      </x:c>
      <x:c r="H47" s="74"/>
      <x:c r="I47" s="74"/>
      <x:c r="J47" s="74"/>
      <x:c r="K47" s="74"/>
      <x:c r="L47" s="74"/>
      <x:c r="M47" s="74"/>
    </x:row>
    <x:row r="48">
      <x:c r="A48" s="35" t="n">
        <x:v>26</x:v>
      </x:c>
      <x:c r="B48" s="74" t="n">
        <x:f>IF(F47&lt;G47,D47,B47)</x:f>
        <x:v>79.66266609725251</x:v>
      </x:c>
      <x:c r="C48" s="74" t="n">
        <x:f>IF(F47&lt;G47,C47,E47)</x:f>
        <x:v>79.66916724532962</x:v>
      </x:c>
      <x:c r="D48" s="74" t="n">
        <x:f>B48+(C48-B48)/3</x:f>
        <x:v>79.66483314661154</x:v>
      </x:c>
      <x:c r="E48" s="74" t="n">
        <x:f>C48-(C48-B48)/3</x:f>
        <x:v>79.66700019597059</x:v>
      </x:c>
      <x:c r="F48" s="74" t="n">
        <x:f>$B$13+$B$14*SIN(RADIANS(D48+$B$15))+$B$9*SIN(RADIANS(D48+$B$15))*((1-EXP(-$B$10*(-LN(1-$B$10*($B$8/$B$12-$B$14*COS(RADIANS(D48+$B$15)))/($B$9*COS(RADIANS(D48+$B$15))))/$B$10)))/$B$10)-$B$11*(((-LN(1-$B$10*($B$8/$B$12-$B$14*COS(RADIANS(D48+$B$15)))/($B$9*COS(RADIANS(D48+$B$15))))/$B$10)-((1-EXP(-$B$10*(-LN(1-$B$10*($B$8/$B$12-$B$14*COS(RADIANS(D48+$B$15)))/($B$9*COS(RADIANS(D48+$B$15))))/$B$10)))/$B$10))/$B$10)</x:f>
        <x:v>2180.67396156782</x:v>
      </x:c>
      <x:c r="G48" s="74" t="n">
        <x:f>$B$13+$B$14*SIN(RADIANS(E48+$B$15))+$B$9*SIN(RADIANS(E48+$B$15))*((1-EXP(-$B$10*(-LN(1-$B$10*($B$8/$B$12-$B$14*COS(RADIANS(E48+$B$15)))/($B$9*COS(RADIANS(E48+$B$15))))/$B$10)))/$B$10)-$B$11*(((-LN(1-$B$10*($B$8/$B$12-$B$14*COS(RADIANS(E48+$B$15)))/($B$9*COS(RADIANS(E48+$B$15))))/$B$10)-((1-EXP(-$B$10*(-LN(1-$B$10*($B$8/$B$12-$B$14*COS(RADIANS(E48+$B$15)))/($B$9*COS(RADIANS(E48+$B$15))))/$B$10)))/$B$10))/$B$10)</x:f>
        <x:v>2180.6735137540254</x:v>
      </x:c>
      <x:c r="H48" s="74"/>
      <x:c r="I48" s="74"/>
      <x:c r="J48" s="74"/>
      <x:c r="K48" s="74"/>
      <x:c r="L48" s="74"/>
      <x:c r="M48" s="74"/>
    </x:row>
    <x:row r="49">
      <x:c r="A49" s="35" t="n">
        <x:v>27</x:v>
      </x:c>
      <x:c r="B49" s="74" t="n">
        <x:f>IF(F48&lt;G48,D48,B48)</x:f>
        <x:v>79.66266609725251</x:v>
      </x:c>
      <x:c r="C49" s="74" t="n">
        <x:f>IF(F48&lt;G48,C48,E48)</x:f>
        <x:v>79.66700019597059</x:v>
      </x:c>
      <x:c r="D49" s="74" t="n">
        <x:f>B49+(C49-B49)/3</x:f>
        <x:v>79.6641107968252</x:v>
      </x:c>
      <x:c r="E49" s="74" t="n">
        <x:f>C49-(C49-B49)/3</x:f>
        <x:v>79.6655554963979</x:v>
      </x:c>
      <x:c r="F49" s="74" t="n">
        <x:f>$B$13+$B$14*SIN(RADIANS(D49+$B$15))+$B$9*SIN(RADIANS(D49+$B$15))*((1-EXP(-$B$10*(-LN(1-$B$10*($B$8/$B$12-$B$14*COS(RADIANS(D49+$B$15)))/($B$9*COS(RADIANS(D49+$B$15))))/$B$10)))/$B$10)-$B$11*(((-LN(1-$B$10*($B$8/$B$12-$B$14*COS(RADIANS(D49+$B$15)))/($B$9*COS(RADIANS(D49+$B$15))))/$B$10)-((1-EXP(-$B$10*(-LN(1-$B$10*($B$8/$B$12-$B$14*COS(RADIANS(D49+$B$15)))/($B$9*COS(RADIANS(D49+$B$15))))/$B$10)))/$B$10))/$B$10)</x:f>
        <x:v>2180.673946470795</x:v>
      </x:c>
      <x:c r="G49" s="74" t="n">
        <x:f>$B$13+$B$14*SIN(RADIANS(E49+$B$15))+$B$9*SIN(RADIANS(E49+$B$15))*((1-EXP(-$B$10*(-LN(1-$B$10*($B$8/$B$12-$B$14*COS(RADIANS(E49+$B$15)))/($B$9*COS(RADIANS(E49+$B$15))))/$B$10)))/$B$10)-$B$11*(((-LN(1-$B$10*($B$8/$B$12-$B$14*COS(RADIANS(E49+$B$15)))/($B$9*COS(RADIANS(E49+$B$15))))/$B$10)-((1-EXP(-$B$10*(-LN(1-$B$10*($B$8/$B$12-$B$14*COS(RADIANS(E49+$B$15)))/($B$9*COS(RADIANS(E49+$B$15))))/$B$10)))/$B$10))/$B$10)</x:f>
        <x:v>2180.6738945374855</x:v>
      </x:c>
      <x:c r="H49" s="74"/>
      <x:c r="I49" s="74"/>
      <x:c r="J49" s="74"/>
      <x:c r="K49" s="74"/>
      <x:c r="L49" s="74"/>
      <x:c r="M49" s="74"/>
    </x:row>
    <x:row r="50">
      <x:c r="A50" s="35" t="n">
        <x:v>28</x:v>
      </x:c>
      <x:c r="B50" s="74" t="n">
        <x:f>IF(F49&lt;G49,D49,B49)</x:f>
        <x:v>79.66266609725251</x:v>
      </x:c>
      <x:c r="C50" s="74" t="n">
        <x:f>IF(F49&lt;G49,C49,E49)</x:f>
        <x:v>79.6655554963979</x:v>
      </x:c>
      <x:c r="D50" s="74" t="n">
        <x:f>B50+(C50-B50)/3</x:f>
        <x:v>79.66362923030097</x:v>
      </x:c>
      <x:c r="E50" s="74" t="n">
        <x:f>C50-(C50-B50)/3</x:f>
        <x:v>79.66459236334944</x:v>
      </x:c>
      <x:c r="F50" s="74" t="n">
        <x:f>$B$13+$B$14*SIN(RADIANS(D50+$B$15))+$B$9*SIN(RADIANS(D50+$B$15))*((1-EXP(-$B$10*(-LN(1-$B$10*($B$8/$B$12-$B$14*COS(RADIANS(D50+$B$15)))/($B$9*COS(RADIANS(D50+$B$15))))/$B$10)))/$B$10)-$B$11*(((-LN(1-$B$10*($B$8/$B$12-$B$14*COS(RADIANS(D50+$B$15)))/($B$9*COS(RADIANS(D50+$B$15))))/$B$10)-((1-EXP(-$B$10*(-LN(1-$B$10*($B$8/$B$12-$B$14*COS(RADIANS(D50+$B$15)))/($B$9*COS(RADIANS(D50+$B$15))))/$B$10)))/$B$10))/$B$10)</x:f>
        <x:v>2180.6738908218044</x:v>
      </x:c>
      <x:c r="G50" s="74" t="n">
        <x:f>$B$13+$B$14*SIN(RADIANS(E50+$B$15))+$B$9*SIN(RADIANS(E50+$B$15))*((1-EXP(-$B$10*(-LN(1-$B$10*($B$8/$B$12-$B$14*COS(RADIANS(E50+$B$15)))/($B$9*COS(RADIANS(E50+$B$15))))/$B$10)))/$B$10)-$B$11*(((-LN(1-$B$10*($B$8/$B$12-$B$14*COS(RADIANS(E50+$B$15)))/($B$9*COS(RADIANS(E50+$B$15))))/$B$10)-((1-EXP(-$B$10*(-LN(1-$B$10*($B$8/$B$12-$B$14*COS(RADIANS(E50+$B$15)))/($B$9*COS(RADIANS(E50+$B$15))))/$B$10)))/$B$10))/$B$10)</x:f>
        <x:v>2180.673965656538</x:v>
      </x:c>
      <x:c r="H50" s="74"/>
      <x:c r="I50" s="74"/>
      <x:c r="J50" s="74"/>
      <x:c r="K50" s="74"/>
      <x:c r="L50" s="74"/>
      <x:c r="M50" s="74"/>
    </x:row>
    <x:row r="51">
      <x:c r="A51" s="35" t="n">
        <x:v>29</x:v>
      </x:c>
      <x:c r="B51" s="74" t="n">
        <x:f>IF(F50&lt;G50,D50,B50)</x:f>
        <x:v>79.66362923030097</x:v>
      </x:c>
      <x:c r="C51" s="74" t="n">
        <x:f>IF(F50&lt;G50,C50,E50)</x:f>
        <x:v>79.6655554963979</x:v>
      </x:c>
      <x:c r="D51" s="74" t="n">
        <x:f>B51+(C51-B51)/3</x:f>
        <x:v>79.66427131899995</x:v>
      </x:c>
      <x:c r="E51" s="74" t="n">
        <x:f>C51-(C51-B51)/3</x:f>
        <x:v>79.66491340769892</x:v>
      </x:c>
      <x:c r="F51" s="74" t="n">
        <x:f>$B$13+$B$14*SIN(RADIANS(D51+$B$15))+$B$9*SIN(RADIANS(D51+$B$15))*((1-EXP(-$B$10*(-LN(1-$B$10*($B$8/$B$12-$B$14*COS(RADIANS(D51+$B$15)))/($B$9*COS(RADIANS(D51+$B$15))))/$B$10)))/$B$10)-$B$11*(((-LN(1-$B$10*($B$8/$B$12-$B$14*COS(RADIANS(D51+$B$15)))/($B$9*COS(RADIANS(D51+$B$15))))/$B$10)-((1-EXP(-$B$10*(-LN(1-$B$10*($B$8/$B$12-$B$14*COS(RADIANS(D51+$B$15)))/($B$9*COS(RADIANS(D51+$B$15))))/$B$10)))/$B$10))/$B$10)</x:f>
        <x:v>2180.6739569187584</x:v>
      </x:c>
      <x:c r="G51" s="74" t="n">
        <x:f>$B$13+$B$14*SIN(RADIANS(E51+$B$15))+$B$9*SIN(RADIANS(E51+$B$15))*((1-EXP(-$B$10*(-LN(1-$B$10*($B$8/$B$12-$B$14*COS(RADIANS(E51+$B$15)))/($B$9*COS(RADIANS(E51+$B$15))))/$B$10)))/$B$10)-$B$11*(((-LN(1-$B$10*($B$8/$B$12-$B$14*COS(RADIANS(E51+$B$15)))/($B$9*COS(RADIANS(E51+$B$15))))/$B$10)-((1-EXP(-$B$10*(-LN(1-$B$10*($B$8/$B$12-$B$14*COS(RADIANS(E51+$B$15)))/($B$9*COS(RADIANS(E51+$B$15))))/$B$10)))/$B$10))/$B$10)</x:f>
        <x:v>2180.6739581772326</x:v>
      </x:c>
      <x:c r="H51" s="74"/>
      <x:c r="I51" s="74"/>
      <x:c r="J51" s="74"/>
      <x:c r="K51" s="74"/>
      <x:c r="L51" s="74"/>
      <x:c r="M51" s="74"/>
    </x:row>
    <x:row r="52">
      <x:c r="A52" s="35" t="n">
        <x:v>30</x:v>
      </x:c>
      <x:c r="B52" s="74" t="n">
        <x:f>IF(F51&lt;G51,D51,B51)</x:f>
        <x:v>79.66427131899995</x:v>
      </x:c>
      <x:c r="C52" s="74" t="n">
        <x:f>IF(F51&lt;G51,C51,E51)</x:f>
        <x:v>79.6655554963979</x:v>
      </x:c>
      <x:c r="D52" s="74" t="n">
        <x:f>B52+(C52-B52)/3</x:f>
        <x:v>79.6646993781326</x:v>
      </x:c>
      <x:c r="E52" s="74" t="n">
        <x:f>C52-(C52-B52)/3</x:f>
        <x:v>79.66512743726526</x:v>
      </x:c>
      <x:c r="F52" s="74" t="n">
        <x:f>$B$13+$B$14*SIN(RADIANS(D52+$B$15))+$B$9*SIN(RADIANS(D52+$B$15))*((1-EXP(-$B$10*(-LN(1-$B$10*($B$8/$B$12-$B$14*COS(RADIANS(D52+$B$15)))/($B$9*COS(RADIANS(D52+$B$15))))/$B$10)))/$B$10)-$B$11*(((-LN(1-$B$10*($B$8/$B$12-$B$14*COS(RADIANS(D52+$B$15)))/($B$9*COS(RADIANS(D52+$B$15))))/$B$10)-((1-EXP(-$B$10*(-LN(1-$B$10*($B$8/$B$12-$B$14*COS(RADIANS(D52+$B$15)))/($B$9*COS(RADIANS(D52+$B$15))))/$B$10)))/$B$10))/$B$10)</x:f>
        <x:v>2180.673964965704</x:v>
      </x:c>
      <x:c r="G52" s="74" t="n">
        <x:f>$B$13+$B$14*SIN(RADIANS(E52+$B$15))+$B$9*SIN(RADIANS(E52+$B$15))*((1-EXP(-$B$10*(-LN(1-$B$10*($B$8/$B$12-$B$14*COS(RADIANS(E52+$B$15)))/($B$9*COS(RADIANS(E52+$B$15))))/$B$10)))/$B$10)-$B$11*(((-LN(1-$B$10*($B$8/$B$12-$B$14*COS(RADIANS(E52+$B$15)))/($B$9*COS(RADIANS(E52+$B$15))))/$B$10)-((1-EXP(-$B$10*(-LN(1-$B$10*($B$8/$B$12-$B$14*COS(RADIANS(E52+$B$15)))/($B$9*COS(RADIANS(E52+$B$15))))/$B$10)))/$B$10))/$B$10)</x:f>
        <x:v>2180.6739441778504</x:v>
      </x:c>
      <x:c r="H52" s="74"/>
      <x:c r="I52" s="74"/>
      <x:c r="J52" s="74"/>
      <x:c r="K52" s="74"/>
      <x:c r="L52" s="74"/>
      <x:c r="M52" s="74"/>
    </x:row>
    <x:row r="53">
      <x:c r="A53" s="35" t="n">
        <x:v>31</x:v>
      </x:c>
      <x:c r="B53" s="74" t="n">
        <x:f>IF(F52&lt;G52,D52,B52)</x:f>
        <x:v>79.66427131899995</x:v>
      </x:c>
      <x:c r="C53" s="74" t="n">
        <x:f>IF(F52&lt;G52,C52,E52)</x:f>
        <x:v>79.66512743726526</x:v>
      </x:c>
      <x:c r="D53" s="74" t="n">
        <x:f>B53+(C53-B53)/3</x:f>
        <x:v>79.66455669175505</x:v>
      </x:c>
      <x:c r="E53" s="74" t="n">
        <x:f>C53-(C53-B53)/3</x:f>
        <x:v>79.66484206451015</x:v>
      </x:c>
      <x:c r="F53" s="74" t="n">
        <x:f>$B$13+$B$14*SIN(RADIANS(D53+$B$15))+$B$9*SIN(RADIANS(D53+$B$15))*((1-EXP(-$B$10*(-LN(1-$B$10*($B$8/$B$12-$B$14*COS(RADIANS(D53+$B$15)))/($B$9*COS(RADIANS(D53+$B$15))))/$B$10)))/$B$10)-$B$11*(((-LN(1-$B$10*($B$8/$B$12-$B$14*COS(RADIANS(D53+$B$15)))/($B$9*COS(RADIANS(D53+$B$15))))/$B$10)-((1-EXP(-$B$10*(-LN(1-$B$10*($B$8/$B$12-$B$14*COS(RADIANS(D53+$B$15)))/($B$9*COS(RADIANS(D53+$B$15))))/$B$10)))/$B$10))/$B$10)</x:f>
        <x:v>2180.6739654863804</x:v>
      </x:c>
      <x:c r="G53" s="74" t="n">
        <x:f>$B$13+$B$14*SIN(RADIANS(E53+$B$15))+$B$9*SIN(RADIANS(E53+$B$15))*((1-EXP(-$B$10*(-LN(1-$B$10*($B$8/$B$12-$B$14*COS(RADIANS(E53+$B$15)))/($B$9*COS(RADIANS(E53+$B$15))))/$B$10)))/$B$10)-$B$11*(((-LN(1-$B$10*($B$8/$B$12-$B$14*COS(RADIANS(E53+$B$15)))/($B$9*COS(RADIANS(E53+$B$15))))/$B$10)-((1-EXP(-$B$10*(-LN(1-$B$10*($B$8/$B$12-$B$14*COS(RADIANS(E53+$B$15)))/($B$9*COS(RADIANS(E53+$B$15))))/$B$10)))/$B$10))/$B$10)</x:f>
        <x:v>2180.6739612411598</x:v>
      </x:c>
      <x:c r="H53" s="74"/>
      <x:c r="I53" s="74"/>
      <x:c r="J53" s="74"/>
      <x:c r="K53" s="74"/>
      <x:c r="L53" s="74"/>
      <x:c r="M53" s="74"/>
    </x:row>
    <x:row r="54">
      <x:c r="A54" s="35" t="n">
        <x:v>32</x:v>
      </x:c>
      <x:c r="B54" s="74" t="n">
        <x:f>IF(F53&lt;G53,D53,B53)</x:f>
        <x:v>79.66427131899995</x:v>
      </x:c>
      <x:c r="C54" s="74" t="n">
        <x:f>IF(F53&lt;G53,C53,E53)</x:f>
        <x:v>79.66484206451015</x:v>
      </x:c>
      <x:c r="D54" s="74" t="n">
        <x:f>B54+(C54-B54)/3</x:f>
        <x:v>79.66446156750335</x:v>
      </x:c>
      <x:c r="E54" s="74" t="n">
        <x:f>C54-(C54-B54)/3</x:f>
        <x:v>79.66465181600675</x:v>
      </x:c>
      <x:c r="F54" s="74" t="n">
        <x:f>$B$13+$B$14*SIN(RADIANS(D54+$B$15))+$B$9*SIN(RADIANS(D54+$B$15))*((1-EXP(-$B$10*(-LN(1-$B$10*($B$8/$B$12-$B$14*COS(RADIANS(D54+$B$15)))/($B$9*COS(RADIANS(D54+$B$15))))/$B$10)))/$B$10)-$B$11*(((-LN(1-$B$10*($B$8/$B$12-$B$14*COS(RADIANS(D54+$B$15)))/($B$9*COS(RADIANS(D54+$B$15))))/$B$10)-((1-EXP(-$B$10*(-LN(1-$B$10*($B$8/$B$12-$B$14*COS(RADIANS(D54+$B$15)))/($B$9*COS(RADIANS(D54+$B$15))))/$B$10)))/$B$10))/$B$10)</x:f>
        <x:v>2180.6739640538967</x:v>
      </x:c>
      <x:c r="G54" s="74" t="n">
        <x:f>$B$13+$B$14*SIN(RADIANS(E54+$B$15))+$B$9*SIN(RADIANS(E54+$B$15))*((1-EXP(-$B$10*(-LN(1-$B$10*($B$8/$B$12-$B$14*COS(RADIANS(E54+$B$15)))/($B$9*COS(RADIANS(E54+$B$15))))/$B$10)))/$B$10)-$B$11*(((-LN(1-$B$10*($B$8/$B$12-$B$14*COS(RADIANS(E54+$B$15)))/($B$9*COS(RADIANS(E54+$B$15))))/$B$10)-((1-EXP(-$B$10*(-LN(1-$B$10*($B$8/$B$12-$B$14*COS(RADIANS(E54+$B$15)))/($B$9*COS(RADIANS(E54+$B$15))))/$B$10)))/$B$10))/$B$10)</x:f>
        <x:v>2180.6739654952153</x:v>
      </x:c>
      <x:c r="H54" s="74"/>
      <x:c r="I54" s="74"/>
      <x:c r="J54" s="74"/>
      <x:c r="K54" s="74"/>
      <x:c r="L54" s="74"/>
      <x:c r="M54" s="74"/>
    </x:row>
    <x:row r="55">
      <x:c r="A55" s="35" t="n">
        <x:v>33</x:v>
      </x:c>
      <x:c r="B55" s="74" t="n">
        <x:f>IF(F54&lt;G54,D54,B54)</x:f>
        <x:v>79.66446156750335</x:v>
      </x:c>
      <x:c r="C55" s="74" t="n">
        <x:f>IF(F54&lt;G54,C54,E54)</x:f>
        <x:v>79.66484206451015</x:v>
      </x:c>
      <x:c r="D55" s="74" t="n">
        <x:f>B55+(C55-B55)/3</x:f>
        <x:v>79.66458839983895</x:v>
      </x:c>
      <x:c r="E55" s="74" t="n">
        <x:f>C55-(C55-B55)/3</x:f>
        <x:v>79.66471523217456</x:v>
      </x:c>
      <x:c r="F55" s="74" t="n">
        <x:f>$B$13+$B$14*SIN(RADIANS(D55+$B$15))+$B$9*SIN(RADIANS(D55+$B$15))*((1-EXP(-$B$10*(-LN(1-$B$10*($B$8/$B$12-$B$14*COS(RADIANS(D55+$B$15)))/($B$9*COS(RADIANS(D55+$B$15))))/$B$10)))/$B$10)-$B$11*(((-LN(1-$B$10*($B$8/$B$12-$B$14*COS(RADIANS(D55+$B$15)))/($B$9*COS(RADIANS(D55+$B$15))))/$B$10)-((1-EXP(-$B$10*(-LN(1-$B$10*($B$8/$B$12-$B$14*COS(RADIANS(D55+$B$15)))/($B$9*COS(RADIANS(D55+$B$15))))/$B$10)))/$B$10))/$B$10)</x:f>
        <x:v>2180.6739656475183</x:v>
      </x:c>
      <x:c r="G55" s="74" t="n">
        <x:f>$B$13+$B$14*SIN(RADIANS(E55+$B$15))+$B$9*SIN(RADIANS(E55+$B$15))*((1-EXP(-$B$10*(-LN(1-$B$10*($B$8/$B$12-$B$14*COS(RADIANS(E55+$B$15)))/($B$9*COS(RADIANS(E55+$B$15))))/$B$10)))/$B$10)-$B$11*(((-LN(1-$B$10*($B$8/$B$12-$B$14*COS(RADIANS(E55+$B$15)))/($B$9*COS(RADIANS(E55+$B$15))))/$B$10)-((1-EXP(-$B$10*(-LN(1-$B$10*($B$8/$B$12-$B$14*COS(RADIANS(E55+$B$15)))/($B$9*COS(RADIANS(E55+$B$15))))/$B$10)))/$B$10))/$B$10)</x:f>
        <x:v>2180.673964710093</x:v>
      </x:c>
      <x:c r="H55" s="74"/>
      <x:c r="I55" s="74"/>
      <x:c r="J55" s="74"/>
      <x:c r="K55" s="74"/>
      <x:c r="L55" s="74"/>
      <x:c r="M55" s="74"/>
    </x:row>
    <x:row r="56">
      <x:c r="A56" s="35" t="n">
        <x:v>34</x:v>
      </x:c>
      <x:c r="B56" s="74" t="n">
        <x:f>IF(F55&lt;G55,D55,B55)</x:f>
        <x:v>79.66446156750335</x:v>
      </x:c>
      <x:c r="C56" s="74" t="n">
        <x:f>IF(F55&lt;G55,C55,E55)</x:f>
        <x:v>79.66471523217456</x:v>
      </x:c>
      <x:c r="D56" s="74" t="n">
        <x:f>B56+(C56-B56)/3</x:f>
        <x:v>79.66454612239376</x:v>
      </x:c>
      <x:c r="E56" s="74" t="n">
        <x:f>C56-(C56-B56)/3</x:f>
        <x:v>79.66463067728415</x:v>
      </x:c>
      <x:c r="F56" s="74" t="n">
        <x:f>$B$13+$B$14*SIN(RADIANS(D56+$B$15))+$B$9*SIN(RADIANS(D56+$B$15))*((1-EXP(-$B$10*(-LN(1-$B$10*($B$8/$B$12-$B$14*COS(RADIANS(D56+$B$15)))/($B$9*COS(RADIANS(D56+$B$15))))/$B$10)))/$B$10)-$B$11*(((-LN(1-$B$10*($B$8/$B$12-$B$14*COS(RADIANS(D56+$B$15)))/($B$9*COS(RADIANS(D56+$B$15))))/$B$10)-((1-EXP(-$B$10*(-LN(1-$B$10*($B$8/$B$12-$B$14*COS(RADIANS(D56+$B$15)))/($B$9*COS(RADIANS(D56+$B$15))))/$B$10)))/$B$10))/$B$10)</x:f>
        <x:v>2180.673965397516</x:v>
      </x:c>
      <x:c r="G56" s="74" t="n">
        <x:f>$B$13+$B$14*SIN(RADIANS(E56+$B$15))+$B$9*SIN(RADIANS(E56+$B$15))*((1-EXP(-$B$10*(-LN(1-$B$10*($B$8/$B$12-$B$14*COS(RADIANS(E56+$B$15)))/($B$9*COS(RADIANS(E56+$B$15))))/$B$10)))/$B$10)-$B$11*(((-LN(1-$B$10*($B$8/$B$12-$B$14*COS(RADIANS(E56+$B$15)))/($B$9*COS(RADIANS(E56+$B$15))))/$B$10)-((1-EXP(-$B$10*(-LN(1-$B$10*($B$8/$B$12-$B$14*COS(RADIANS(E56+$B$15)))/($B$9*COS(RADIANS(E56+$B$15))))/$B$10)))/$B$10))/$B$10)</x:f>
        <x:v>2180.6739656162936</x:v>
      </x:c>
      <x:c r="H56" s="74"/>
      <x:c r="I56" s="74"/>
      <x:c r="J56" s="74"/>
      <x:c r="K56" s="74"/>
      <x:c r="L56" s="74"/>
      <x:c r="M56" s="74"/>
    </x:row>
    <x:row r="57">
      <x:c r="A57" s="35" t="n">
        <x:v>35</x:v>
      </x:c>
      <x:c r="B57" s="74" t="n">
        <x:f>IF(F56&lt;G56,D56,B56)</x:f>
        <x:v>79.66454612239376</x:v>
      </x:c>
      <x:c r="C57" s="74" t="n">
        <x:f>IF(F56&lt;G56,C56,E56)</x:f>
        <x:v>79.66471523217456</x:v>
      </x:c>
      <x:c r="D57" s="74" t="n">
        <x:f>B57+(C57-B57)/3</x:f>
        <x:v>79.6646024923207</x:v>
      </x:c>
      <x:c r="E57" s="74" t="n">
        <x:f>C57-(C57-B57)/3</x:f>
        <x:v>79.66465886224762</x:v>
      </x:c>
      <x:c r="F57" s="74" t="n">
        <x:f>$B$13+$B$14*SIN(RADIANS(D57+$B$15))+$B$9*SIN(RADIANS(D57+$B$15))*((1-EXP(-$B$10*(-LN(1-$B$10*($B$8/$B$12-$B$14*COS(RADIANS(D57+$B$15)))/($B$9*COS(RADIANS(D57+$B$15))))/$B$10)))/$B$10)-$B$11*(((-LN(1-$B$10*($B$8/$B$12-$B$14*COS(RADIANS(D57+$B$15)))/($B$9*COS(RADIANS(D57+$B$15))))/$B$10)-((1-EXP(-$B$10*(-LN(1-$B$10*($B$8/$B$12-$B$14*COS(RADIANS(D57+$B$15)))/($B$9*COS(RADIANS(D57+$B$15))))/$B$10)))/$B$10))/$B$10)</x:f>
        <x:v>2180.6739656683585</x:v>
      </x:c>
      <x:c r="G57" s="74" t="n">
        <x:f>$B$13+$B$14*SIN(RADIANS(E57+$B$15))+$B$9*SIN(RADIANS(E57+$B$15))*((1-EXP(-$B$10*(-LN(1-$B$10*($B$8/$B$12-$B$14*COS(RADIANS(E57+$B$15)))/($B$9*COS(RADIANS(E57+$B$15))))/$B$10)))/$B$10)-$B$11*(((-LN(1-$B$10*($B$8/$B$12-$B$14*COS(RADIANS(E57+$B$15)))/($B$9*COS(RADIANS(E57+$B$15))))/$B$10)-((1-EXP(-$B$10*(-LN(1-$B$10*($B$8/$B$12-$B$14*COS(RADIANS(E57+$B$15)))/($B$9*COS(RADIANS(E57+$B$15))))/$B$10)))/$B$10))/$B$10)</x:f>
        <x:v>2180.673965439231</x:v>
      </x:c>
      <x:c r="H57" s="74"/>
      <x:c r="I57" s="74"/>
      <x:c r="J57" s="74"/>
      <x:c r="K57" s="74"/>
      <x:c r="L57" s="74"/>
      <x:c r="M57" s="74"/>
    </x:row>
    <x:row r="58">
      <x:c r="A58" s="35" t="n">
        <x:v>36</x:v>
      </x:c>
      <x:c r="B58" s="74" t="n">
        <x:f>IF(F57&lt;G57,D57,B57)</x:f>
        <x:v>79.66454612239376</x:v>
      </x:c>
      <x:c r="C58" s="74" t="n">
        <x:f>IF(F57&lt;G57,C57,E57)</x:f>
        <x:v>79.66465886224762</x:v>
      </x:c>
      <x:c r="D58" s="74" t="n">
        <x:f>B58+(C58-B58)/3</x:f>
        <x:v>79.66458370234504</x:v>
      </x:c>
      <x:c r="E58" s="74" t="n">
        <x:f>C58-(C58-B58)/3</x:f>
        <x:v>79.66462128229634</x:v>
      </x:c>
      <x:c r="F58" s="74" t="n">
        <x:f>$B$13+$B$14*SIN(RADIANS(D58+$B$15))+$B$9*SIN(RADIANS(D58+$B$15))*((1-EXP(-$B$10*(-LN(1-$B$10*($B$8/$B$12-$B$14*COS(RADIANS(D58+$B$15)))/($B$9*COS(RADIANS(D58+$B$15))))/$B$10)))/$B$10)-$B$11*(((-LN(1-$B$10*($B$8/$B$12-$B$14*COS(RADIANS(D58+$B$15)))/($B$9*COS(RADIANS(D58+$B$15))))/$B$10)-((1-EXP(-$B$10*(-LN(1-$B$10*($B$8/$B$12-$B$14*COS(RADIANS(D58+$B$15)))/($B$9*COS(RADIANS(D58+$B$15))))/$B$10)))/$B$10))/$B$10)</x:f>
        <x:v>2180.6739656336276</x:v>
      </x:c>
      <x:c r="G58" s="74" t="n">
        <x:f>$B$13+$B$14*SIN(RADIANS(E58+$B$15))+$B$9*SIN(RADIANS(E58+$B$15))*((1-EXP(-$B$10*(-LN(1-$B$10*($B$8/$B$12-$B$14*COS(RADIANS(E58+$B$15)))/($B$9*COS(RADIANS(E58+$B$15))))/$B$10)))/$B$10)-$B$11*(((-LN(1-$B$10*($B$8/$B$12-$B$14*COS(RADIANS(E58+$B$15)))/($B$9*COS(RADIANS(E58+$B$15))))/$B$10)-((1-EXP(-$B$10*(-LN(1-$B$10*($B$8/$B$12-$B$14*COS(RADIANS(E58+$B$15)))/($B$9*COS(RADIANS(E58+$B$15))))/$B$10)))/$B$10))/$B$10)</x:f>
        <x:v>2180.6739656475365</x:v>
      </x:c>
      <x:c r="H58" s="74"/>
      <x:c r="I58" s="74"/>
      <x:c r="J58" s="74"/>
      <x:c r="K58" s="74"/>
      <x:c r="L58" s="74"/>
      <x:c r="M58" s="74"/>
    </x:row>
    <x:row r="59">
      <x:c r="A59" s="35" t="n">
        <x:v>37</x:v>
      </x:c>
      <x:c r="B59" s="74" t="n">
        <x:f>IF(F58&lt;G58,D58,B58)</x:f>
        <x:v>79.66458370234504</x:v>
      </x:c>
      <x:c r="C59" s="74" t="n">
        <x:f>IF(F58&lt;G58,C58,E58)</x:f>
        <x:v>79.66465886224762</x:v>
      </x:c>
      <x:c r="D59" s="74" t="n">
        <x:f>B59+(C59-B59)/3</x:f>
        <x:v>79.6646087556459</x:v>
      </x:c>
      <x:c r="E59" s="74" t="n">
        <x:f>C59-(C59-B59)/3</x:f>
        <x:v>79.66463380894676</x:v>
      </x:c>
      <x:c r="F59" s="74" t="n">
        <x:f>$B$13+$B$14*SIN(RADIANS(D59+$B$15))+$B$9*SIN(RADIANS(D59+$B$15))*((1-EXP(-$B$10*(-LN(1-$B$10*($B$8/$B$12-$B$14*COS(RADIANS(D59+$B$15)))/($B$9*COS(RADIANS(D59+$B$15))))/$B$10)))/$B$10)-$B$11*(((-LN(1-$B$10*($B$8/$B$12-$B$14*COS(RADIANS(D59+$B$15)))/($B$9*COS(RADIANS(D59+$B$15))))/$B$10)-((1-EXP(-$B$10*(-LN(1-$B$10*($B$8/$B$12-$B$14*COS(RADIANS(D59+$B$15)))/($B$9*COS(RADIANS(D59+$B$15))))/$B$10)))/$B$10))/$B$10)</x:f>
        <x:v>2180.6739656675904</x:v>
      </x:c>
      <x:c r="G59" s="74" t="n">
        <x:f>$B$13+$B$14*SIN(RADIANS(E59+$B$15))+$B$9*SIN(RADIANS(E59+$B$15))*((1-EXP(-$B$10*(-LN(1-$B$10*($B$8/$B$12-$B$14*COS(RADIANS(E59+$B$15)))/($B$9*COS(RADIANS(E59+$B$15))))/$B$10)))/$B$10)-$B$11*(((-LN(1-$B$10*($B$8/$B$12-$B$14*COS(RADIANS(E59+$B$15)))/($B$9*COS(RADIANS(E59+$B$15))))/$B$10)-((1-EXP(-$B$10*(-LN(1-$B$10*($B$8/$B$12-$B$14*COS(RADIANS(E59+$B$15)))/($B$9*COS(RADIANS(E59+$B$15))))/$B$10)))/$B$10))/$B$10)</x:f>
        <x:v>2180.6739656027926</x:v>
      </x:c>
      <x:c r="H59" s="74"/>
      <x:c r="I59" s="74"/>
      <x:c r="J59" s="74"/>
      <x:c r="K59" s="74"/>
      <x:c r="L59" s="74"/>
      <x:c r="M59" s="74"/>
    </x:row>
    <x:row r="60">
      <x:c r="A60" s="35" t="n">
        <x:v>38</x:v>
      </x:c>
      <x:c r="B60" s="74" t="n">
        <x:f>IF(F59&lt;G59,D59,B59)</x:f>
        <x:v>79.66458370234504</x:v>
      </x:c>
      <x:c r="C60" s="74" t="n">
        <x:f>IF(F59&lt;G59,C59,E59)</x:f>
        <x:v>79.66463380894676</x:v>
      </x:c>
      <x:c r="D60" s="74" t="n">
        <x:f>B60+(C60-B60)/3</x:f>
        <x:v>79.66460040454561</x:v>
      </x:c>
      <x:c r="E60" s="74" t="n">
        <x:f>C60-(C60-B60)/3</x:f>
        <x:v>79.66461710674619</x:v>
      </x:c>
      <x:c r="F60" s="74" t="n">
        <x:f>$B$13+$B$14*SIN(RADIANS(D60+$B$15))+$B$9*SIN(RADIANS(D60+$B$15))*((1-EXP(-$B$10*(-LN(1-$B$10*($B$8/$B$12-$B$14*COS(RADIANS(D60+$B$15)))/($B$9*COS(RADIANS(D60+$B$15))))/$B$10)))/$B$10)-$B$11*(((-LN(1-$B$10*($B$8/$B$12-$B$14*COS(RADIANS(D60+$B$15)))/($B$9*COS(RADIANS(D60+$B$15))))/$B$10)-((1-EXP(-$B$10*(-LN(1-$B$10*($B$8/$B$12-$B$14*COS(RADIANS(D60+$B$15)))/($B$9*COS(RADIANS(D60+$B$15))))/$B$10)))/$B$10))/$B$10)</x:f>
        <x:v>2180.673965667243</x:v>
      </x:c>
      <x:c r="G60" s="74" t="n">
        <x:f>$B$13+$B$14*SIN(RADIANS(E60+$B$15))+$B$9*SIN(RADIANS(E60+$B$15))*((1-EXP(-$B$10*(-LN(1-$B$10*($B$8/$B$12-$B$14*COS(RADIANS(E60+$B$15)))/($B$9*COS(RADIANS(E60+$B$15))))/$B$10)))/$B$10)-$B$11*(((-LN(1-$B$10*($B$8/$B$12-$B$14*COS(RADIANS(E60+$B$15)))/($B$9*COS(RADIANS(E60+$B$15))))/$B$10)-((1-EXP(-$B$10*(-LN(1-$B$10*($B$8/$B$12-$B$14*COS(RADIANS(E60+$B$15)))/($B$9*COS(RADIANS(E60+$B$15))))/$B$10)))/$B$10))/$B$10)</x:f>
        <x:v>2180.6739656569644</x:v>
      </x:c>
      <x:c r="H60" s="74"/>
      <x:c r="I60" s="74"/>
      <x:c r="J60" s="74"/>
      <x:c r="K60" s="74"/>
      <x:c r="L60" s="74"/>
      <x:c r="M60" s="74"/>
    </x:row>
    <x:row r="61">
      <x:c r="A61" s="35" t="n">
        <x:v>39</x:v>
      </x:c>
      <x:c r="B61" s="74" t="n">
        <x:f>IF(F60&lt;G60,D60,B60)</x:f>
        <x:v>79.66458370234504</x:v>
      </x:c>
      <x:c r="C61" s="74" t="n">
        <x:f>IF(F60&lt;G60,C60,E60)</x:f>
        <x:v>79.66461710674619</x:v>
      </x:c>
      <x:c r="D61" s="74" t="n">
        <x:f>B61+(C61-B61)/3</x:f>
        <x:v>79.66459483714543</x:v>
      </x:c>
      <x:c r="E61" s="74" t="n">
        <x:f>C61-(C61-B61)/3</x:f>
        <x:v>79.6646059719458</x:v>
      </x:c>
      <x:c r="F61" s="74" t="n">
        <x:f>$B$13+$B$14*SIN(RADIANS(D61+$B$15))+$B$9*SIN(RADIANS(D61+$B$15))*((1-EXP(-$B$10*(-LN(1-$B$10*($B$8/$B$12-$B$14*COS(RADIANS(D61+$B$15)))/($B$9*COS(RADIANS(D61+$B$15))))/$B$10)))/$B$10)-$B$11*(((-LN(1-$B$10*($B$8/$B$12-$B$14*COS(RADIANS(D61+$B$15)))/($B$9*COS(RADIANS(D61+$B$15))))/$B$10)-((1-EXP(-$B$10*(-LN(1-$B$10*($B$8/$B$12-$B$14*COS(RADIANS(D61+$B$15)))/($B$9*COS(RADIANS(D61+$B$15))))/$B$10)))/$B$10))/$B$10)</x:f>
        <x:v>2180.673965660915</x:v>
      </x:c>
      <x:c r="G61" s="74" t="n">
        <x:f>$B$13+$B$14*SIN(RADIANS(E61+$B$15))+$B$9*SIN(RADIANS(E61+$B$15))*((1-EXP(-$B$10*(-LN(1-$B$10*($B$8/$B$12-$B$14*COS(RADIANS(E61+$B$15)))/($B$9*COS(RADIANS(E61+$B$15))))/$B$10)))/$B$10)-$B$11*(((-LN(1-$B$10*($B$8/$B$12-$B$14*COS(RADIANS(E61+$B$15)))/($B$9*COS(RADIANS(E61+$B$15))))/$B$10)-((1-EXP(-$B$10*(-LN(1-$B$10*($B$8/$B$12-$B$14*COS(RADIANS(E61+$B$15)))/($B$9*COS(RADIANS(E61+$B$15))))/$B$10)))/$B$10))/$B$10)</x:f>
        <x:v>2180.673965668694</x:v>
      </x:c>
      <x:c r="H61" s="74"/>
      <x:c r="I61" s="74"/>
      <x:c r="J61" s="74"/>
      <x:c r="K61" s="74"/>
      <x:c r="L61" s="74"/>
      <x:c r="M61" s="74"/>
    </x:row>
    <x:row r="62">
      <x:c r="A62" s="35" t="n">
        <x:v>40</x:v>
      </x:c>
      <x:c r="B62" s="74" t="n">
        <x:f>IF(F61&lt;G61,D61,B61)</x:f>
        <x:v>79.66459483714543</x:v>
      </x:c>
      <x:c r="C62" s="74" t="n">
        <x:f>IF(F61&lt;G61,C61,E61)</x:f>
        <x:v>79.66461710674619</x:v>
      </x:c>
      <x:c r="D62" s="74" t="n">
        <x:f>B62+(C62-B62)/3</x:f>
        <x:v>79.66460226034569</x:v>
      </x:c>
      <x:c r="E62" s="74" t="n">
        <x:f>C62-(C62-B62)/3</x:f>
        <x:v>79.66460968354593</x:v>
      </x:c>
      <x:c r="F62" s="74" t="n">
        <x:f>$B$13+$B$14*SIN(RADIANS(D62+$B$15))+$B$9*SIN(RADIANS(D62+$B$15))*((1-EXP(-$B$10*(-LN(1-$B$10*($B$8/$B$12-$B$14*COS(RADIANS(D62+$B$15)))/($B$9*COS(RADIANS(D62+$B$15))))/$B$10)))/$B$10)-$B$11*(((-LN(1-$B$10*($B$8/$B$12-$B$14*COS(RADIANS(D62+$B$15)))/($B$9*COS(RADIANS(D62+$B$15))))/$B$10)-((1-EXP(-$B$10*(-LN(1-$B$10*($B$8/$B$12-$B$14*COS(RADIANS(D62+$B$15)))/($B$9*COS(RADIANS(D62+$B$15))))/$B$10)))/$B$10))/$B$10)</x:f>
        <x:v>2180.6739656682685</x:v>
      </x:c>
      <x:c r="G62" s="74" t="n">
        <x:f>$B$13+$B$14*SIN(RADIANS(E62+$B$15))+$B$9*SIN(RADIANS(E62+$B$15))*((1-EXP(-$B$10*(-LN(1-$B$10*($B$8/$B$12-$B$14*COS(RADIANS(E62+$B$15)))/($B$9*COS(RADIANS(E62+$B$15))))/$B$10)))/$B$10)-$B$11*(((-LN(1-$B$10*($B$8/$B$12-$B$14*COS(RADIANS(E62+$B$15)))/($B$9*COS(RADIANS(E62+$B$15))))/$B$10)-((1-EXP(-$B$10*(-LN(1-$B$10*($B$8/$B$12-$B$14*COS(RADIANS(E62+$B$15)))/($B$9*COS(RADIANS(E62+$B$15))))/$B$10)))/$B$10))/$B$10)</x:f>
        <x:v>2180.6739656669524</x:v>
      </x:c>
      <x:c r="H62" s="74"/>
      <x:c r="I62" s="74"/>
      <x:c r="J62" s="74"/>
      <x:c r="K62" s="74"/>
      <x:c r="L62" s="74"/>
      <x:c r="M62" s="74"/>
    </x:row>
    <x:row r="63">
      <x:c r="A63" s="35" t="n">
        <x:v>41</x:v>
      </x:c>
      <x:c r="B63" s="74" t="n">
        <x:f>IF(F62&lt;G62,D62,B62)</x:f>
        <x:v>79.66459483714543</x:v>
      </x:c>
      <x:c r="C63" s="74" t="n">
        <x:f>IF(F62&lt;G62,C62,E62)</x:f>
        <x:v>79.66460968354593</x:v>
      </x:c>
      <x:c r="D63" s="74" t="n">
        <x:f>B63+(C63-B63)/3</x:f>
        <x:v>79.6645997859456</x:v>
      </x:c>
      <x:c r="E63" s="74" t="n">
        <x:f>C63-(C63-B63)/3</x:f>
        <x:v>79.66460473474577</x:v>
      </x:c>
      <x:c r="F63" s="74" t="n">
        <x:f>$B$13+$B$14*SIN(RADIANS(D63+$B$15))+$B$9*SIN(RADIANS(D63+$B$15))*((1-EXP(-$B$10*(-LN(1-$B$10*($B$8/$B$12-$B$14*COS(RADIANS(D63+$B$15)))/($B$9*COS(RADIANS(D63+$B$15))))/$B$10)))/$B$10)-$B$11*(((-LN(1-$B$10*($B$8/$B$12-$B$14*COS(RADIANS(D63+$B$15)))/($B$9*COS(RADIANS(D63+$B$15))))/$B$10)-((1-EXP(-$B$10*(-LN(1-$B$10*($B$8/$B$12-$B$14*COS(RADIANS(D63+$B$15)))/($B$9*COS(RADIANS(D63+$B$15))))/$B$10)))/$B$10))/$B$10)</x:f>
        <x:v>2180.6739656667805</x:v>
      </x:c>
      <x:c r="G63" s="74" t="n">
        <x:f>$B$13+$B$14*SIN(RADIANS(E63+$B$15))+$B$9*SIN(RADIANS(E63+$B$15))*((1-EXP(-$B$10*(-LN(1-$B$10*($B$8/$B$12-$B$14*COS(RADIANS(E63+$B$15)))/($B$9*COS(RADIANS(E63+$B$15))))/$B$10)))/$B$10)-$B$11*(((-LN(1-$B$10*($B$8/$B$12-$B$14*COS(RADIANS(E63+$B$15)))/($B$9*COS(RADIANS(E63+$B$15))))/$B$10)-((1-EXP(-$B$10*(-LN(1-$B$10*($B$8/$B$12-$B$14*COS(RADIANS(E63+$B$15)))/($B$9*COS(RADIANS(E63+$B$15))))/$B$10)))/$B$10))/$B$10)</x:f>
        <x:v>2180.6739656687932</x:v>
      </x:c>
      <x:c r="H63" s="74"/>
      <x:c r="I63" s="74"/>
      <x:c r="J63" s="74"/>
      <x:c r="K63" s="74"/>
      <x:c r="L63" s="74"/>
      <x:c r="M63" s="74"/>
    </x:row>
    <x:row r="64">
      <x:c r="A64" s="35" t="n">
        <x:v>42</x:v>
      </x:c>
      <x:c r="B64" s="74" t="n">
        <x:f>IF(F63&lt;G63,D63,B63)</x:f>
        <x:v>79.6645997859456</x:v>
      </x:c>
      <x:c r="C64" s="74" t="n">
        <x:f>IF(F63&lt;G63,C63,E63)</x:f>
        <x:v>79.66460968354593</x:v>
      </x:c>
      <x:c r="D64" s="74" t="n">
        <x:f>B64+(C64-B64)/3</x:f>
        <x:v>79.66460308514571</x:v>
      </x:c>
      <x:c r="E64" s="74" t="n">
        <x:f>C64-(C64-B64)/3</x:f>
        <x:v>79.66460638434582</x:v>
      </x:c>
      <x:c r="F64" s="74" t="n">
        <x:f>$B$13+$B$14*SIN(RADIANS(D64+$B$15))+$B$9*SIN(RADIANS(D64+$B$15))*((1-EXP(-$B$10*(-LN(1-$B$10*($B$8/$B$12-$B$14*COS(RADIANS(D64+$B$15)))/($B$9*COS(RADIANS(D64+$B$15))))/$B$10)))/$B$10)-$B$11*(((-LN(1-$B$10*($B$8/$B$12-$B$14*COS(RADIANS(D64+$B$15)))/($B$9*COS(RADIANS(D64+$B$15))))/$B$10)-((1-EXP(-$B$10*(-LN(1-$B$10*($B$8/$B$12-$B$14*COS(RADIANS(D64+$B$15)))/($B$9*COS(RADIANS(D64+$B$15))))/$B$10)))/$B$10))/$B$10)</x:f>
        <x:v>2180.6739656685504</x:v>
      </x:c>
      <x:c r="G64" s="74" t="n">
        <x:f>$B$13+$B$14*SIN(RADIANS(E64+$B$15))+$B$9*SIN(RADIANS(E64+$B$15))*((1-EXP(-$B$10*(-LN(1-$B$10*($B$8/$B$12-$B$14*COS(RADIANS(E64+$B$15)))/($B$9*COS(RADIANS(E64+$B$15))))/$B$10)))/$B$10)-$B$11*(((-LN(1-$B$10*($B$8/$B$12-$B$14*COS(RADIANS(E64+$B$15)))/($B$9*COS(RADIANS(E64+$B$15))))/$B$10)-((1-EXP(-$B$10*(-LN(1-$B$10*($B$8/$B$12-$B$14*COS(RADIANS(E64+$B$15)))/($B$9*COS(RADIANS(E64+$B$15))))/$B$10)))/$B$10))/$B$10)</x:f>
        <x:v>2180.6739656686073</x:v>
      </x:c>
      <x:c r="H64" s="74"/>
      <x:c r="I64" s="74"/>
      <x:c r="J64" s="74"/>
      <x:c r="K64" s="74"/>
      <x:c r="L64" s="74"/>
      <x:c r="M64" s="74"/>
    </x:row>
    <x:row r="65">
      <x:c r="A65" s="35" t="n">
        <x:v>43</x:v>
      </x:c>
      <x:c r="B65" s="74" t="n">
        <x:f>IF(F64&lt;G64,D64,B64)</x:f>
        <x:v>79.66460308514571</x:v>
      </x:c>
      <x:c r="C65" s="74" t="n">
        <x:f>IF(F64&lt;G64,C64,E64)</x:f>
        <x:v>79.66460968354593</x:v>
      </x:c>
      <x:c r="D65" s="74" t="n">
        <x:f>B65+(C65-B65)/3</x:f>
        <x:v>79.66460528461245</x:v>
      </x:c>
      <x:c r="E65" s="74" t="n">
        <x:f>C65-(C65-B65)/3</x:f>
        <x:v>79.6646074840792</x:v>
      </x:c>
      <x:c r="F65" s="74" t="n">
        <x:f>$B$13+$B$14*SIN(RADIANS(D65+$B$15))+$B$9*SIN(RADIANS(D65+$B$15))*((1-EXP(-$B$10*(-LN(1-$B$10*($B$8/$B$12-$B$14*COS(RADIANS(D65+$B$15)))/($B$9*COS(RADIANS(D65+$B$15))))/$B$10)))/$B$10)-$B$11*(((-LN(1-$B$10*($B$8/$B$12-$B$14*COS(RADIANS(D65+$B$15)))/($B$9*COS(RADIANS(D65+$B$15))))/$B$10)-((1-EXP(-$B$10*(-LN(1-$B$10*($B$8/$B$12-$B$14*COS(RADIANS(D65+$B$15)))/($B$9*COS(RADIANS(D65+$B$15))))/$B$10)))/$B$10))/$B$10)</x:f>
        <x:v>2180.6739656687787</x:v>
      </x:c>
      <x:c r="G65" s="74" t="n">
        <x:f>$B$13+$B$14*SIN(RADIANS(E65+$B$15))+$B$9*SIN(RADIANS(E65+$B$15))*((1-EXP(-$B$10*(-LN(1-$B$10*($B$8/$B$12-$B$14*COS(RADIANS(E65+$B$15)))/($B$9*COS(RADIANS(E65+$B$15))))/$B$10)))/$B$10)-$B$11*(((-LN(1-$B$10*($B$8/$B$12-$B$14*COS(RADIANS(E65+$B$15)))/($B$9*COS(RADIANS(E65+$B$15))))/$B$10)-((1-EXP(-$B$10*(-LN(1-$B$10*($B$8/$B$12-$B$14*COS(RADIANS(E65+$B$15)))/($B$9*COS(RADIANS(E65+$B$15))))/$B$10)))/$B$10))/$B$10)</x:f>
        <x:v>2180.6739656682457</x:v>
      </x:c>
      <x:c r="H65" s="74"/>
      <x:c r="I65" s="74"/>
      <x:c r="J65" s="74"/>
      <x:c r="K65" s="74"/>
      <x:c r="L65" s="74"/>
      <x:c r="M65" s="74"/>
    </x:row>
    <x:row r="66">
      <x:c r="A66" s="35" t="n">
        <x:v>44</x:v>
      </x:c>
      <x:c r="B66" s="74" t="n">
        <x:f>IF(F65&lt;G65,D65,B65)</x:f>
        <x:v>79.66460308514571</x:v>
      </x:c>
      <x:c r="C66" s="74" t="n">
        <x:f>IF(F65&lt;G65,C65,E65)</x:f>
        <x:v>79.6646074840792</x:v>
      </x:c>
      <x:c r="D66" s="74" t="n">
        <x:f>B66+(C66-B66)/3</x:f>
        <x:v>79.66460455145688</x:v>
      </x:c>
      <x:c r="E66" s="74" t="n">
        <x:f>C66-(C66-B66)/3</x:f>
        <x:v>79.66460601776804</x:v>
      </x:c>
      <x:c r="F66" s="74" t="n">
        <x:f>$B$13+$B$14*SIN(RADIANS(D66+$B$15))+$B$9*SIN(RADIANS(D66+$B$15))*((1-EXP(-$B$10*(-LN(1-$B$10*($B$8/$B$12-$B$14*COS(RADIANS(D66+$B$15)))/($B$9*COS(RADIANS(D66+$B$15))))/$B$10)))/$B$10)-$B$11*(((-LN(1-$B$10*($B$8/$B$12-$B$14*COS(RADIANS(D66+$B$15)))/($B$9*COS(RADIANS(D66+$B$15))))/$B$10)-((1-EXP(-$B$10*(-LN(1-$B$10*($B$8/$B$12-$B$14*COS(RADIANS(D66+$B$15)))/($B$9*COS(RADIANS(D66+$B$15))))/$B$10)))/$B$10))/$B$10)</x:f>
        <x:v>2180.673965668787</x:v>
      </x:c>
      <x:c r="G66" s="74" t="n">
        <x:f>$B$13+$B$14*SIN(RADIANS(E66+$B$15))+$B$9*SIN(RADIANS(E66+$B$15))*((1-EXP(-$B$10*(-LN(1-$B$10*($B$8/$B$12-$B$14*COS(RADIANS(E66+$B$15)))/($B$9*COS(RADIANS(E66+$B$15))))/$B$10)))/$B$10)-$B$11*(((-LN(1-$B$10*($B$8/$B$12-$B$14*COS(RADIANS(E66+$B$15)))/($B$9*COS(RADIANS(E66+$B$15))))/$B$10)-((1-EXP(-$B$10*(-LN(1-$B$10*($B$8/$B$12-$B$14*COS(RADIANS(E66+$B$15)))/($B$9*COS(RADIANS(E66+$B$15))))/$B$10)))/$B$10))/$B$10)</x:f>
        <x:v>2180.6739656686864</x:v>
      </x:c>
      <x:c r="H66" s="74"/>
      <x:c r="I66" s="74"/>
      <x:c r="J66" s="74"/>
      <x:c r="K66" s="74"/>
      <x:c r="L66" s="74"/>
      <x:c r="M66" s="74"/>
    </x:row>
    <x:row r="67">
      <x:c r="A67" s="35" t="n">
        <x:v>45</x:v>
      </x:c>
      <x:c r="B67" s="74" t="n">
        <x:f>IF(F66&lt;G66,D66,B66)</x:f>
        <x:v>79.66460308514571</x:v>
      </x:c>
      <x:c r="C67" s="74" t="n">
        <x:f>IF(F66&lt;G66,C66,E66)</x:f>
        <x:v>79.66460601776804</x:v>
      </x:c>
      <x:c r="D67" s="74" t="n">
        <x:f>B67+(C67-B67)/3</x:f>
        <x:v>79.6646040626865</x:v>
      </x:c>
      <x:c r="E67" s="74" t="n">
        <x:f>C67-(C67-B67)/3</x:f>
        <x:v>79.66460504022726</x:v>
      </x:c>
      <x:c r="F67" s="74" t="n">
        <x:f>$B$13+$B$14*SIN(RADIANS(D67+$B$15))+$B$9*SIN(RADIANS(D67+$B$15))*((1-EXP(-$B$10*(-LN(1-$B$10*($B$8/$B$12-$B$14*COS(RADIANS(D67+$B$15)))/($B$9*COS(RADIANS(D67+$B$15))))/$B$10)))/$B$10)-$B$11*(((-LN(1-$B$10*($B$8/$B$12-$B$14*COS(RADIANS(D67+$B$15)))/($B$9*COS(RADIANS(D67+$B$15))))/$B$10)-((1-EXP(-$B$10*(-LN(1-$B$10*($B$8/$B$12-$B$14*COS(RADIANS(D67+$B$15)))/($B$9*COS(RADIANS(D67+$B$15))))/$B$10)))/$B$10))/$B$10)</x:f>
        <x:v>2180.673965668746</x:v>
      </x:c>
      <x:c r="G67" s="74" t="n">
        <x:f>$B$13+$B$14*SIN(RADIANS(E67+$B$15))+$B$9*SIN(RADIANS(E67+$B$15))*((1-EXP(-$B$10*(-LN(1-$B$10*($B$8/$B$12-$B$14*COS(RADIANS(E67+$B$15)))/($B$9*COS(RADIANS(E67+$B$15))))/$B$10)))/$B$10)-$B$11*(((-LN(1-$B$10*($B$8/$B$12-$B$14*COS(RADIANS(E67+$B$15)))/($B$9*COS(RADIANS(E67+$B$15))))/$B$10)-((1-EXP(-$B$10*(-LN(1-$B$10*($B$8/$B$12-$B$14*COS(RADIANS(E67+$B$15)))/($B$9*COS(RADIANS(E67+$B$15))))/$B$10)))/$B$10))/$B$10)</x:f>
        <x:v>2180.6739656687905</x:v>
      </x:c>
      <x:c r="H67" s="74"/>
      <x:c r="I67" s="74"/>
      <x:c r="J67" s="74"/>
      <x:c r="K67" s="74"/>
      <x:c r="L67" s="74"/>
      <x:c r="M67" s="74"/>
    </x:row>
    <x:row r="68">
      <x:c r="A68" s="35" t="n">
        <x:v>46</x:v>
      </x:c>
      <x:c r="B68" s="74" t="n">
        <x:f>IF(F67&lt;G67,D67,B67)</x:f>
        <x:v>79.6646040626865</x:v>
      </x:c>
      <x:c r="C68" s="74" t="n">
        <x:f>IF(F67&lt;G67,C67,E67)</x:f>
        <x:v>79.66460601776804</x:v>
      </x:c>
      <x:c r="D68" s="74" t="n">
        <x:f>B68+(C68-B68)/3</x:f>
        <x:v>79.66460471438035</x:v>
      </x:c>
      <x:c r="E68" s="74" t="n">
        <x:f>C68-(C68-B68)/3</x:f>
        <x:v>79.66460536607418</x:v>
      </x:c>
      <x:c r="F68" s="74" t="n">
        <x:f>$B$13+$B$14*SIN(RADIANS(D68+$B$15))+$B$9*SIN(RADIANS(D68+$B$15))*((1-EXP(-$B$10*(-LN(1-$B$10*($B$8/$B$12-$B$14*COS(RADIANS(D68+$B$15)))/($B$9*COS(RADIANS(D68+$B$15))))/$B$10)))/$B$10)-$B$11*(((-LN(1-$B$10*($B$8/$B$12-$B$14*COS(RADIANS(D68+$B$15)))/($B$9*COS(RADIANS(D68+$B$15))))/$B$10)-((1-EXP(-$B$10*(-LN(1-$B$10*($B$8/$B$12-$B$14*COS(RADIANS(D68+$B$15)))/($B$9*COS(RADIANS(D68+$B$15))))/$B$10)))/$B$10))/$B$10)</x:f>
        <x:v>2180.6739656687932</x:v>
      </x:c>
      <x:c r="G68" s="74" t="n">
        <x:f>$B$13+$B$14*SIN(RADIANS(E68+$B$15))+$B$9*SIN(RADIANS(E68+$B$15))*((1-EXP(-$B$10*(-LN(1-$B$10*($B$8/$B$12-$B$14*COS(RADIANS(E68+$B$15)))/($B$9*COS(RADIANS(E68+$B$15))))/$B$10)))/$B$10)-$B$11*(((-LN(1-$B$10*($B$8/$B$12-$B$14*COS(RADIANS(E68+$B$15)))/($B$9*COS(RADIANS(E68+$B$15))))/$B$10)-((1-EXP(-$B$10*(-LN(1-$B$10*($B$8/$B$12-$B$14*COS(RADIANS(E68+$B$15)))/($B$9*COS(RADIANS(E68+$B$15))))/$B$10)))/$B$10))/$B$10)</x:f>
        <x:v>2180.6739656687723</x:v>
      </x:c>
      <x:c r="H68" s="74"/>
      <x:c r="I68" s="74"/>
      <x:c r="J68" s="74"/>
      <x:c r="K68" s="74"/>
      <x:c r="L68" s="74"/>
      <x:c r="M68" s="74"/>
    </x:row>
    <x:row r="69">
      <x:c r="A69" s="35" t="n">
        <x:v>47</x:v>
      </x:c>
      <x:c r="B69" s="74" t="n">
        <x:f>IF(F68&lt;G68,D68,B68)</x:f>
        <x:v>79.6646040626865</x:v>
      </x:c>
      <x:c r="C69" s="74" t="n">
        <x:f>IF(F68&lt;G68,C68,E68)</x:f>
        <x:v>79.66460536607418</x:v>
      </x:c>
      <x:c r="D69" s="74" t="n">
        <x:f>B69+(C69-B69)/3</x:f>
        <x:v>79.66460449714906</x:v>
      </x:c>
      <x:c r="E69" s="74" t="n">
        <x:f>C69-(C69-B69)/3</x:f>
        <x:v>79.66460493161162</x:v>
      </x:c>
      <x:c r="F69" s="74" t="n">
        <x:f>$B$13+$B$14*SIN(RADIANS(D69+$B$15))+$B$9*SIN(RADIANS(D69+$B$15))*((1-EXP(-$B$10*(-LN(1-$B$10*($B$8/$B$12-$B$14*COS(RADIANS(D69+$B$15)))/($B$9*COS(RADIANS(D69+$B$15))))/$B$10)))/$B$10)-$B$11*(((-LN(1-$B$10*($B$8/$B$12-$B$14*COS(RADIANS(D69+$B$15)))/($B$9*COS(RADIANS(D69+$B$15))))/$B$10)-((1-EXP(-$B$10*(-LN(1-$B$10*($B$8/$B$12-$B$14*COS(RADIANS(D69+$B$15)))/($B$9*COS(RADIANS(D69+$B$15))))/$B$10)))/$B$10))/$B$10)</x:f>
        <x:v>2180.673965668784</x:v>
      </x:c>
      <x:c r="G69" s="74" t="n">
        <x:f>$B$13+$B$14*SIN(RADIANS(E69+$B$15))+$B$9*SIN(RADIANS(E69+$B$15))*((1-EXP(-$B$10*(-LN(1-$B$10*($B$8/$B$12-$B$14*COS(RADIANS(E69+$B$15)))/($B$9*COS(RADIANS(E69+$B$15))))/$B$10)))/$B$10)-$B$11*(((-LN(1-$B$10*($B$8/$B$12-$B$14*COS(RADIANS(E69+$B$15)))/($B$9*COS(RADIANS(E69+$B$15))))/$B$10)-((1-EXP(-$B$10*(-LN(1-$B$10*($B$8/$B$12-$B$14*COS(RADIANS(E69+$B$15)))/($B$9*COS(RADIANS(E69+$B$15))))/$B$10)))/$B$10))/$B$10)</x:f>
        <x:v>2180.673965668793</x:v>
      </x:c>
      <x:c r="H69" s="74"/>
      <x:c r="I69" s="74"/>
      <x:c r="J69" s="74"/>
      <x:c r="K69" s="74"/>
      <x:c r="L69" s="74"/>
      <x:c r="M69" s="74"/>
    </x:row>
    <x:row r="70">
      <x:c r="A70" s="35" t="n">
        <x:v>48</x:v>
      </x:c>
      <x:c r="B70" s="74" t="n">
        <x:f>IF(F69&lt;G69,D69,B69)</x:f>
        <x:v>79.66460449714906</x:v>
      </x:c>
      <x:c r="C70" s="74" t="n">
        <x:f>IF(F69&lt;G69,C69,E69)</x:f>
        <x:v>79.66460536607418</x:v>
      </x:c>
      <x:c r="D70" s="74" t="n">
        <x:f>B70+(C70-B70)/3</x:f>
        <x:v>79.66460478679076</x:v>
      </x:c>
      <x:c r="E70" s="74" t="n">
        <x:f>C70-(C70-B70)/3</x:f>
        <x:v>79.66460507643248</x:v>
      </x:c>
      <x:c r="F70" s="74" t="n">
        <x:f>$B$13+$B$14*SIN(RADIANS(D70+$B$15))+$B$9*SIN(RADIANS(D70+$B$15))*((1-EXP(-$B$10*(-LN(1-$B$10*($B$8/$B$12-$B$14*COS(RADIANS(D70+$B$15)))/($B$9*COS(RADIANS(D70+$B$15))))/$B$10)))/$B$10)-$B$11*(((-LN(1-$B$10*($B$8/$B$12-$B$14*COS(RADIANS(D70+$B$15)))/($B$9*COS(RADIANS(D70+$B$15))))/$B$10)-((1-EXP(-$B$10*(-LN(1-$B$10*($B$8/$B$12-$B$14*COS(RADIANS(D70+$B$15)))/($B$9*COS(RADIANS(D70+$B$15))))/$B$10)))/$B$10))/$B$10)</x:f>
        <x:v>2180.673965668793</x:v>
      </x:c>
      <x:c r="G70" s="74" t="n">
        <x:f>$B$13+$B$14*SIN(RADIANS(E70+$B$15))+$B$9*SIN(RADIANS(E70+$B$15))*((1-EXP(-$B$10*(-LN(1-$B$10*($B$8/$B$12-$B$14*COS(RADIANS(E70+$B$15)))/($B$9*COS(RADIANS(E70+$B$15))))/$B$10)))/$B$10)-$B$11*(((-LN(1-$B$10*($B$8/$B$12-$B$14*COS(RADIANS(E70+$B$15)))/($B$9*COS(RADIANS(E70+$B$15))))/$B$10)-((1-EXP(-$B$10*(-LN(1-$B$10*($B$8/$B$12-$B$14*COS(RADIANS(E70+$B$15)))/($B$9*COS(RADIANS(E70+$B$15))))/$B$10)))/$B$10))/$B$10)</x:f>
        <x:v>2180.673965668789</x:v>
      </x:c>
      <x:c r="H70" s="74"/>
      <x:c r="I70" s="74"/>
      <x:c r="J70" s="74"/>
      <x:c r="K70" s="74"/>
      <x:c r="L70" s="74"/>
      <x:c r="M70" s="74"/>
    </x:row>
    <x:row r="71">
      <x:c r="A71" s="35" t="n">
        <x:v>49</x:v>
      </x:c>
      <x:c r="B71" s="74" t="n">
        <x:f>IF(F70&lt;G70,D70,B70)</x:f>
        <x:v>79.66460449714906</x:v>
      </x:c>
      <x:c r="C71" s="74" t="n">
        <x:f>IF(F70&lt;G70,C70,E70)</x:f>
        <x:v>79.66460507643248</x:v>
      </x:c>
      <x:c r="D71" s="74" t="n">
        <x:f>B71+(C71-B71)/3</x:f>
        <x:v>79.66460469024354</x:v>
      </x:c>
      <x:c r="E71" s="74" t="n">
        <x:f>C71-(C71-B71)/3</x:f>
        <x:v>79.664604883338</x:v>
      </x:c>
      <x:c r="F71" s="74" t="n">
        <x:f>$B$13+$B$14*SIN(RADIANS(D71+$B$15))+$B$9*SIN(RADIANS(D71+$B$15))*((1-EXP(-$B$10*(-LN(1-$B$10*($B$8/$B$12-$B$14*COS(RADIANS(D71+$B$15)))/($B$9*COS(RADIANS(D71+$B$15))))/$B$10)))/$B$10)-$B$11*(((-LN(1-$B$10*($B$8/$B$12-$B$14*COS(RADIANS(D71+$B$15)))/($B$9*COS(RADIANS(D71+$B$15))))/$B$10)-((1-EXP(-$B$10*(-LN(1-$B$10*($B$8/$B$12-$B$14*COS(RADIANS(D71+$B$15)))/($B$9*COS(RADIANS(D71+$B$15))))/$B$10)))/$B$10))/$B$10)</x:f>
        <x:v>2180.6739656687923</x:v>
      </x:c>
      <x:c r="G71" s="74" t="n">
        <x:f>$B$13+$B$14*SIN(RADIANS(E71+$B$15))+$B$9*SIN(RADIANS(E71+$B$15))*((1-EXP(-$B$10*(-LN(1-$B$10*($B$8/$B$12-$B$14*COS(RADIANS(E71+$B$15)))/($B$9*COS(RADIANS(E71+$B$15))))/$B$10)))/$B$10)-$B$11*(((-LN(1-$B$10*($B$8/$B$12-$B$14*COS(RADIANS(E71+$B$15)))/($B$9*COS(RADIANS(E71+$B$15))))/$B$10)-((1-EXP(-$B$10*(-LN(1-$B$10*($B$8/$B$12-$B$14*COS(RADIANS(E71+$B$15)))/($B$9*COS(RADIANS(E71+$B$15))))/$B$10)))/$B$10))/$B$10)</x:f>
        <x:v>2180.673965668794</x:v>
      </x:c>
      <x:c r="H71" s="74"/>
      <x:c r="I71" s="74"/>
      <x:c r="J71" s="74"/>
      <x:c r="K71" s="74"/>
      <x:c r="L71" s="74"/>
      <x:c r="M71" s="74"/>
    </x:row>
    <x:row r="72">
      <x:c r="A72" s="35" t="n">
        <x:v>50</x:v>
      </x:c>
      <x:c r="B72" s="74" t="n">
        <x:f>IF(F71&lt;G71,D71,B71)</x:f>
        <x:v>79.66460449714906</x:v>
      </x:c>
      <x:c r="C72" s="74" t="n">
        <x:f>IF(F71&lt;G71,C71,E71)</x:f>
        <x:v>79.664604883338</x:v>
      </x:c>
      <x:c r="D72" s="74" t="n">
        <x:f>B72+(C72-B72)/3</x:f>
        <x:v>79.66460462587871</x:v>
      </x:c>
      <x:c r="E72" s="74" t="n">
        <x:f>C72-(C72-B72)/3</x:f>
        <x:v>79.66460475460835</x:v>
      </x:c>
      <x:c r="F72" s="74" t="n">
        <x:f>$B$13+$B$14*SIN(RADIANS(D72+$B$15))+$B$9*SIN(RADIANS(D72+$B$15))*((1-EXP(-$B$10*(-LN(1-$B$10*($B$8/$B$12-$B$14*COS(RADIANS(D72+$B$15)))/($B$9*COS(RADIANS(D72+$B$15))))/$B$10)))/$B$10)-$B$11*(((-LN(1-$B$10*($B$8/$B$12-$B$14*COS(RADIANS(D72+$B$15)))/($B$9*COS(RADIANS(D72+$B$15))))/$B$10)-((1-EXP(-$B$10*(-LN(1-$B$10*($B$8/$B$12-$B$14*COS(RADIANS(D72+$B$15)))/($B$9*COS(RADIANS(D72+$B$15))))/$B$10)))/$B$10))/$B$10)</x:f>
        <x:v>2180.6739656687896</x:v>
      </x:c>
      <x:c r="G72" s="74" t="n">
        <x:f>$B$13+$B$14*SIN(RADIANS(E72+$B$15))+$B$9*SIN(RADIANS(E72+$B$15))*((1-EXP(-$B$10*(-LN(1-$B$10*($B$8/$B$12-$B$14*COS(RADIANS(E72+$B$15)))/($B$9*COS(RADIANS(E72+$B$15))))/$B$10)))/$B$10)-$B$11*(((-LN(1-$B$10*($B$8/$B$12-$B$14*COS(RADIANS(E72+$B$15)))/($B$9*COS(RADIANS(E72+$B$15))))/$B$10)-((1-EXP(-$B$10*(-LN(1-$B$10*($B$8/$B$12-$B$14*COS(RADIANS(E72+$B$15)))/($B$9*COS(RADIANS(E72+$B$15))))/$B$10)))/$B$10))/$B$10)</x:f>
        <x:v>2180.6739656687932</x:v>
      </x:c>
      <x:c r="H72" s="74"/>
      <x:c r="I72" s="74"/>
      <x:c r="J72" s="74"/>
      <x:c r="K72" s="74"/>
      <x:c r="L72" s="74"/>
      <x:c r="M72" s="74"/>
    </x:row>
    <x:row r="73">
      <x:c r="A73" s="35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</x:row>
    <x:row r="74">
      <x:c r="A74" s="72" t="str">
        <x:v>Peak angle</x:v>
      </x:c>
      <x:c r="B74" s="76" t="n">
        <x:f>(B72+C72)/2</x:f>
        <x:v>79.66460469024352</x:v>
      </x:c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</x:row>
    <x:row r="75">
      <x:c r="A75" s="72" t="str">
        <x:v>Peak height</x:v>
      </x:c>
      <x:c r="B75" s="76" t="n">
        <x:f>$B$13+$B$14*SIN(RADIANS(B74+$B$15))+$B$9*SIN(RADIANS(B74+$B$15))*((1-EXP(-$B$10*(-LN(1-$B$10*($B$8/$B$12-$B$14*COS(RADIANS(B74+$B$15)))/($B$9*COS(RADIANS(B74+$B$15))))/$B$10)))/$B$10)-$B$11*(((-LN(1-$B$10*($B$8/$B$12-$B$14*COS(RADIANS(B74+$B$15)))/($B$9*COS(RADIANS(B74+$B$15))))/$B$10)-((1-EXP(-$B$10*(-LN(1-$B$10*($B$8/$B$12-$B$14*COS(RADIANS(B74+$B$15)))/($B$9*COS(RADIANS(B74+$B$15))))/$B$10)))/$B$10))/$B$10)</x:f>
        <x:v>2180.6739656687923</x:v>
      </x:c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</x:row>
    <x:row r="76">
      <x:c r="A76" s="35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</x:row>
    <x:row r="77">
      <x:c r="A77" s="35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</x:row>
    <x:row r="78">
      <x:c r="A78" s="70" t="str">
        <x:v>Ground iter.</x:v>
      </x:c>
      <x:c r="B78" s="75" t="str">
        <x:v>Low</x:v>
      </x:c>
      <x:c r="C78" s="75" t="str">
        <x:v>High</x:v>
      </x:c>
      <x:c r="D78" s="75" t="str">
        <x:v>Mid</x:v>
      </x:c>
      <x:c r="E78" s="75" t="str">
        <x:v>Height</x:v>
      </x:c>
      <x:c r="F78" s="75" t="str">
        <x:v>Residual</x:v>
      </x:c>
      <x:c r="G78" s="74"/>
      <x:c r="H78" s="75" t="str">
        <x:v>Airburst iter.</x:v>
      </x:c>
      <x:c r="I78" s="75" t="str">
        <x:v>Low</x:v>
      </x:c>
      <x:c r="J78" s="75" t="str">
        <x:v>High</x:v>
      </x:c>
      <x:c r="K78" s="75" t="str">
        <x:v>Mid</x:v>
      </x:c>
      <x:c r="L78" s="75" t="str">
        <x:v>Height</x:v>
      </x:c>
      <x:c r="M78" s="75" t="str">
        <x:v>Residual</x:v>
      </x:c>
    </x:row>
    <x:row r="79">
      <x:c r="A79" s="35" t="n">
        <x:v>1</x:v>
      </x:c>
      <x:c r="B79" s="74" t="n">
        <x:f>$B$18</x:f>
        <x:v>-82.56079209984436</x:v>
      </x:c>
      <x:c r="C79" s="74" t="n">
        <x:f>$B$74</x:f>
        <x:v>79.66460469024352</x:v>
      </x:c>
      <x:c r="D79" s="74" t="n">
        <x:f>(B79+C79)/2</x:f>
        <x:v>-1.4480937048004208</x:v>
      </x:c>
      <x:c r="E79" s="74" t="n">
        <x:f>$B$13+$B$14*SIN(RADIANS(D79+$B$15))+$B$9*SIN(RADIANS(D79+$B$15))*((1-EXP(-$B$10*(-LN(1-$B$10*($B$8/$B$12-$B$14*COS(RADIANS(D79+$B$15)))/($B$9*COS(RADIANS(D79+$B$15))))/$B$10)))/$B$10)-$B$11*(((-LN(1-$B$10*($B$8/$B$12-$B$14*COS(RADIANS(D79+$B$15)))/($B$9*COS(RADIANS(D79+$B$15))))/$B$10)-((1-EXP(-$B$10*(-LN(1-$B$10*($B$8/$B$12-$B$14*COS(RADIANS(D79+$B$15)))/($B$9*COS(RADIANS(D79+$B$15))))/$B$10)))/$B$10))/$B$10)</x:f>
        <x:v>-16.9395189844001</x:v>
      </x:c>
      <x:c r="F79" s="74" t="n">
        <x:f>E79</x:f>
        <x:v>-16.9395189844001</x:v>
      </x:c>
      <x:c r="G79" s="74"/>
      <x:c r="H79" s="74" t="n">
        <x:v>1</x:v>
      </x:c>
      <x:c r="I79" s="74" t="n">
        <x:f>$B$18</x:f>
        <x:v>-82.56079209984436</x:v>
      </x:c>
      <x:c r="J79" s="74" t="n">
        <x:f>$B$74</x:f>
        <x:v>79.66460469024352</x:v>
      </x:c>
      <x:c r="K79" s="74" t="n">
        <x:f>(I79+J79)/2</x:f>
        <x:v>-1.4480937048004208</x:v>
      </x:c>
      <x:c r="L79" s="74" t="n">
        <x:f>$B$13+$B$14*SIN(RADIANS(K79+$B$15))+$B$9*SIN(RADIANS(K79+$B$15))*((1-EXP(-$B$10*(-LN(1-$B$10*($B$8/$B$12-$B$14*COS(RADIANS(K79+$B$15)))/($B$9*COS(RADIANS(K79+$B$15))))/$B$10)))/$B$10)-$B$11*(((-LN(1-$B$10*($B$8/$B$12-$B$14*COS(RADIANS(K79+$B$15)))/($B$9*COS(RADIANS(K79+$B$15))))/$B$10)-((1-EXP(-$B$10*(-LN(1-$B$10*($B$8/$B$12-$B$14*COS(RADIANS(K79+$B$15)))/($B$9*COS(RADIANS(K79+$B$15))))/$B$10)))/$B$10))/$B$10)</x:f>
        <x:v>-16.9395189844001</x:v>
      </x:c>
      <x:c r="M79" s="74" t="n">
        <x:f>L79-1</x:f>
        <x:v>-17.9395189844001</x:v>
      </x:c>
    </x:row>
    <x:row r="80">
      <x:c r="A80" s="35" t="n">
        <x:v>2</x:v>
      </x:c>
      <x:c r="B80" s="74" t="n">
        <x:f>IF(F79&lt;0,D79,B79)</x:f>
        <x:v>-1.4480937048004208</x:v>
      </x:c>
      <x:c r="C80" s="74" t="n">
        <x:f>IF(F79&lt;0,C79,D79)</x:f>
        <x:v>79.66460469024352</x:v>
      </x:c>
      <x:c r="D80" s="74" t="n">
        <x:f>(B80+C80)/2</x:f>
        <x:v>39.108255492721554</x:v>
      </x:c>
      <x:c r="E80" s="74" t="n">
        <x:f>$B$13+$B$14*SIN(RADIANS(D80+$B$15))+$B$9*SIN(RADIANS(D80+$B$15))*((1-EXP(-$B$10*(-LN(1-$B$10*($B$8/$B$12-$B$14*COS(RADIANS(D80+$B$15)))/($B$9*COS(RADIANS(D80+$B$15))))/$B$10)))/$B$10)-$B$11*(((-LN(1-$B$10*($B$8/$B$12-$B$14*COS(RADIANS(D80+$B$15)))/($B$9*COS(RADIANS(D80+$B$15))))/$B$10)-((1-EXP(-$B$10*(-LN(1-$B$10*($B$8/$B$12-$B$14*COS(RADIANS(D80+$B$15)))/($B$9*COS(RADIANS(D80+$B$15))))/$B$10)))/$B$10))/$B$10)</x:f>
        <x:v>406.19737989847926</x:v>
      </x:c>
      <x:c r="F80" s="74" t="n">
        <x:f>E80</x:f>
        <x:v>406.19737989847926</x:v>
      </x:c>
      <x:c r="G80" s="74"/>
      <x:c r="H80" s="74" t="n">
        <x:v>2</x:v>
      </x:c>
      <x:c r="I80" s="74" t="n">
        <x:f>IF(M79&lt;0,K79,I79)</x:f>
        <x:v>-1.4480937048004208</x:v>
      </x:c>
      <x:c r="J80" s="74" t="n">
        <x:f>IF(M79&lt;0,J79,K79)</x:f>
        <x:v>79.66460469024352</x:v>
      </x:c>
      <x:c r="K80" s="74" t="n">
        <x:f>(I80+J80)/2</x:f>
        <x:v>39.108255492721554</x:v>
      </x:c>
      <x:c r="L80" s="74" t="n">
        <x:f>$B$13+$B$14*SIN(RADIANS(K80+$B$15))+$B$9*SIN(RADIANS(K80+$B$15))*((1-EXP(-$B$10*(-LN(1-$B$10*($B$8/$B$12-$B$14*COS(RADIANS(K80+$B$15)))/($B$9*COS(RADIANS(K80+$B$15))))/$B$10)))/$B$10)-$B$11*(((-LN(1-$B$10*($B$8/$B$12-$B$14*COS(RADIANS(K80+$B$15)))/($B$9*COS(RADIANS(K80+$B$15))))/$B$10)-((1-EXP(-$B$10*(-LN(1-$B$10*($B$8/$B$12-$B$14*COS(RADIANS(K80+$B$15)))/($B$9*COS(RADIANS(K80+$B$15))))/$B$10)))/$B$10))/$B$10)</x:f>
        <x:v>406.19737989847926</x:v>
      </x:c>
      <x:c r="M80" s="74" t="n">
        <x:f>L80-1</x:f>
        <x:v>405.19737989847926</x:v>
      </x:c>
    </x:row>
    <x:row r="81">
      <x:c r="A81" s="35" t="n">
        <x:v>3</x:v>
      </x:c>
      <x:c r="B81" s="74" t="n">
        <x:f>IF(F80&lt;0,D80,B80)</x:f>
        <x:v>-1.4480937048004208</x:v>
      </x:c>
      <x:c r="C81" s="74" t="n">
        <x:f>IF(F80&lt;0,C80,D80)</x:f>
        <x:v>39.108255492721554</x:v>
      </x:c>
      <x:c r="D81" s="74" t="n">
        <x:f>(B81+C81)/2</x:f>
        <x:v>18.830080893960567</x:v>
      </x:c>
      <x:c r="E81" s="74" t="n">
        <x:f>$B$13+$B$14*SIN(RADIANS(D81+$B$15))+$B$9*SIN(RADIANS(D81+$B$15))*((1-EXP(-$B$10*(-LN(1-$B$10*($B$8/$B$12-$B$14*COS(RADIANS(D81+$B$15)))/($B$9*COS(RADIANS(D81+$B$15))))/$B$10)))/$B$10)-$B$11*(((-LN(1-$B$10*($B$8/$B$12-$B$14*COS(RADIANS(D81+$B$15)))/($B$9*COS(RADIANS(D81+$B$15))))/$B$10)-((1-EXP(-$B$10*(-LN(1-$B$10*($B$8/$B$12-$B$14*COS(RADIANS(D81+$B$15)))/($B$9*COS(RADIANS(D81+$B$15))))/$B$10)))/$B$10))/$B$10)</x:f>
        <x:v>169.06251338522898</x:v>
      </x:c>
      <x:c r="F81" s="74" t="n">
        <x:f>E81</x:f>
        <x:v>169.06251338522898</x:v>
      </x:c>
      <x:c r="G81" s="74"/>
      <x:c r="H81" s="74" t="n">
        <x:v>3</x:v>
      </x:c>
      <x:c r="I81" s="74" t="n">
        <x:f>IF(M80&lt;0,K80,I80)</x:f>
        <x:v>-1.4480937048004208</x:v>
      </x:c>
      <x:c r="J81" s="74" t="n">
        <x:f>IF(M80&lt;0,J80,K80)</x:f>
        <x:v>39.108255492721554</x:v>
      </x:c>
      <x:c r="K81" s="74" t="n">
        <x:f>(I81+J81)/2</x:f>
        <x:v>18.830080893960567</x:v>
      </x:c>
      <x:c r="L81" s="74" t="n">
        <x:f>$B$13+$B$14*SIN(RADIANS(K81+$B$15))+$B$9*SIN(RADIANS(K81+$B$15))*((1-EXP(-$B$10*(-LN(1-$B$10*($B$8/$B$12-$B$14*COS(RADIANS(K81+$B$15)))/($B$9*COS(RADIANS(K81+$B$15))))/$B$10)))/$B$10)-$B$11*(((-LN(1-$B$10*($B$8/$B$12-$B$14*COS(RADIANS(K81+$B$15)))/($B$9*COS(RADIANS(K81+$B$15))))/$B$10)-((1-EXP(-$B$10*(-LN(1-$B$10*($B$8/$B$12-$B$14*COS(RADIANS(K81+$B$15)))/($B$9*COS(RADIANS(K81+$B$15))))/$B$10)))/$B$10))/$B$10)</x:f>
        <x:v>169.06251338522898</x:v>
      </x:c>
      <x:c r="M81" s="74" t="n">
        <x:f>L81-1</x:f>
        <x:v>168.06251338522898</x:v>
      </x:c>
    </x:row>
    <x:row r="82">
      <x:c r="A82" s="35" t="n">
        <x:v>4</x:v>
      </x:c>
      <x:c r="B82" s="74" t="n">
        <x:f>IF(F81&lt;0,D81,B81)</x:f>
        <x:v>-1.4480937048004208</x:v>
      </x:c>
      <x:c r="C82" s="74" t="n">
        <x:f>IF(F81&lt;0,C81,D81)</x:f>
        <x:v>18.830080893960567</x:v>
      </x:c>
      <x:c r="D82" s="74" t="n">
        <x:f>(B82+C82)/2</x:f>
        <x:v>8.690993594580073</x:v>
      </x:c>
      <x:c r="E82" s="74" t="n">
        <x:f>$B$13+$B$14*SIN(RADIANS(D82+$B$15))+$B$9*SIN(RADIANS(D82+$B$15))*((1-EXP(-$B$10*(-LN(1-$B$10*($B$8/$B$12-$B$14*COS(RADIANS(D82+$B$15)))/($B$9*COS(RADIANS(D82+$B$15))))/$B$10)))/$B$10)-$B$11*(((-LN(1-$B$10*($B$8/$B$12-$B$14*COS(RADIANS(D82+$B$15)))/($B$9*COS(RADIANS(D82+$B$15))))/$B$10)-((1-EXP(-$B$10*(-LN(1-$B$10*($B$8/$B$12-$B$14*COS(RADIANS(D82+$B$15)))/($B$9*COS(RADIANS(D82+$B$15))))/$B$10)))/$B$10))/$B$10)</x:f>
        <x:v>73.71659711061746</x:v>
      </x:c>
      <x:c r="F82" s="74" t="n">
        <x:f>E82</x:f>
        <x:v>73.71659711061746</x:v>
      </x:c>
      <x:c r="G82" s="74"/>
      <x:c r="H82" s="74" t="n">
        <x:v>4</x:v>
      </x:c>
      <x:c r="I82" s="74" t="n">
        <x:f>IF(M81&lt;0,K81,I81)</x:f>
        <x:v>-1.4480937048004208</x:v>
      </x:c>
      <x:c r="J82" s="74" t="n">
        <x:f>IF(M81&lt;0,J81,K81)</x:f>
        <x:v>18.830080893960567</x:v>
      </x:c>
      <x:c r="K82" s="74" t="n">
        <x:f>(I82+J82)/2</x:f>
        <x:v>8.690993594580073</x:v>
      </x:c>
      <x:c r="L82" s="74" t="n">
        <x:f>$B$13+$B$14*SIN(RADIANS(K82+$B$15))+$B$9*SIN(RADIANS(K82+$B$15))*((1-EXP(-$B$10*(-LN(1-$B$10*($B$8/$B$12-$B$14*COS(RADIANS(K82+$B$15)))/($B$9*COS(RADIANS(K82+$B$15))))/$B$10)))/$B$10)-$B$11*(((-LN(1-$B$10*($B$8/$B$12-$B$14*COS(RADIANS(K82+$B$15)))/($B$9*COS(RADIANS(K82+$B$15))))/$B$10)-((1-EXP(-$B$10*(-LN(1-$B$10*($B$8/$B$12-$B$14*COS(RADIANS(K82+$B$15)))/($B$9*COS(RADIANS(K82+$B$15))))/$B$10)))/$B$10))/$B$10)</x:f>
        <x:v>73.71659711061746</x:v>
      </x:c>
      <x:c r="M82" s="74" t="n">
        <x:f>L82-1</x:f>
        <x:v>72.71659711061746</x:v>
      </x:c>
    </x:row>
    <x:row r="83">
      <x:c r="A83" s="35" t="n">
        <x:v>5</x:v>
      </x:c>
      <x:c r="B83" s="74" t="n">
        <x:f>IF(F82&lt;0,D82,B82)</x:f>
        <x:v>-1.4480937048004208</x:v>
      </x:c>
      <x:c r="C83" s="74" t="n">
        <x:f>IF(F82&lt;0,C82,D82)</x:f>
        <x:v>8.690993594580073</x:v>
      </x:c>
      <x:c r="D83" s="74" t="n">
        <x:f>(B83+C83)/2</x:f>
        <x:v>3.621449944889826</x:v>
      </x:c>
      <x:c r="E83" s="74" t="n">
        <x:f>$B$13+$B$14*SIN(RADIANS(D83+$B$15))+$B$9*SIN(RADIANS(D83+$B$15))*((1-EXP(-$B$10*(-LN(1-$B$10*($B$8/$B$12-$B$14*COS(RADIANS(D83+$B$15)))/($B$9*COS(RADIANS(D83+$B$15))))/$B$10)))/$B$10)-$B$11*(((-LN(1-$B$10*($B$8/$B$12-$B$14*COS(RADIANS(D83+$B$15)))/($B$9*COS(RADIANS(D83+$B$15))))/$B$10)-((1-EXP(-$B$10*(-LN(1-$B$10*($B$8/$B$12-$B$14*COS(RADIANS(D83+$B$15)))/($B$9*COS(RADIANS(D83+$B$15))))/$B$10)))/$B$10))/$B$10)</x:f>
        <x:v>28.17997086210027</x:v>
      </x:c>
      <x:c r="F83" s="74" t="n">
        <x:f>E83</x:f>
        <x:v>28.17997086210027</x:v>
      </x:c>
      <x:c r="G83" s="74"/>
      <x:c r="H83" s="74" t="n">
        <x:v>5</x:v>
      </x:c>
      <x:c r="I83" s="74" t="n">
        <x:f>IF(M82&lt;0,K82,I82)</x:f>
        <x:v>-1.4480937048004208</x:v>
      </x:c>
      <x:c r="J83" s="74" t="n">
        <x:f>IF(M82&lt;0,J82,K82)</x:f>
        <x:v>8.690993594580073</x:v>
      </x:c>
      <x:c r="K83" s="74" t="n">
        <x:f>(I83+J83)/2</x:f>
        <x:v>3.621449944889826</x:v>
      </x:c>
      <x:c r="L83" s="74" t="n">
        <x:f>$B$13+$B$14*SIN(RADIANS(K83+$B$15))+$B$9*SIN(RADIANS(K83+$B$15))*((1-EXP(-$B$10*(-LN(1-$B$10*($B$8/$B$12-$B$14*COS(RADIANS(K83+$B$15)))/($B$9*COS(RADIANS(K83+$B$15))))/$B$10)))/$B$10)-$B$11*(((-LN(1-$B$10*($B$8/$B$12-$B$14*COS(RADIANS(K83+$B$15)))/($B$9*COS(RADIANS(K83+$B$15))))/$B$10)-((1-EXP(-$B$10*(-LN(1-$B$10*($B$8/$B$12-$B$14*COS(RADIANS(K83+$B$15)))/($B$9*COS(RADIANS(K83+$B$15))))/$B$10)))/$B$10))/$B$10)</x:f>
        <x:v>28.17997086210027</x:v>
      </x:c>
      <x:c r="M83" s="74" t="n">
        <x:f>L83-1</x:f>
        <x:v>27.17997086210027</x:v>
      </x:c>
    </x:row>
    <x:row r="84">
      <x:c r="A84" s="35" t="n">
        <x:v>6</x:v>
      </x:c>
      <x:c r="B84" s="74" t="n">
        <x:f>IF(F83&lt;0,D83,B83)</x:f>
        <x:v>-1.4480937048004208</x:v>
      </x:c>
      <x:c r="C84" s="74" t="n">
        <x:f>IF(F83&lt;0,C83,D83)</x:f>
        <x:v>3.621449944889826</x:v>
      </x:c>
      <x:c r="D84" s="74" t="n">
        <x:f>(B84+C84)/2</x:f>
        <x:v>1.0866781200447027</x:v>
      </x:c>
      <x:c r="E84" s="74" t="n">
        <x:f>$B$13+$B$14*SIN(RADIANS(D84+$B$15))+$B$9*SIN(RADIANS(D84+$B$15))*((1-EXP(-$B$10*(-LN(1-$B$10*($B$8/$B$12-$B$14*COS(RADIANS(D84+$B$15)))/($B$9*COS(RADIANS(D84+$B$15))))/$B$10)))/$B$10)-$B$11*(((-LN(1-$B$10*($B$8/$B$12-$B$14*COS(RADIANS(D84+$B$15)))/($B$9*COS(RADIANS(D84+$B$15))))/$B$10)-((1-EXP(-$B$10*(-LN(1-$B$10*($B$8/$B$12-$B$14*COS(RADIANS(D84+$B$15)))/($B$9*COS(RADIANS(D84+$B$15))))/$B$10)))/$B$10))/$B$10)</x:f>
        <x:v>5.612576518372572</x:v>
      </x:c>
      <x:c r="F84" s="74" t="n">
        <x:f>E84</x:f>
        <x:v>5.612576518372572</x:v>
      </x:c>
      <x:c r="G84" s="74"/>
      <x:c r="H84" s="74" t="n">
        <x:v>6</x:v>
      </x:c>
      <x:c r="I84" s="74" t="n">
        <x:f>IF(M83&lt;0,K83,I83)</x:f>
        <x:v>-1.4480937048004208</x:v>
      </x:c>
      <x:c r="J84" s="74" t="n">
        <x:f>IF(M83&lt;0,J83,K83)</x:f>
        <x:v>3.621449944889826</x:v>
      </x:c>
      <x:c r="K84" s="74" t="n">
        <x:f>(I84+J84)/2</x:f>
        <x:v>1.0866781200447027</x:v>
      </x:c>
      <x:c r="L84" s="74" t="n">
        <x:f>$B$13+$B$14*SIN(RADIANS(K84+$B$15))+$B$9*SIN(RADIANS(K84+$B$15))*((1-EXP(-$B$10*(-LN(1-$B$10*($B$8/$B$12-$B$14*COS(RADIANS(K84+$B$15)))/($B$9*COS(RADIANS(K84+$B$15))))/$B$10)))/$B$10)-$B$11*(((-LN(1-$B$10*($B$8/$B$12-$B$14*COS(RADIANS(K84+$B$15)))/($B$9*COS(RADIANS(K84+$B$15))))/$B$10)-((1-EXP(-$B$10*(-LN(1-$B$10*($B$8/$B$12-$B$14*COS(RADIANS(K84+$B$15)))/($B$9*COS(RADIANS(K84+$B$15))))/$B$10)))/$B$10))/$B$10)</x:f>
        <x:v>5.612576518372572</x:v>
      </x:c>
      <x:c r="M84" s="74" t="n">
        <x:f>L84-1</x:f>
        <x:v>4.612576518372572</x:v>
      </x:c>
    </x:row>
    <x:row r="85">
      <x:c r="A85" s="35" t="n">
        <x:v>7</x:v>
      </x:c>
      <x:c r="B85" s="74" t="n">
        <x:f>IF(F84&lt;0,D84,B84)</x:f>
        <x:v>-1.4480937048004208</x:v>
      </x:c>
      <x:c r="C85" s="74" t="n">
        <x:f>IF(F84&lt;0,C84,D84)</x:f>
        <x:v>1.0866781200447027</x:v>
      </x:c>
      <x:c r="D85" s="74" t="n">
        <x:f>(B85+C85)/2</x:f>
        <x:v>-0.18070779237785906</x:v>
      </x:c>
      <x:c r="E85" s="74" t="n">
        <x:f>$B$13+$B$14*SIN(RADIANS(D85+$B$15))+$B$9*SIN(RADIANS(D85+$B$15))*((1-EXP(-$B$10*(-LN(1-$B$10*($B$8/$B$12-$B$14*COS(RADIANS(D85+$B$15)))/($B$9*COS(RADIANS(D85+$B$15))))/$B$10)))/$B$10)-$B$11*(((-LN(1-$B$10*($B$8/$B$12-$B$14*COS(RADIANS(D85+$B$15)))/($B$9*COS(RADIANS(D85+$B$15))))/$B$10)-((1-EXP(-$B$10*(-LN(1-$B$10*($B$8/$B$12-$B$14*COS(RADIANS(D85+$B$15)))/($B$9*COS(RADIANS(D85+$B$15))))/$B$10)))/$B$10))/$B$10)</x:f>
        <x:v>-5.65987103531118</x:v>
      </x:c>
      <x:c r="F85" s="74" t="n">
        <x:f>E85</x:f>
        <x:v>-5.65987103531118</x:v>
      </x:c>
      <x:c r="G85" s="74"/>
      <x:c r="H85" s="74" t="n">
        <x:v>7</x:v>
      </x:c>
      <x:c r="I85" s="74" t="n">
        <x:f>IF(M84&lt;0,K84,I84)</x:f>
        <x:v>-1.4480937048004208</x:v>
      </x:c>
      <x:c r="J85" s="74" t="n">
        <x:f>IF(M84&lt;0,J84,K84)</x:f>
        <x:v>1.0866781200447027</x:v>
      </x:c>
      <x:c r="K85" s="74" t="n">
        <x:f>(I85+J85)/2</x:f>
        <x:v>-0.18070779237785906</x:v>
      </x:c>
      <x:c r="L85" s="74" t="n">
        <x:f>$B$13+$B$14*SIN(RADIANS(K85+$B$15))+$B$9*SIN(RADIANS(K85+$B$15))*((1-EXP(-$B$10*(-LN(1-$B$10*($B$8/$B$12-$B$14*COS(RADIANS(K85+$B$15)))/($B$9*COS(RADIANS(K85+$B$15))))/$B$10)))/$B$10)-$B$11*(((-LN(1-$B$10*($B$8/$B$12-$B$14*COS(RADIANS(K85+$B$15)))/($B$9*COS(RADIANS(K85+$B$15))))/$B$10)-((1-EXP(-$B$10*(-LN(1-$B$10*($B$8/$B$12-$B$14*COS(RADIANS(K85+$B$15)))/($B$9*COS(RADIANS(K85+$B$15))))/$B$10)))/$B$10))/$B$10)</x:f>
        <x:v>-5.65987103531118</x:v>
      </x:c>
      <x:c r="M85" s="74" t="n">
        <x:f>L85-1</x:f>
        <x:v>-6.65987103531118</x:v>
      </x:c>
    </x:row>
    <x:row r="86">
      <x:c r="A86" s="35" t="n">
        <x:v>8</x:v>
      </x:c>
      <x:c r="B86" s="74" t="n">
        <x:f>IF(F85&lt;0,D85,B85)</x:f>
        <x:v>-0.18070779237785906</x:v>
      </x:c>
      <x:c r="C86" s="74" t="n">
        <x:f>IF(F85&lt;0,C85,D85)</x:f>
        <x:v>1.0866781200447027</x:v>
      </x:c>
      <x:c r="D86" s="74" t="n">
        <x:f>(B86+C86)/2</x:f>
        <x:v>0.4529851638334218</x:v>
      </x:c>
      <x:c r="E86" s="74" t="n">
        <x:f>$B$13+$B$14*SIN(RADIANS(D86+$B$15))+$B$9*SIN(RADIANS(D86+$B$15))*((1-EXP(-$B$10*(-LN(1-$B$10*($B$8/$B$12-$B$14*COS(RADIANS(D86+$B$15)))/($B$9*COS(RADIANS(D86+$B$15))))/$B$10)))/$B$10)-$B$11*(((-LN(1-$B$10*($B$8/$B$12-$B$14*COS(RADIANS(D86+$B$15)))/($B$9*COS(RADIANS(D86+$B$15))))/$B$10)-((1-EXP(-$B$10*(-LN(1-$B$10*($B$8/$B$12-$B$14*COS(RADIANS(D86+$B$15)))/($B$9*COS(RADIANS(D86+$B$15))))/$B$10)))/$B$10))/$B$10)</x:f>
        <x:v>-0.023436291543101007</x:v>
      </x:c>
      <x:c r="F86" s="74" t="n">
        <x:f>E86</x:f>
        <x:v>-0.023436291543101007</x:v>
      </x:c>
      <x:c r="G86" s="74"/>
      <x:c r="H86" s="74" t="n">
        <x:v>8</x:v>
      </x:c>
      <x:c r="I86" s="74" t="n">
        <x:f>IF(M85&lt;0,K85,I85)</x:f>
        <x:v>-0.18070779237785906</x:v>
      </x:c>
      <x:c r="J86" s="74" t="n">
        <x:f>IF(M85&lt;0,J85,K85)</x:f>
        <x:v>1.0866781200447027</x:v>
      </x:c>
      <x:c r="K86" s="74" t="n">
        <x:f>(I86+J86)/2</x:f>
        <x:v>0.4529851638334218</x:v>
      </x:c>
      <x:c r="L86" s="74" t="n">
        <x:f>$B$13+$B$14*SIN(RADIANS(K86+$B$15))+$B$9*SIN(RADIANS(K86+$B$15))*((1-EXP(-$B$10*(-LN(1-$B$10*($B$8/$B$12-$B$14*COS(RADIANS(K86+$B$15)))/($B$9*COS(RADIANS(K86+$B$15))))/$B$10)))/$B$10)-$B$11*(((-LN(1-$B$10*($B$8/$B$12-$B$14*COS(RADIANS(K86+$B$15)))/($B$9*COS(RADIANS(K86+$B$15))))/$B$10)-((1-EXP(-$B$10*(-LN(1-$B$10*($B$8/$B$12-$B$14*COS(RADIANS(K86+$B$15)))/($B$9*COS(RADIANS(K86+$B$15))))/$B$10)))/$B$10))/$B$10)</x:f>
        <x:v>-0.023436291543101007</x:v>
      </x:c>
      <x:c r="M86" s="74" t="n">
        <x:f>L86-1</x:f>
        <x:v>-1.023436291543101</x:v>
      </x:c>
    </x:row>
    <x:row r="87">
      <x:c r="A87" s="35" t="n">
        <x:v>9</x:v>
      </x:c>
      <x:c r="B87" s="74" t="n">
        <x:f>IF(F86&lt;0,D86,B86)</x:f>
        <x:v>0.4529851638334218</x:v>
      </x:c>
      <x:c r="C87" s="74" t="n">
        <x:f>IF(F86&lt;0,C86,D86)</x:f>
        <x:v>1.0866781200447027</x:v>
      </x:c>
      <x:c r="D87" s="74" t="n">
        <x:f>(B87+C87)/2</x:f>
        <x:v>0.7698316419390623</x:v>
      </x:c>
      <x:c r="E87" s="74" t="n">
        <x:f>$B$13+$B$14*SIN(RADIANS(D87+$B$15))+$B$9*SIN(RADIANS(D87+$B$15))*((1-EXP(-$B$10*(-LN(1-$B$10*($B$8/$B$12-$B$14*COS(RADIANS(D87+$B$15)))/($B$9*COS(RADIANS(D87+$B$15))))/$B$10)))/$B$10)-$B$11*(((-LN(1-$B$10*($B$8/$B$12-$B$14*COS(RADIANS(D87+$B$15)))/($B$9*COS(RADIANS(D87+$B$15))))/$B$10)-((1-EXP(-$B$10*(-LN(1-$B$10*($B$8/$B$12-$B$14*COS(RADIANS(D87+$B$15)))/($B$9*COS(RADIANS(D87+$B$15))))/$B$10)))/$B$10))/$B$10)</x:f>
        <x:v>2.794536787222471</x:v>
      </x:c>
      <x:c r="F87" s="74" t="n">
        <x:f>E87</x:f>
        <x:v>2.794536787222471</x:v>
      </x:c>
      <x:c r="G87" s="74"/>
      <x:c r="H87" s="74" t="n">
        <x:v>9</x:v>
      </x:c>
      <x:c r="I87" s="74" t="n">
        <x:f>IF(M86&lt;0,K86,I86)</x:f>
        <x:v>0.4529851638334218</x:v>
      </x:c>
      <x:c r="J87" s="74" t="n">
        <x:f>IF(M86&lt;0,J86,K86)</x:f>
        <x:v>1.0866781200447027</x:v>
      </x:c>
      <x:c r="K87" s="74" t="n">
        <x:f>(I87+J87)/2</x:f>
        <x:v>0.7698316419390623</x:v>
      </x:c>
      <x:c r="L87" s="74" t="n">
        <x:f>$B$13+$B$14*SIN(RADIANS(K87+$B$15))+$B$9*SIN(RADIANS(K87+$B$15))*((1-EXP(-$B$10*(-LN(1-$B$10*($B$8/$B$12-$B$14*COS(RADIANS(K87+$B$15)))/($B$9*COS(RADIANS(K87+$B$15))))/$B$10)))/$B$10)-$B$11*(((-LN(1-$B$10*($B$8/$B$12-$B$14*COS(RADIANS(K87+$B$15)))/($B$9*COS(RADIANS(K87+$B$15))))/$B$10)-((1-EXP(-$B$10*(-LN(1-$B$10*($B$8/$B$12-$B$14*COS(RADIANS(K87+$B$15)))/($B$9*COS(RADIANS(K87+$B$15))))/$B$10)))/$B$10))/$B$10)</x:f>
        <x:v>2.794536787222471</x:v>
      </x:c>
      <x:c r="M87" s="74" t="n">
        <x:f>L87-1</x:f>
        <x:v>1.7945367872224711</x:v>
      </x:c>
    </x:row>
    <x:row r="88">
      <x:c r="A88" s="35" t="n">
        <x:v>10</x:v>
      </x:c>
      <x:c r="B88" s="74" t="n">
        <x:f>IF(F87&lt;0,D87,B87)</x:f>
        <x:v>0.4529851638334218</x:v>
      </x:c>
      <x:c r="C88" s="74" t="n">
        <x:f>IF(F87&lt;0,C87,D87)</x:f>
        <x:v>0.7698316419390623</x:v>
      </x:c>
      <x:c r="D88" s="74" t="n">
        <x:f>(B88+C88)/2</x:f>
        <x:v>0.6114084028862421</x:v>
      </x:c>
      <x:c r="E88" s="74" t="n">
        <x:f>$B$13+$B$14*SIN(RADIANS(D88+$B$15))+$B$9*SIN(RADIANS(D88+$B$15))*((1-EXP(-$B$10*(-LN(1-$B$10*($B$8/$B$12-$B$14*COS(RADIANS(D88+$B$15)))/($B$9*COS(RADIANS(D88+$B$15))))/$B$10)))/$B$10)-$B$11*(((-LN(1-$B$10*($B$8/$B$12-$B$14*COS(RADIANS(D88+$B$15)))/($B$9*COS(RADIANS(D88+$B$15))))/$B$10)-((1-EXP(-$B$10*(-LN(1-$B$10*($B$8/$B$12-$B$14*COS(RADIANS(D88+$B$15)))/($B$9*COS(RADIANS(D88+$B$15))))/$B$10)))/$B$10))/$B$10)</x:f>
        <x:v>1.3855526739091797</x:v>
      </x:c>
      <x:c r="F88" s="74" t="n">
        <x:f>E88</x:f>
        <x:v>1.3855526739091797</x:v>
      </x:c>
      <x:c r="G88" s="74"/>
      <x:c r="H88" s="74" t="n">
        <x:v>10</x:v>
      </x:c>
      <x:c r="I88" s="74" t="n">
        <x:f>IF(M87&lt;0,K87,I87)</x:f>
        <x:v>0.4529851638334218</x:v>
      </x:c>
      <x:c r="J88" s="74" t="n">
        <x:f>IF(M87&lt;0,J87,K87)</x:f>
        <x:v>0.7698316419390623</x:v>
      </x:c>
      <x:c r="K88" s="74" t="n">
        <x:f>(I88+J88)/2</x:f>
        <x:v>0.6114084028862421</x:v>
      </x:c>
      <x:c r="L88" s="74" t="n">
        <x:f>$B$13+$B$14*SIN(RADIANS(K88+$B$15))+$B$9*SIN(RADIANS(K88+$B$15))*((1-EXP(-$B$10*(-LN(1-$B$10*($B$8/$B$12-$B$14*COS(RADIANS(K88+$B$15)))/($B$9*COS(RADIANS(K88+$B$15))))/$B$10)))/$B$10)-$B$11*(((-LN(1-$B$10*($B$8/$B$12-$B$14*COS(RADIANS(K88+$B$15)))/($B$9*COS(RADIANS(K88+$B$15))))/$B$10)-((1-EXP(-$B$10*(-LN(1-$B$10*($B$8/$B$12-$B$14*COS(RADIANS(K88+$B$15)))/($B$9*COS(RADIANS(K88+$B$15))))/$B$10)))/$B$10))/$B$10)</x:f>
        <x:v>1.3855526739091797</x:v>
      </x:c>
      <x:c r="M88" s="74" t="n">
        <x:f>L88-1</x:f>
        <x:v>0.3855526739091797</x:v>
      </x:c>
    </x:row>
    <x:row r="89">
      <x:c r="A89" s="35" t="n">
        <x:v>11</x:v>
      </x:c>
      <x:c r="B89" s="74" t="n">
        <x:f>IF(F88&lt;0,D88,B88)</x:f>
        <x:v>0.4529851638334218</x:v>
      </x:c>
      <x:c r="C89" s="74" t="n">
        <x:f>IF(F88&lt;0,C88,D88)</x:f>
        <x:v>0.6114084028862421</x:v>
      </x:c>
      <x:c r="D89" s="74" t="n">
        <x:f>(B89+C89)/2</x:f>
        <x:v>0.532196783359832</x:v>
      </x:c>
      <x:c r="E89" s="74" t="n">
        <x:f>$B$13+$B$14*SIN(RADIANS(D89+$B$15))+$B$9*SIN(RADIANS(D89+$B$15))*((1-EXP(-$B$10*(-LN(1-$B$10*($B$8/$B$12-$B$14*COS(RADIANS(D89+$B$15)))/($B$9*COS(RADIANS(D89+$B$15))))/$B$10)))/$B$10)-$B$11*(((-LN(1-$B$10*($B$8/$B$12-$B$14*COS(RADIANS(D89+$B$15)))/($B$9*COS(RADIANS(D89+$B$15))))/$B$10)-((1-EXP(-$B$10*(-LN(1-$B$10*($B$8/$B$12-$B$14*COS(RADIANS(D89+$B$15)))/($B$9*COS(RADIANS(D89+$B$15))))/$B$10)))/$B$10))/$B$10)</x:f>
        <x:v>0.6810601424143741</x:v>
      </x:c>
      <x:c r="F89" s="74" t="n">
        <x:f>E89</x:f>
        <x:v>0.6810601424143741</x:v>
      </x:c>
      <x:c r="G89" s="74"/>
      <x:c r="H89" s="74" t="n">
        <x:v>11</x:v>
      </x:c>
      <x:c r="I89" s="74" t="n">
        <x:f>IF(M88&lt;0,K88,I88)</x:f>
        <x:v>0.4529851638334218</x:v>
      </x:c>
      <x:c r="J89" s="74" t="n">
        <x:f>IF(M88&lt;0,J88,K88)</x:f>
        <x:v>0.6114084028862421</x:v>
      </x:c>
      <x:c r="K89" s="74" t="n">
        <x:f>(I89+J89)/2</x:f>
        <x:v>0.532196783359832</x:v>
      </x:c>
      <x:c r="L89" s="74" t="n">
        <x:f>$B$13+$B$14*SIN(RADIANS(K89+$B$15))+$B$9*SIN(RADIANS(K89+$B$15))*((1-EXP(-$B$10*(-LN(1-$B$10*($B$8/$B$12-$B$14*COS(RADIANS(K89+$B$15)))/($B$9*COS(RADIANS(K89+$B$15))))/$B$10)))/$B$10)-$B$11*(((-LN(1-$B$10*($B$8/$B$12-$B$14*COS(RADIANS(K89+$B$15)))/($B$9*COS(RADIANS(K89+$B$15))))/$B$10)-((1-EXP(-$B$10*(-LN(1-$B$10*($B$8/$B$12-$B$14*COS(RADIANS(K89+$B$15)))/($B$9*COS(RADIANS(K89+$B$15))))/$B$10)))/$B$10))/$B$10)</x:f>
        <x:v>0.6810601424143741</x:v>
      </x:c>
      <x:c r="M89" s="74" t="n">
        <x:f>L89-1</x:f>
        <x:v>-0.31893985758562593</x:v>
      </x:c>
    </x:row>
    <x:row r="90">
      <x:c r="A90" s="35" t="n">
        <x:v>12</x:v>
      </x:c>
      <x:c r="B90" s="74" t="n">
        <x:f>IF(F89&lt;0,D89,B89)</x:f>
        <x:v>0.4529851638334218</x:v>
      </x:c>
      <x:c r="C90" s="74" t="n">
        <x:f>IF(F89&lt;0,C89,D89)</x:f>
        <x:v>0.532196783359832</x:v>
      </x:c>
      <x:c r="D90" s="74" t="n">
        <x:f>(B90+C90)/2</x:f>
        <x:v>0.4925909735966269</x:v>
      </x:c>
      <x:c r="E90" s="74" t="n">
        <x:f>$B$13+$B$14*SIN(RADIANS(D90+$B$15))+$B$9*SIN(RADIANS(D90+$B$15))*((1-EXP(-$B$10*(-LN(1-$B$10*($B$8/$B$12-$B$14*COS(RADIANS(D90+$B$15)))/($B$9*COS(RADIANS(D90+$B$15))))/$B$10)))/$B$10)-$B$11*(((-LN(1-$B$10*($B$8/$B$12-$B$14*COS(RADIANS(D90+$B$15)))/($B$9*COS(RADIANS(D90+$B$15))))/$B$10)-((1-EXP(-$B$10*(-LN(1-$B$10*($B$8/$B$12-$B$14*COS(RADIANS(D90+$B$15)))/($B$9*COS(RADIANS(D90+$B$15))))/$B$10)))/$B$10))/$B$10)</x:f>
        <x:v>0.3288125813368108</x:v>
      </x:c>
      <x:c r="F90" s="74" t="n">
        <x:f>E90</x:f>
        <x:v>0.3288125813368108</x:v>
      </x:c>
      <x:c r="G90" s="74"/>
      <x:c r="H90" s="74" t="n">
        <x:v>12</x:v>
      </x:c>
      <x:c r="I90" s="74" t="n">
        <x:f>IF(M89&lt;0,K89,I89)</x:f>
        <x:v>0.532196783359832</x:v>
      </x:c>
      <x:c r="J90" s="74" t="n">
        <x:f>IF(M89&lt;0,J89,K89)</x:f>
        <x:v>0.6114084028862421</x:v>
      </x:c>
      <x:c r="K90" s="74" t="n">
        <x:f>(I90+J90)/2</x:f>
        <x:v>0.571802593123037</x:v>
      </x:c>
      <x:c r="L90" s="74" t="n">
        <x:f>$B$13+$B$14*SIN(RADIANS(K90+$B$15))+$B$9*SIN(RADIANS(K90+$B$15))*((1-EXP(-$B$10*(-LN(1-$B$10*($B$8/$B$12-$B$14*COS(RADIANS(K90+$B$15)))/($B$9*COS(RADIANS(K90+$B$15))))/$B$10)))/$B$10)-$B$11*(((-LN(1-$B$10*($B$8/$B$12-$B$14*COS(RADIANS(K90+$B$15)))/($B$9*COS(RADIANS(K90+$B$15))))/$B$10)-((1-EXP(-$B$10*(-LN(1-$B$10*($B$8/$B$12-$B$14*COS(RADIANS(K90+$B$15)))/($B$9*COS(RADIANS(K90+$B$15))))/$B$10)))/$B$10))/$B$10)</x:f>
        <x:v>1.0333067278777612</x:v>
      </x:c>
      <x:c r="M90" s="74" t="n">
        <x:f>L90-1</x:f>
        <x:v>0.03330672787776123</x:v>
      </x:c>
    </x:row>
    <x:row r="91">
      <x:c r="A91" s="35" t="n">
        <x:v>13</x:v>
      </x:c>
      <x:c r="B91" s="74" t="n">
        <x:f>IF(F90&lt;0,D90,B90)</x:f>
        <x:v>0.4529851638334218</x:v>
      </x:c>
      <x:c r="C91" s="74" t="n">
        <x:f>IF(F90&lt;0,C90,D90)</x:f>
        <x:v>0.4925909735966269</x:v>
      </x:c>
      <x:c r="D91" s="74" t="n">
        <x:f>(B91+C91)/2</x:f>
        <x:v>0.4727880687150243</x:v>
      </x:c>
      <x:c r="E91" s="74" t="n">
        <x:f>$B$13+$B$14*SIN(RADIANS(D91+$B$15))+$B$9*SIN(RADIANS(D91+$B$15))*((1-EXP(-$B$10*(-LN(1-$B$10*($B$8/$B$12-$B$14*COS(RADIANS(D91+$B$15)))/($B$9*COS(RADIANS(D91+$B$15))))/$B$10)))/$B$10)-$B$11*(((-LN(1-$B$10*($B$8/$B$12-$B$14*COS(RADIANS(D91+$B$15)))/($B$9*COS(RADIANS(D91+$B$15))))/$B$10)-((1-EXP(-$B$10*(-LN(1-$B$10*($B$8/$B$12-$B$14*COS(RADIANS(D91+$B$15)))/($B$9*COS(RADIANS(D91+$B$15))))/$B$10)))/$B$10))/$B$10)</x:f>
        <x:v>0.15268832988419412</x:v>
      </x:c>
      <x:c r="F91" s="74" t="n">
        <x:f>E91</x:f>
        <x:v>0.15268832988419412</x:v>
      </x:c>
      <x:c r="G91" s="74"/>
      <x:c r="H91" s="74" t="n">
        <x:v>13</x:v>
      </x:c>
      <x:c r="I91" s="74" t="n">
        <x:f>IF(M90&lt;0,K90,I90)</x:f>
        <x:v>0.532196783359832</x:v>
      </x:c>
      <x:c r="J91" s="74" t="n">
        <x:f>IF(M90&lt;0,J90,K90)</x:f>
        <x:v>0.571802593123037</x:v>
      </x:c>
      <x:c r="K91" s="74" t="n">
        <x:f>(I91+J91)/2</x:f>
        <x:v>0.5519996882414345</x:v>
      </x:c>
      <x:c r="L91" s="74" t="n">
        <x:f>$B$13+$B$14*SIN(RADIANS(K91+$B$15))+$B$9*SIN(RADIANS(K91+$B$15))*((1-EXP(-$B$10*(-LN(1-$B$10*($B$8/$B$12-$B$14*COS(RADIANS(K91+$B$15)))/($B$9*COS(RADIANS(K91+$B$15))))/$B$10)))/$B$10)-$B$11*(((-LN(1-$B$10*($B$8/$B$12-$B$14*COS(RADIANS(K91+$B$15)))/($B$9*COS(RADIANS(K91+$B$15))))/$B$10)-((1-EXP(-$B$10*(-LN(1-$B$10*($B$8/$B$12-$B$14*COS(RADIANS(K91+$B$15)))/($B$9*COS(RADIANS(K91+$B$15))))/$B$10)))/$B$10))/$B$10)</x:f>
        <x:v>0.8571835360863176</x:v>
      </x:c>
      <x:c r="M91" s="74" t="n">
        <x:f>L91-1</x:f>
        <x:v>-0.1428164639136824</x:v>
      </x:c>
    </x:row>
    <x:row r="92">
      <x:c r="A92" s="35" t="n">
        <x:v>14</x:v>
      </x:c>
      <x:c r="B92" s="74" t="n">
        <x:f>IF(F91&lt;0,D91,B91)</x:f>
        <x:v>0.4529851638334218</x:v>
      </x:c>
      <x:c r="C92" s="74" t="n">
        <x:f>IF(F91&lt;0,C91,D91)</x:f>
        <x:v>0.4727880687150243</x:v>
      </x:c>
      <x:c r="D92" s="74" t="n">
        <x:f>(B92+C92)/2</x:f>
        <x:v>0.46288661627422306</x:v>
      </x:c>
      <x:c r="E92" s="74" t="n">
        <x:f>$B$13+$B$14*SIN(RADIANS(D92+$B$15))+$B$9*SIN(RADIANS(D92+$B$15))*((1-EXP(-$B$10*(-LN(1-$B$10*($B$8/$B$12-$B$14*COS(RADIANS(D92+$B$15)))/($B$9*COS(RADIANS(D92+$B$15))))/$B$10)))/$B$10)-$B$11*(((-LN(1-$B$10*($B$8/$B$12-$B$14*COS(RADIANS(D92+$B$15)))/($B$9*COS(RADIANS(D92+$B$15))))/$B$10)-((1-EXP(-$B$10*(-LN(1-$B$10*($B$8/$B$12-$B$14*COS(RADIANS(D92+$B$15)))/($B$9*COS(RADIANS(D92+$B$15))))/$B$10)))/$B$10))/$B$10)</x:f>
        <x:v>0.06462606804392124</x:v>
      </x:c>
      <x:c r="F92" s="74" t="n">
        <x:f>E92</x:f>
        <x:v>0.06462606804392124</x:v>
      </x:c>
      <x:c r="G92" s="74"/>
      <x:c r="H92" s="74" t="n">
        <x:v>14</x:v>
      </x:c>
      <x:c r="I92" s="74" t="n">
        <x:f>IF(M91&lt;0,K91,I91)</x:f>
        <x:v>0.5519996882414345</x:v>
      </x:c>
      <x:c r="J92" s="74" t="n">
        <x:f>IF(M91&lt;0,J91,K91)</x:f>
        <x:v>0.571802593123037</x:v>
      </x:c>
      <x:c r="K92" s="74" t="n">
        <x:f>(I92+J92)/2</x:f>
        <x:v>0.5619011406822358</x:v>
      </x:c>
      <x:c r="L92" s="74" t="n">
        <x:f>$B$13+$B$14*SIN(RADIANS(K92+$B$15))+$B$9*SIN(RADIANS(K92+$B$15))*((1-EXP(-$B$10*(-LN(1-$B$10*($B$8/$B$12-$B$14*COS(RADIANS(K92+$B$15)))/($B$9*COS(RADIANS(K92+$B$15))))/$B$10)))/$B$10)-$B$11*(((-LN(1-$B$10*($B$8/$B$12-$B$14*COS(RADIANS(K92+$B$15)))/($B$9*COS(RADIANS(K92+$B$15))))/$B$10)-((1-EXP(-$B$10*(-LN(1-$B$10*($B$8/$B$12-$B$14*COS(RADIANS(K92+$B$15)))/($B$9*COS(RADIANS(K92+$B$15))))/$B$10)))/$B$10))/$B$10)</x:f>
        <x:v>0.9452451545906619</x:v>
      </x:c>
      <x:c r="M92" s="74" t="n">
        <x:f>L92-1</x:f>
        <x:v>-0.05475484540933806</x:v>
      </x:c>
    </x:row>
    <x:row r="93">
      <x:c r="A93" s="35" t="n">
        <x:v>15</x:v>
      </x:c>
      <x:c r="B93" s="74" t="n">
        <x:f>IF(F92&lt;0,D92,B92)</x:f>
        <x:v>0.4529851638334218</x:v>
      </x:c>
      <x:c r="C93" s="74" t="n">
        <x:f>IF(F92&lt;0,C92,D92)</x:f>
        <x:v>0.46288661627422306</x:v>
      </x:c>
      <x:c r="D93" s="74" t="n">
        <x:f>(B93+C93)/2</x:f>
        <x:v>0.4579358900538224</x:v>
      </x:c>
      <x:c r="E93" s="74" t="n">
        <x:f>$B$13+$B$14*SIN(RADIANS(D93+$B$15))+$B$9*SIN(RADIANS(D93+$B$15))*((1-EXP(-$B$10*(-LN(1-$B$10*($B$8/$B$12-$B$14*COS(RADIANS(D93+$B$15)))/($B$9*COS(RADIANS(D93+$B$15))))/$B$10)))/$B$10)-$B$11*(((-LN(1-$B$10*($B$8/$B$12-$B$14*COS(RADIANS(D93+$B$15)))/($B$9*COS(RADIANS(D93+$B$15))))/$B$10)-((1-EXP(-$B$10*(-LN(1-$B$10*($B$8/$B$12-$B$14*COS(RADIANS(D93+$B$15)))/($B$9*COS(RADIANS(D93+$B$15))))/$B$10)))/$B$10))/$B$10)</x:f>
        <x:v>0.020594900797084037</x:v>
      </x:c>
      <x:c r="F93" s="74" t="n">
        <x:f>E93</x:f>
        <x:v>0.020594900797084037</x:v>
      </x:c>
      <x:c r="G93" s="74"/>
      <x:c r="H93" s="74" t="n">
        <x:v>15</x:v>
      </x:c>
      <x:c r="I93" s="74" t="n">
        <x:f>IF(M92&lt;0,K92,I92)</x:f>
        <x:v>0.5619011406822358</x:v>
      </x:c>
      <x:c r="J93" s="74" t="n">
        <x:f>IF(M92&lt;0,J92,K92)</x:f>
        <x:v>0.571802593123037</x:v>
      </x:c>
      <x:c r="K93" s="74" t="n">
        <x:f>(I93+J93)/2</x:f>
        <x:v>0.5668518669026364</x:v>
      </x:c>
      <x:c r="L93" s="74" t="n">
        <x:f>$B$13+$B$14*SIN(RADIANS(K93+$B$15))+$B$9*SIN(RADIANS(K93+$B$15))*((1-EXP(-$B$10*(-LN(1-$B$10*($B$8/$B$12-$B$14*COS(RADIANS(K93+$B$15)))/($B$9*COS(RADIANS(K93+$B$15))))/$B$10)))/$B$10)-$B$11*(((-LN(1-$B$10*($B$8/$B$12-$B$14*COS(RADIANS(K93+$B$15)))/($B$9*COS(RADIANS(K93+$B$15))))/$B$10)-((1-EXP(-$B$10*(-LN(1-$B$10*($B$8/$B$12-$B$14*COS(RADIANS(K93+$B$15)))/($B$9*COS(RADIANS(K93+$B$15))))/$B$10)))/$B$10))/$B$10)</x:f>
        <x:v>0.9892759465580543</x:v>
      </x:c>
      <x:c r="M93" s="74" t="n">
        <x:f>L93-1</x:f>
        <x:v>-0.010724053441945713</x:v>
      </x:c>
    </x:row>
    <x:row r="94">
      <x:c r="A94" s="35" t="n">
        <x:v>16</x:v>
      </x:c>
      <x:c r="B94" s="74" t="n">
        <x:f>IF(F93&lt;0,D93,B93)</x:f>
        <x:v>0.4529851638334218</x:v>
      </x:c>
      <x:c r="C94" s="74" t="n">
        <x:f>IF(F93&lt;0,C93,D93)</x:f>
        <x:v>0.4579358900538224</x:v>
      </x:c>
      <x:c r="D94" s="74" t="n">
        <x:f>(B94+C94)/2</x:f>
        <x:v>0.4554605269436221</x:v>
      </x:c>
      <x:c r="E94" s="74" t="n">
        <x:f>$B$13+$B$14*SIN(RADIANS(D94+$B$15))+$B$9*SIN(RADIANS(D94+$B$15))*((1-EXP(-$B$10*(-LN(1-$B$10*($B$8/$B$12-$B$14*COS(RADIANS(D94+$B$15)))/($B$9*COS(RADIANS(D94+$B$15))))/$B$10)))/$B$10)-$B$11*(((-LN(1-$B$10*($B$8/$B$12-$B$14*COS(RADIANS(D94+$B$15)))/($B$9*COS(RADIANS(D94+$B$15))))/$B$10)-((1-EXP(-$B$10*(-LN(1-$B$10*($B$8/$B$12-$B$14*COS(RADIANS(D94+$B$15)))/($B$9*COS(RADIANS(D94+$B$15))))/$B$10)))/$B$10))/$B$10)</x:f>
        <x:v>-0.0014206921953121565</x:v>
      </x:c>
      <x:c r="F94" s="74" t="n">
        <x:f>E94</x:f>
        <x:v>-0.0014206921953121565</x:v>
      </x:c>
      <x:c r="G94" s="74"/>
      <x:c r="H94" s="74" t="n">
        <x:v>16</x:v>
      </x:c>
      <x:c r="I94" s="74" t="n">
        <x:f>IF(M93&lt;0,K93,I93)</x:f>
        <x:v>0.5668518669026364</x:v>
      </x:c>
      <x:c r="J94" s="74" t="n">
        <x:f>IF(M93&lt;0,J93,K93)</x:f>
        <x:v>0.571802593123037</x:v>
      </x:c>
      <x:c r="K94" s="74" t="n">
        <x:f>(I94+J94)/2</x:f>
        <x:v>0.5693272300128367</x:v>
      </x:c>
      <x:c r="L94" s="74" t="n">
        <x:f>$B$13+$B$14*SIN(RADIANS(K94+$B$15))+$B$9*SIN(RADIANS(K94+$B$15))*((1-EXP(-$B$10*(-LN(1-$B$10*($B$8/$B$12-$B$14*COS(RADIANS(K94+$B$15)))/($B$9*COS(RADIANS(K94+$B$15))))/$B$10)))/$B$10)-$B$11*(((-LN(1-$B$10*($B$8/$B$12-$B$14*COS(RADIANS(K94+$B$15)))/($B$9*COS(RADIANS(K94+$B$15))))/$B$10)-((1-EXP(-$B$10*(-LN(1-$B$10*($B$8/$B$12-$B$14*COS(RADIANS(K94+$B$15)))/($B$9*COS(RADIANS(K94+$B$15))))/$B$10)))/$B$10))/$B$10)</x:f>
        <x:v>1.011291338507835</x:v>
      </x:c>
      <x:c r="M94" s="74" t="n">
        <x:f>L94-1</x:f>
        <x:v>0.011291338507835036</x:v>
      </x:c>
    </x:row>
    <x:row r="95">
      <x:c r="A95" s="35" t="n">
        <x:v>17</x:v>
      </x:c>
      <x:c r="B95" s="74" t="n">
        <x:f>IF(F94&lt;0,D94,B94)</x:f>
        <x:v>0.4554605269436221</x:v>
      </x:c>
      <x:c r="C95" s="74" t="n">
        <x:f>IF(F94&lt;0,C94,D94)</x:f>
        <x:v>0.4579358900538224</x:v>
      </x:c>
      <x:c r="D95" s="74" t="n">
        <x:f>(B95+C95)/2</x:f>
        <x:v>0.4566982084987222</x:v>
      </x:c>
      <x:c r="E95" s="74" t="n">
        <x:f>$B$13+$B$14*SIN(RADIANS(D95+$B$15))+$B$9*SIN(RADIANS(D95+$B$15))*((1-EXP(-$B$10*(-LN(1-$B$10*($B$8/$B$12-$B$14*COS(RADIANS(D95+$B$15)))/($B$9*COS(RADIANS(D95+$B$15))))/$B$10)))/$B$10)-$B$11*(((-LN(1-$B$10*($B$8/$B$12-$B$14*COS(RADIANS(D95+$B$15)))/($B$9*COS(RADIANS(D95+$B$15))))/$B$10)-((1-EXP(-$B$10*(-LN(1-$B$10*($B$8/$B$12-$B$14*COS(RADIANS(D95+$B$15)))/($B$9*COS(RADIANS(D95+$B$15))))/$B$10)))/$B$10))/$B$10)</x:f>
        <x:v>0.00958710509018168</x:v>
      </x:c>
      <x:c r="F95" s="74" t="n">
        <x:f>E95</x:f>
        <x:v>0.00958710509018168</x:v>
      </x:c>
      <x:c r="G95" s="74"/>
      <x:c r="H95" s="74" t="n">
        <x:v>17</x:v>
      </x:c>
      <x:c r="I95" s="74" t="n">
        <x:f>IF(M94&lt;0,K94,I94)</x:f>
        <x:v>0.5668518669026364</x:v>
      </x:c>
      <x:c r="J95" s="74" t="n">
        <x:f>IF(M94&lt;0,J94,K94)</x:f>
        <x:v>0.5693272300128367</x:v>
      </x:c>
      <x:c r="K95" s="74" t="n">
        <x:f>(I95+J95)/2</x:f>
        <x:v>0.5680895484577366</x:v>
      </x:c>
      <x:c r="L95" s="74" t="n">
        <x:f>$B$13+$B$14*SIN(RADIANS(K95+$B$15))+$B$9*SIN(RADIANS(K95+$B$15))*((1-EXP(-$B$10*(-LN(1-$B$10*($B$8/$B$12-$B$14*COS(RADIANS(K95+$B$15)))/($B$9*COS(RADIANS(K95+$B$15))))/$B$10)))/$B$10)-$B$11*(((-LN(1-$B$10*($B$8/$B$12-$B$14*COS(RADIANS(K95+$B$15)))/($B$9*COS(RADIANS(K95+$B$15))))/$B$10)-((1-EXP(-$B$10*(-LN(1-$B$10*($B$8/$B$12-$B$14*COS(RADIANS(K95+$B$15)))/($B$9*COS(RADIANS(K95+$B$15))))/$B$10)))/$B$10))/$B$10)</x:f>
        <x:v>1.0002836428605608</x:v>
      </x:c>
      <x:c r="M95" s="74" t="n">
        <x:f>L95-1</x:f>
        <x:v>0.00028364286056081767</x:v>
      </x:c>
    </x:row>
    <x:row r="96">
      <x:c r="A96" s="35" t="n">
        <x:v>18</x:v>
      </x:c>
      <x:c r="B96" s="74" t="n">
        <x:f>IF(F95&lt;0,D95,B95)</x:f>
        <x:v>0.4554605269436221</x:v>
      </x:c>
      <x:c r="C96" s="74" t="n">
        <x:f>IF(F95&lt;0,C95,D95)</x:f>
        <x:v>0.4566982084987222</x:v>
      </x:c>
      <x:c r="D96" s="74" t="n">
        <x:f>(B96+C96)/2</x:f>
        <x:v>0.4560793677211722</x:v>
      </x:c>
      <x:c r="E96" s="74" t="n">
        <x:f>$B$13+$B$14*SIN(RADIANS(D96+$B$15))+$B$9*SIN(RADIANS(D96+$B$15))*((1-EXP(-$B$10*(-LN(1-$B$10*($B$8/$B$12-$B$14*COS(RADIANS(D96+$B$15)))/($B$9*COS(RADIANS(D96+$B$15))))/$B$10)))/$B$10)-$B$11*(((-LN(1-$B$10*($B$8/$B$12-$B$14*COS(RADIANS(D96+$B$15)))/($B$9*COS(RADIANS(D96+$B$15))))/$B$10)-((1-EXP(-$B$10*(-LN(1-$B$10*($B$8/$B$12-$B$14*COS(RADIANS(D96+$B$15)))/($B$9*COS(RADIANS(D96+$B$15))))/$B$10)))/$B$10))/$B$10)</x:f>
        <x:v>0.004083206645406179</x:v>
      </x:c>
      <x:c r="F96" s="74" t="n">
        <x:f>E96</x:f>
        <x:v>0.004083206645406179</x:v>
      </x:c>
      <x:c r="G96" s="74"/>
      <x:c r="H96" s="74" t="n">
        <x:v>18</x:v>
      </x:c>
      <x:c r="I96" s="74" t="n">
        <x:f>IF(M95&lt;0,K95,I95)</x:f>
        <x:v>0.5668518669026364</x:v>
      </x:c>
      <x:c r="J96" s="74" t="n">
        <x:f>IF(M95&lt;0,J95,K95)</x:f>
        <x:v>0.5680895484577366</x:v>
      </x:c>
      <x:c r="K96" s="74" t="n">
        <x:f>(I96+J96)/2</x:f>
        <x:v>0.5674707076801866</x:v>
      </x:c>
      <x:c r="L96" s="74" t="n">
        <x:f>$B$13+$B$14*SIN(RADIANS(K96+$B$15))+$B$9*SIN(RADIANS(K96+$B$15))*((1-EXP(-$B$10*(-LN(1-$B$10*($B$8/$B$12-$B$14*COS(RADIANS(K96+$B$15)))/($B$9*COS(RADIANS(K96+$B$15))))/$B$10)))/$B$10)-$B$11*(((-LN(1-$B$10*($B$8/$B$12-$B$14*COS(RADIANS(K96+$B$15)))/($B$9*COS(RADIANS(K96+$B$15))))/$B$10)-((1-EXP(-$B$10*(-LN(1-$B$10*($B$8/$B$12-$B$14*COS(RADIANS(K96+$B$15)))/($B$9*COS(RADIANS(K96+$B$15))))/$B$10)))/$B$10))/$B$10)</x:f>
        <x:v>0.9947797947918531</x:v>
      </x:c>
      <x:c r="M96" s="74" t="n">
        <x:f>L96-1</x:f>
        <x:v>-0.005220205208146922</x:v>
      </x:c>
    </x:row>
    <x:row r="97">
      <x:c r="A97" s="35" t="n">
        <x:v>19</x:v>
      </x:c>
      <x:c r="B97" s="74" t="n">
        <x:f>IF(F96&lt;0,D96,B96)</x:f>
        <x:v>0.4554605269436221</x:v>
      </x:c>
      <x:c r="C97" s="74" t="n">
        <x:f>IF(F96&lt;0,C96,D96)</x:f>
        <x:v>0.4560793677211722</x:v>
      </x:c>
      <x:c r="D97" s="74" t="n">
        <x:f>(B97+C97)/2</x:f>
        <x:v>0.4557699473323972</x:v>
      </x:c>
      <x:c r="E97" s="74" t="n">
        <x:f>$B$13+$B$14*SIN(RADIANS(D97+$B$15))+$B$9*SIN(RADIANS(D97+$B$15))*((1-EXP(-$B$10*(-LN(1-$B$10*($B$8/$B$12-$B$14*COS(RADIANS(D97+$B$15)))/($B$9*COS(RADIANS(D97+$B$15))))/$B$10)))/$B$10)-$B$11*(((-LN(1-$B$10*($B$8/$B$12-$B$14*COS(RADIANS(D97+$B$15)))/($B$9*COS(RADIANS(D97+$B$15))))/$B$10)-((1-EXP(-$B$10*(-LN(1-$B$10*($B$8/$B$12-$B$14*COS(RADIANS(D97+$B$15)))/($B$9*COS(RADIANS(D97+$B$15))))/$B$10)))/$B$10))/$B$10)</x:f>
        <x:v>0.001331257274637565</x:v>
      </x:c>
      <x:c r="F97" s="74" t="n">
        <x:f>E97</x:f>
        <x:v>0.001331257274637565</x:v>
      </x:c>
      <x:c r="G97" s="74"/>
      <x:c r="H97" s="74" t="n">
        <x:v>19</x:v>
      </x:c>
      <x:c r="I97" s="74" t="n">
        <x:f>IF(M96&lt;0,K96,I96)</x:f>
        <x:v>0.5674707076801866</x:v>
      </x:c>
      <x:c r="J97" s="74" t="n">
        <x:f>IF(M96&lt;0,J96,K96)</x:f>
        <x:v>0.5680895484577366</x:v>
      </x:c>
      <x:c r="K97" s="74" t="n">
        <x:f>(I97+J97)/2</x:f>
        <x:v>0.5677801280689616</x:v>
      </x:c>
      <x:c r="L97" s="74" t="n">
        <x:f>$B$13+$B$14*SIN(RADIANS(K97+$B$15))+$B$9*SIN(RADIANS(K97+$B$15))*((1-EXP(-$B$10*(-LN(1-$B$10*($B$8/$B$12-$B$14*COS(RADIANS(K97+$B$15)))/($B$9*COS(RADIANS(K97+$B$15))))/$B$10)))/$B$10)-$B$11*(((-LN(1-$B$10*($B$8/$B$12-$B$14*COS(RADIANS(K97+$B$15)))/($B$9*COS(RADIANS(K97+$B$15))))/$B$10)-((1-EXP(-$B$10*(-LN(1-$B$10*($B$8/$B$12-$B$14*COS(RADIANS(K97+$B$15)))/($B$9*COS(RADIANS(K97+$B$15))))/$B$10)))/$B$10))/$B$10)</x:f>
        <x:v>0.9975317188467709</x:v>
      </x:c>
      <x:c r="M97" s="74" t="n">
        <x:f>L97-1</x:f>
        <x:v>-0.002468281153229057</x:v>
      </x:c>
    </x:row>
    <x:row r="98">
      <x:c r="A98" s="35" t="n">
        <x:v>20</x:v>
      </x:c>
      <x:c r="B98" s="74" t="n">
        <x:f>IF(F97&lt;0,D97,B97)</x:f>
        <x:v>0.4554605269436221</x:v>
      </x:c>
      <x:c r="C98" s="74" t="n">
        <x:f>IF(F97&lt;0,C97,D97)</x:f>
        <x:v>0.4557699473323972</x:v>
      </x:c>
      <x:c r="D98" s="74" t="n">
        <x:f>(B98+C98)/2</x:f>
        <x:v>0.45561523713800967</x:v>
      </x:c>
      <x:c r="E98" s="74" t="n">
        <x:f>$B$13+$B$14*SIN(RADIANS(D98+$B$15))+$B$9*SIN(RADIANS(D98+$B$15))*((1-EXP(-$B$10*(-LN(1-$B$10*($B$8/$B$12-$B$14*COS(RADIANS(D98+$B$15)))/($B$9*COS(RADIANS(D98+$B$15))))/$B$10)))/$B$10)-$B$11*(((-LN(1-$B$10*($B$8/$B$12-$B$14*COS(RADIANS(D98+$B$15)))/($B$9*COS(RADIANS(D98+$B$15))))/$B$10)-((1-EXP(-$B$10*(-LN(1-$B$10*($B$8/$B$12-$B$14*COS(RADIANS(D98+$B$15)))/($B$9*COS(RADIANS(D98+$B$15))))/$B$10)))/$B$10))/$B$10)</x:f>
        <x:v>-0.000044717447943654065</x:v>
      </x:c>
      <x:c r="F98" s="74" t="n">
        <x:f>E98</x:f>
        <x:v>-0.000044717447943654065</x:v>
      </x:c>
      <x:c r="G98" s="74"/>
      <x:c r="H98" s="74" t="n">
        <x:v>20</x:v>
      </x:c>
      <x:c r="I98" s="74" t="n">
        <x:f>IF(M97&lt;0,K97,I97)</x:f>
        <x:v>0.5677801280689616</x:v>
      </x:c>
      <x:c r="J98" s="74" t="n">
        <x:f>IF(M97&lt;0,J97,K97)</x:f>
        <x:v>0.5680895484577366</x:v>
      </x:c>
      <x:c r="K98" s="74" t="n">
        <x:f>(I98+J98)/2</x:f>
        <x:v>0.5679348382633491</x:v>
      </x:c>
      <x:c r="L98" s="74" t="n">
        <x:f>$B$13+$B$14*SIN(RADIANS(K98+$B$15))+$B$9*SIN(RADIANS(K98+$B$15))*((1-EXP(-$B$10*(-LN(1-$B$10*($B$8/$B$12-$B$14*COS(RADIANS(K98+$B$15)))/($B$9*COS(RADIANS(K98+$B$15))))/$B$10)))/$B$10)-$B$11*(((-LN(1-$B$10*($B$8/$B$12-$B$14*COS(RADIANS(K98+$B$15)))/($B$9*COS(RADIANS(K98+$B$15))))/$B$10)-((1-EXP(-$B$10*(-LN(1-$B$10*($B$8/$B$12-$B$14*COS(RADIANS(K98+$B$15)))/($B$9*COS(RADIANS(K98+$B$15))))/$B$10)))/$B$10))/$B$10)</x:f>
        <x:v>0.9989076808587907</x:v>
      </x:c>
      <x:c r="M98" s="74" t="n">
        <x:f>L98-1</x:f>
        <x:v>-0.0010923191412093303</x:v>
      </x:c>
    </x:row>
    <x:row r="99">
      <x:c r="A99" s="35" t="n">
        <x:v>21</x:v>
      </x:c>
      <x:c r="B99" s="74" t="n">
        <x:f>IF(F98&lt;0,D98,B98)</x:f>
        <x:v>0.45561523713800967</x:v>
      </x:c>
      <x:c r="C99" s="74" t="n">
        <x:f>IF(F98&lt;0,C98,D98)</x:f>
        <x:v>0.4557699473323972</x:v>
      </x:c>
      <x:c r="D99" s="74" t="n">
        <x:f>(B99+C99)/2</x:f>
        <x:v>0.4556925922352034</x:v>
      </x:c>
      <x:c r="E99" s="74" t="n">
        <x:f>$B$13+$B$14*SIN(RADIANS(D99+$B$15))+$B$9*SIN(RADIANS(D99+$B$15))*((1-EXP(-$B$10*(-LN(1-$B$10*($B$8/$B$12-$B$14*COS(RADIANS(D99+$B$15)))/($B$9*COS(RADIANS(D99+$B$15))))/$B$10)))/$B$10)-$B$11*(((-LN(1-$B$10*($B$8/$B$12-$B$14*COS(RADIANS(D99+$B$15)))/($B$9*COS(RADIANS(D99+$B$15))))/$B$10)-((1-EXP(-$B$10*(-LN(1-$B$10*($B$8/$B$12-$B$14*COS(RADIANS(D99+$B$15)))/($B$9*COS(RADIANS(D99+$B$15))))/$B$10)))/$B$10))/$B$10)</x:f>
        <x:v>0.0006432699164324873</x:v>
      </x:c>
      <x:c r="F99" s="74" t="n">
        <x:f>E99</x:f>
        <x:v>0.0006432699164324873</x:v>
      </x:c>
      <x:c r="G99" s="74"/>
      <x:c r="H99" s="74" t="n">
        <x:v>21</x:v>
      </x:c>
      <x:c r="I99" s="74" t="n">
        <x:f>IF(M98&lt;0,K98,I98)</x:f>
        <x:v>0.5679348382633491</x:v>
      </x:c>
      <x:c r="J99" s="74" t="n">
        <x:f>IF(M98&lt;0,J98,K98)</x:f>
        <x:v>0.5680895484577366</x:v>
      </x:c>
      <x:c r="K99" s="74" t="n">
        <x:f>(I99+J99)/2</x:f>
        <x:v>0.5680121933605429</x:v>
      </x:c>
      <x:c r="L99" s="74" t="n">
        <x:f>$B$13+$B$14*SIN(RADIANS(K99+$B$15))+$B$9*SIN(RADIANS(K99+$B$15))*((1-EXP(-$B$10*(-LN(1-$B$10*($B$8/$B$12-$B$14*COS(RADIANS(K99+$B$15)))/($B$9*COS(RADIANS(K99+$B$15))))/$B$10)))/$B$10)-$B$11*(((-LN(1-$B$10*($B$8/$B$12-$B$14*COS(RADIANS(K99+$B$15)))/($B$9*COS(RADIANS(K99+$B$15))))/$B$10)-((1-EXP(-$B$10*(-LN(1-$B$10*($B$8/$B$12-$B$14*COS(RADIANS(K99+$B$15)))/($B$9*COS(RADIANS(K99+$B$15))))/$B$10)))/$B$10))/$B$10)</x:f>
        <x:v>0.9995956618609636</x:v>
      </x:c>
      <x:c r="M99" s="74" t="n">
        <x:f>L99-1</x:f>
        <x:v>-0.0004043381390363976</x:v>
      </x:c>
    </x:row>
    <x:row r="100">
      <x:c r="A100" s="35" t="n">
        <x:v>22</x:v>
      </x:c>
      <x:c r="B100" s="74" t="n">
        <x:f>IF(F99&lt;0,D99,B99)</x:f>
        <x:v>0.45561523713800967</x:v>
      </x:c>
      <x:c r="C100" s="74" t="n">
        <x:f>IF(F99&lt;0,C99,D99)</x:f>
        <x:v>0.4556925922352034</x:v>
      </x:c>
      <x:c r="D100" s="74" t="n">
        <x:f>(B100+C100)/2</x:f>
        <x:v>0.45565391468660654</x:v>
      </x:c>
      <x:c r="E100" s="74" t="n">
        <x:f>$B$13+$B$14*SIN(RADIANS(D100+$B$15))+$B$9*SIN(RADIANS(D100+$B$15))*((1-EXP(-$B$10*(-LN(1-$B$10*($B$8/$B$12-$B$14*COS(RADIANS(D100+$B$15)))/($B$9*COS(RADIANS(D100+$B$15))))/$B$10)))/$B$10)-$B$11*(((-LN(1-$B$10*($B$8/$B$12-$B$14*COS(RADIANS(D100+$B$15)))/($B$9*COS(RADIANS(D100+$B$15))))/$B$10)-((1-EXP(-$B$10*(-LN(1-$B$10*($B$8/$B$12-$B$14*COS(RADIANS(D100+$B$15)))/($B$9*COS(RADIANS(D100+$B$15))))/$B$10)))/$B$10))/$B$10)</x:f>
        <x:v>0.0002992762350189082</x:v>
      </x:c>
      <x:c r="F100" s="74" t="n">
        <x:f>E100</x:f>
        <x:v>0.0002992762350189082</x:v>
      </x:c>
      <x:c r="G100" s="74"/>
      <x:c r="H100" s="74" t="n">
        <x:v>22</x:v>
      </x:c>
      <x:c r="I100" s="74" t="n">
        <x:f>IF(M99&lt;0,K99,I99)</x:f>
        <x:v>0.5680121933605429</x:v>
      </x:c>
      <x:c r="J100" s="74" t="n">
        <x:f>IF(M99&lt;0,J99,K99)</x:f>
        <x:v>0.5680895484577366</x:v>
      </x:c>
      <x:c r="K100" s="74" t="n">
        <x:f>(I100+J100)/2</x:f>
        <x:v>0.5680508709091397</x:v>
      </x:c>
      <x:c r="L100" s="74" t="n">
        <x:f>$B$13+$B$14*SIN(RADIANS(K100+$B$15))+$B$9*SIN(RADIANS(K100+$B$15))*((1-EXP(-$B$10*(-LN(1-$B$10*($B$8/$B$12-$B$14*COS(RADIANS(K100+$B$15)))/($B$9*COS(RADIANS(K100+$B$15))))/$B$10)))/$B$10)-$B$11*(((-LN(1-$B$10*($B$8/$B$12-$B$14*COS(RADIANS(K100+$B$15)))/($B$9*COS(RADIANS(K100+$B$15))))/$B$10)-((1-EXP(-$B$10*(-LN(1-$B$10*($B$8/$B$12-$B$14*COS(RADIANS(K100+$B$15)))/($B$9*COS(RADIANS(K100+$B$15))))/$B$10)))/$B$10))/$B$10)</x:f>
        <x:v>0.9999396523610784</x:v>
      </x:c>
      <x:c r="M100" s="74" t="n">
        <x:f>L100-1</x:f>
        <x:v>-0.000060347638921598445</x:v>
      </x:c>
    </x:row>
    <x:row r="101">
      <x:c r="A101" s="35" t="n">
        <x:v>23</x:v>
      </x:c>
      <x:c r="B101" s="74" t="n">
        <x:f>IF(F100&lt;0,D100,B100)</x:f>
        <x:v>0.45561523713800967</x:v>
      </x:c>
      <x:c r="C101" s="74" t="n">
        <x:f>IF(F100&lt;0,C100,D100)</x:f>
        <x:v>0.45565391468660654</x:v>
      </x:c>
      <x:c r="D101" s="74" t="n">
        <x:f>(B101+C101)/2</x:f>
        <x:v>0.4556345759123081</x:v>
      </x:c>
      <x:c r="E101" s="74" t="n">
        <x:f>$B$13+$B$14*SIN(RADIANS(D101+$B$15))+$B$9*SIN(RADIANS(D101+$B$15))*((1-EXP(-$B$10*(-LN(1-$B$10*($B$8/$B$12-$B$14*COS(RADIANS(D101+$B$15)))/($B$9*COS(RADIANS(D101+$B$15))))/$B$10)))/$B$10)-$B$11*(((-LN(1-$B$10*($B$8/$B$12-$B$14*COS(RADIANS(D101+$B$15)))/($B$9*COS(RADIANS(D101+$B$15))))/$B$10)-((1-EXP(-$B$10*(-LN(1-$B$10*($B$8/$B$12-$B$14*COS(RADIANS(D101+$B$15)))/($B$9*COS(RADIANS(D101+$B$15))))/$B$10)))/$B$10))/$B$10)</x:f>
        <x:v>0.000127279393746349</x:v>
      </x:c>
      <x:c r="F101" s="74" t="n">
        <x:f>E101</x:f>
        <x:v>0.000127279393746349</x:v>
      </x:c>
      <x:c r="G101" s="74"/>
      <x:c r="H101" s="74" t="n">
        <x:v>23</x:v>
      </x:c>
      <x:c r="I101" s="74" t="n">
        <x:f>IF(M100&lt;0,K100,I100)</x:f>
        <x:v>0.5680508709091397</x:v>
      </x:c>
      <x:c r="J101" s="74" t="n">
        <x:f>IF(M100&lt;0,J100,K100)</x:f>
        <x:v>0.5680895484577366</x:v>
      </x:c>
      <x:c r="K101" s="74" t="n">
        <x:f>(I101+J101)/2</x:f>
        <x:v>0.5680702096834382</x:v>
      </x:c>
      <x:c r="L101" s="74" t="n">
        <x:f>$B$13+$B$14*SIN(RADIANS(K101+$B$15))+$B$9*SIN(RADIANS(K101+$B$15))*((1-EXP(-$B$10*(-LN(1-$B$10*($B$8/$B$12-$B$14*COS(RADIANS(K101+$B$15)))/($B$9*COS(RADIANS(K101+$B$15))))/$B$10)))/$B$10)-$B$11*(((-LN(1-$B$10*($B$8/$B$12-$B$14*COS(RADIANS(K101+$B$15)))/($B$9*COS(RADIANS(K101+$B$15))))/$B$10)-((1-EXP(-$B$10*(-LN(1-$B$10*($B$8/$B$12-$B$14*COS(RADIANS(K101+$B$15)))/($B$9*COS(RADIANS(K101+$B$15))))/$B$10)))/$B$10))/$B$10)</x:f>
        <x:v>1.0001116476109146</x:v>
      </x:c>
      <x:c r="M101" s="74" t="n">
        <x:f>L101-1</x:f>
        <x:v>0.0001116476109146447</x:v>
      </x:c>
    </x:row>
    <x:row r="102">
      <x:c r="A102" s="35" t="n">
        <x:v>24</x:v>
      </x:c>
      <x:c r="B102" s="74" t="n">
        <x:f>IF(F101&lt;0,D101,B101)</x:f>
        <x:v>0.45561523713800967</x:v>
      </x:c>
      <x:c r="C102" s="74" t="n">
        <x:f>IF(F101&lt;0,C101,D101)</x:f>
        <x:v>0.4556345759123081</x:v>
      </x:c>
      <x:c r="D102" s="74" t="n">
        <x:f>(B102+C102)/2</x:f>
        <x:v>0.45562490652515886</x:v>
      </x:c>
      <x:c r="E102" s="74" t="n">
        <x:f>$B$13+$B$14*SIN(RADIANS(D102+$B$15))+$B$9*SIN(RADIANS(D102+$B$15))*((1-EXP(-$B$10*(-LN(1-$B$10*($B$8/$B$12-$B$14*COS(RADIANS(D102+$B$15)))/($B$9*COS(RADIANS(D102+$B$15))))/$B$10)))/$B$10)-$B$11*(((-LN(1-$B$10*($B$8/$B$12-$B$14*COS(RADIANS(D102+$B$15)))/($B$9*COS(RADIANS(D102+$B$15))))/$B$10)-((1-EXP(-$B$10*(-LN(1-$B$10*($B$8/$B$12-$B$14*COS(RADIANS(D102+$B$15)))/($B$9*COS(RADIANS(D102+$B$15))))/$B$10)))/$B$10))/$B$10)</x:f>
        <x:v>0.00004128097293509825</x:v>
      </x:c>
      <x:c r="F102" s="74" t="n">
        <x:f>E102</x:f>
        <x:v>0.00004128097293509825</x:v>
      </x:c>
      <x:c r="G102" s="74"/>
      <x:c r="H102" s="74" t="n">
        <x:v>24</x:v>
      </x:c>
      <x:c r="I102" s="74" t="n">
        <x:f>IF(M101&lt;0,K101,I101)</x:f>
        <x:v>0.5680508709091397</x:v>
      </x:c>
      <x:c r="J102" s="74" t="n">
        <x:f>IF(M101&lt;0,J101,K101)</x:f>
        <x:v>0.5680702096834382</x:v>
      </x:c>
      <x:c r="K102" s="74" t="n">
        <x:f>(I102+J102)/2</x:f>
        <x:v>0.568060540296289</x:v>
      </x:c>
      <x:c r="L102" s="74" t="n">
        <x:f>$B$13+$B$14*SIN(RADIANS(K102+$B$15))+$B$9*SIN(RADIANS(K102+$B$15))*((1-EXP(-$B$10*(-LN(1-$B$10*($B$8/$B$12-$B$14*COS(RADIANS(K102+$B$15)))/($B$9*COS(RADIANS(K102+$B$15))))/$B$10)))/$B$10)-$B$11*(((-LN(1-$B$10*($B$8/$B$12-$B$14*COS(RADIANS(K102+$B$15)))/($B$9*COS(RADIANS(K102+$B$15))))/$B$10)-((1-EXP(-$B$10*(-LN(1-$B$10*($B$8/$B$12-$B$14*COS(RADIANS(K102+$B$15)))/($B$9*COS(RADIANS(K102+$B$15))))/$B$10)))/$B$10))/$B$10)</x:f>
        <x:v>1.0000256499860143</x:v>
      </x:c>
      <x:c r="M102" s="74" t="n">
        <x:f>L102-1</x:f>
        <x:v>0.000025649986014286696</x:v>
      </x:c>
    </x:row>
    <x:row r="103">
      <x:c r="A103" s="35" t="n">
        <x:v>25</x:v>
      </x:c>
      <x:c r="B103" s="74" t="n">
        <x:f>IF(F102&lt;0,D102,B102)</x:f>
        <x:v>0.45561523713800967</x:v>
      </x:c>
      <x:c r="C103" s="74" t="n">
        <x:f>IF(F102&lt;0,C102,D102)</x:f>
        <x:v>0.45562490652515886</x:v>
      </x:c>
      <x:c r="D103" s="74" t="n">
        <x:f>(B103+C103)/2</x:f>
        <x:v>0.45562007183158426</x:v>
      </x:c>
      <x:c r="E103" s="74" t="n">
        <x:f>$B$13+$B$14*SIN(RADIANS(D103+$B$15))+$B$9*SIN(RADIANS(D103+$B$15))*((1-EXP(-$B$10*(-LN(1-$B$10*($B$8/$B$12-$B$14*COS(RADIANS(D103+$B$15)))/($B$9*COS(RADIANS(D103+$B$15))))/$B$10)))/$B$10)-$B$11*(((-LN(1-$B$10*($B$8/$B$12-$B$14*COS(RADIANS(D103+$B$15)))/($B$9*COS(RADIANS(D103+$B$15))))/$B$10)-((1-EXP(-$B$10*(-LN(1-$B$10*($B$8/$B$12-$B$14*COS(RADIANS(D103+$B$15)))/($B$9*COS(RADIANS(D103+$B$15))))/$B$10)))/$B$10))/$B$10)</x:f>
        <x:v>-0.0000017182374953961244</x:v>
      </x:c>
      <x:c r="F103" s="74" t="n">
        <x:f>E103</x:f>
        <x:v>-0.0000017182374953961244</x:v>
      </x:c>
      <x:c r="G103" s="74"/>
      <x:c r="H103" s="74" t="n">
        <x:v>25</x:v>
      </x:c>
      <x:c r="I103" s="74" t="n">
        <x:f>IF(M102&lt;0,K102,I102)</x:f>
        <x:v>0.5680508709091397</x:v>
      </x:c>
      <x:c r="J103" s="74" t="n">
        <x:f>IF(M102&lt;0,J102,K102)</x:f>
        <x:v>0.568060540296289</x:v>
      </x:c>
      <x:c r="K103" s="74" t="n">
        <x:f>(I103+J103)/2</x:f>
        <x:v>0.5680557056027145</x:v>
      </x:c>
      <x:c r="L103" s="74" t="n">
        <x:f>$B$13+$B$14*SIN(RADIANS(K103+$B$15))+$B$9*SIN(RADIANS(K103+$B$15))*((1-EXP(-$B$10*(-LN(1-$B$10*($B$8/$B$12-$B$14*COS(RADIANS(K103+$B$15)))/($B$9*COS(RADIANS(K103+$B$15))))/$B$10)))/$B$10)-$B$11*(((-LN(1-$B$10*($B$8/$B$12-$B$14*COS(RADIANS(K103+$B$15)))/($B$9*COS(RADIANS(K103+$B$15))))/$B$10)-((1-EXP(-$B$10*(-LN(1-$B$10*($B$8/$B$12-$B$14*COS(RADIANS(K103+$B$15)))/($B$9*COS(RADIANS(K103+$B$15))))/$B$10)))/$B$10))/$B$10)</x:f>
        <x:v>0.9999826511735339</x:v>
      </x:c>
      <x:c r="M103" s="74" t="n">
        <x:f>L103-1</x:f>
        <x:v>-0.000017348826466090372</x:v>
      </x:c>
    </x:row>
    <x:row r="104">
      <x:c r="A104" s="35" t="n">
        <x:v>26</x:v>
      </x:c>
      <x:c r="B104" s="74" t="n">
        <x:f>IF(F103&lt;0,D103,B103)</x:f>
        <x:v>0.45562007183158426</x:v>
      </x:c>
      <x:c r="C104" s="74" t="n">
        <x:f>IF(F103&lt;0,C103,D103)</x:f>
        <x:v>0.45562490652515886</x:v>
      </x:c>
      <x:c r="D104" s="74" t="n">
        <x:f>(B104+C104)/2</x:f>
        <x:v>0.45562248917837156</x:v>
      </x:c>
      <x:c r="E104" s="74" t="n">
        <x:f>$B$13+$B$14*SIN(RADIANS(D104+$B$15))+$B$9*SIN(RADIANS(D104+$B$15))*((1-EXP(-$B$10*(-LN(1-$B$10*($B$8/$B$12-$B$14*COS(RADIANS(D104+$B$15)))/($B$9*COS(RADIANS(D104+$B$15))))/$B$10)))/$B$10)-$B$11*(((-LN(1-$B$10*($B$8/$B$12-$B$14*COS(RADIANS(D104+$B$15)))/($B$9*COS(RADIANS(D104+$B$15))))/$B$10)-((1-EXP(-$B$10*(-LN(1-$B$10*($B$8/$B$12-$B$14*COS(RADIANS(D104+$B$15)))/($B$9*COS(RADIANS(D104+$B$15))))/$B$10)))/$B$10))/$B$10)</x:f>
        <x:v>0.000019781367727844668</x:v>
      </x:c>
      <x:c r="F104" s="74" t="n">
        <x:f>E104</x:f>
        <x:v>0.000019781367727844668</x:v>
      </x:c>
      <x:c r="G104" s="74"/>
      <x:c r="H104" s="74" t="n">
        <x:v>26</x:v>
      </x:c>
      <x:c r="I104" s="74" t="n">
        <x:f>IF(M103&lt;0,K103,I103)</x:f>
        <x:v>0.5680557056027145</x:v>
      </x:c>
      <x:c r="J104" s="74" t="n">
        <x:f>IF(M103&lt;0,J103,K103)</x:f>
        <x:v>0.568060540296289</x:v>
      </x:c>
      <x:c r="K104" s="74" t="n">
        <x:f>(I104+J104)/2</x:f>
        <x:v>0.5680581229495018</x:v>
      </x:c>
      <x:c r="L104" s="74" t="n">
        <x:f>$B$13+$B$14*SIN(RADIANS(K104+$B$15))+$B$9*SIN(RADIANS(K104+$B$15))*((1-EXP(-$B$10*(-LN(1-$B$10*($B$8/$B$12-$B$14*COS(RADIANS(K104+$B$15)))/($B$9*COS(RADIANS(K104+$B$15))))/$B$10)))/$B$10)-$B$11*(((-LN(1-$B$10*($B$8/$B$12-$B$14*COS(RADIANS(K104+$B$15)))/($B$9*COS(RADIANS(K104+$B$15))))/$B$10)-((1-EXP(-$B$10*(-LN(1-$B$10*($B$8/$B$12-$B$14*COS(RADIANS(K104+$B$15)))/($B$9*COS(RADIANS(K104+$B$15))))/$B$10)))/$B$10))/$B$10)</x:f>
        <x:v>1.0000041505797839</x:v>
      </x:c>
      <x:c r="M104" s="74" t="n">
        <x:f>L104-1</x:f>
        <x:v>0.000004150579783868125</x:v>
      </x:c>
    </x:row>
    <x:row r="105">
      <x:c r="A105" s="35" t="n">
        <x:v>27</x:v>
      </x:c>
      <x:c r="B105" s="74" t="n">
        <x:f>IF(F104&lt;0,D104,B104)</x:f>
        <x:v>0.45562007183158426</x:v>
      </x:c>
      <x:c r="C105" s="74" t="n">
        <x:f>IF(F104&lt;0,C104,D104)</x:f>
        <x:v>0.45562248917837156</x:v>
      </x:c>
      <x:c r="D105" s="74" t="n">
        <x:f>(B105+C105)/2</x:f>
        <x:v>0.4556212805049779</x:v>
      </x:c>
      <x:c r="E105" s="74" t="n">
        <x:f>$B$13+$B$14*SIN(RADIANS(D105+$B$15))+$B$9*SIN(RADIANS(D105+$B$15))*((1-EXP(-$B$10*(-LN(1-$B$10*($B$8/$B$12-$B$14*COS(RADIANS(D105+$B$15)))/($B$9*COS(RADIANS(D105+$B$15))))/$B$10)))/$B$10)-$B$11*(((-LN(1-$B$10*($B$8/$B$12-$B$14*COS(RADIANS(D105+$B$15)))/($B$9*COS(RADIANS(D105+$B$15))))/$B$10)-((1-EXP(-$B$10*(-LN(1-$B$10*($B$8/$B$12-$B$14*COS(RADIANS(D105+$B$15)))/($B$9*COS(RADIANS(D105+$B$15))))/$B$10)))/$B$10))/$B$10)</x:f>
        <x:v>0.000009031565115336093</x:v>
      </x:c>
      <x:c r="F105" s="74" t="n">
        <x:f>E105</x:f>
        <x:v>0.000009031565115336093</x:v>
      </x:c>
      <x:c r="G105" s="74"/>
      <x:c r="H105" s="74" t="n">
        <x:v>27</x:v>
      </x:c>
      <x:c r="I105" s="74" t="n">
        <x:f>IF(M104&lt;0,K104,I104)</x:f>
        <x:v>0.5680557056027145</x:v>
      </x:c>
      <x:c r="J105" s="74" t="n">
        <x:f>IF(M104&lt;0,J104,K104)</x:f>
        <x:v>0.5680581229495018</x:v>
      </x:c>
      <x:c r="K105" s="74" t="n">
        <x:f>(I105+J105)/2</x:f>
        <x:v>0.568056914276108</x:v>
      </x:c>
      <x:c r="L105" s="74" t="n">
        <x:f>$B$13+$B$14*SIN(RADIANS(K105+$B$15))+$B$9*SIN(RADIANS(K105+$B$15))*((1-EXP(-$B$10*(-LN(1-$B$10*($B$8/$B$12-$B$14*COS(RADIANS(K105+$B$15)))/($B$9*COS(RADIANS(K105+$B$15))))/$B$10)))/$B$10)-$B$11*(((-LN(1-$B$10*($B$8/$B$12-$B$14*COS(RADIANS(K105+$B$15)))/($B$9*COS(RADIANS(K105+$B$15))))/$B$10)-((1-EXP(-$B$10*(-LN(1-$B$10*($B$8/$B$12-$B$14*COS(RADIANS(K105+$B$15)))/($B$9*COS(RADIANS(K105+$B$15))))/$B$10)))/$B$10))/$B$10)</x:f>
        <x:v>0.9999934008766598</x:v>
      </x:c>
      <x:c r="M105" s="74" t="n">
        <x:f>L105-1</x:f>
        <x:v>-0.0000065991233402229454</x:v>
      </x:c>
    </x:row>
    <x:row r="106">
      <x:c r="A106" s="35" t="n">
        <x:v>28</x:v>
      </x:c>
      <x:c r="B106" s="74" t="n">
        <x:f>IF(F105&lt;0,D105,B105)</x:f>
        <x:v>0.45562007183158426</x:v>
      </x:c>
      <x:c r="C106" s="74" t="n">
        <x:f>IF(F105&lt;0,C105,D105)</x:f>
        <x:v>0.4556212805049779</x:v>
      </x:c>
      <x:c r="D106" s="74" t="n">
        <x:f>(B106+C106)/2</x:f>
        <x:v>0.45562067616828106</x:v>
      </x:c>
      <x:c r="E106" s="74" t="n">
        <x:f>$B$13+$B$14*SIN(RADIANS(D106+$B$15))+$B$9*SIN(RADIANS(D106+$B$15))*((1-EXP(-$B$10*(-LN(1-$B$10*($B$8/$B$12-$B$14*COS(RADIANS(D106+$B$15)))/($B$9*COS(RADIANS(D106+$B$15))))/$B$10)))/$B$10)-$B$11*(((-LN(1-$B$10*($B$8/$B$12-$B$14*COS(RADIANS(D106+$B$15)))/($B$9*COS(RADIANS(D106+$B$15))))/$B$10)-((1-EXP(-$B$10*(-LN(1-$B$10*($B$8/$B$12-$B$14*COS(RADIANS(D106+$B$15)))/($B$9*COS(RADIANS(D106+$B$15))))/$B$10)))/$B$10))/$B$10)</x:f>
        <x:v>0.00000365666381796359</x:v>
      </x:c>
      <x:c r="F106" s="74" t="n">
        <x:f>E106</x:f>
        <x:v>0.00000365666381796359</x:v>
      </x:c>
      <x:c r="G106" s="74"/>
      <x:c r="H106" s="74" t="n">
        <x:v>28</x:v>
      </x:c>
      <x:c r="I106" s="74" t="n">
        <x:f>IF(M105&lt;0,K105,I105)</x:f>
        <x:v>0.568056914276108</x:v>
      </x:c>
      <x:c r="J106" s="74" t="n">
        <x:f>IF(M105&lt;0,J105,K105)</x:f>
        <x:v>0.5680581229495018</x:v>
      </x:c>
      <x:c r="K106" s="74" t="n">
        <x:f>(I106+J106)/2</x:f>
        <x:v>0.568057518612805</x:v>
      </x:c>
      <x:c r="L106" s="74" t="n">
        <x:f>$B$13+$B$14*SIN(RADIANS(K106+$B$15))+$B$9*SIN(RADIANS(K106+$B$15))*((1-EXP(-$B$10*(-LN(1-$B$10*($B$8/$B$12-$B$14*COS(RADIANS(K106+$B$15)))/($B$9*COS(RADIANS(K106+$B$15))))/$B$10)))/$B$10)-$B$11*(((-LN(1-$B$10*($B$8/$B$12-$B$14*COS(RADIANS(K106+$B$15)))/($B$9*COS(RADIANS(K106+$B$15))))/$B$10)-((1-EXP(-$B$10*(-LN(1-$B$10*($B$8/$B$12-$B$14*COS(RADIANS(K106+$B$15)))/($B$9*COS(RADIANS(K106+$B$15))))/$B$10)))/$B$10))/$B$10)</x:f>
        <x:v>0.9999987757282423</x:v>
      </x:c>
      <x:c r="M106" s="74" t="n">
        <x:f>L106-1</x:f>
        <x:v>-0.0000012242717577493067</x:v>
      </x:c>
    </x:row>
    <x:row r="107">
      <x:c r="A107" s="35" t="n">
        <x:v>29</x:v>
      </x:c>
      <x:c r="B107" s="74" t="n">
        <x:f>IF(F106&lt;0,D106,B106)</x:f>
        <x:v>0.45562007183158426</x:v>
      </x:c>
      <x:c r="C107" s="74" t="n">
        <x:f>IF(F106&lt;0,C106,D106)</x:f>
        <x:v>0.45562067616828106</x:v>
      </x:c>
      <x:c r="D107" s="74" t="n">
        <x:f>(B107+C107)/2</x:f>
        <x:v>0.45562037399993266</x:v>
      </x:c>
      <x:c r="E107" s="74" t="n">
        <x:f>$B$13+$B$14*SIN(RADIANS(D107+$B$15))+$B$9*SIN(RADIANS(D107+$B$15))*((1-EXP(-$B$10*(-LN(1-$B$10*($B$8/$B$12-$B$14*COS(RADIANS(D107+$B$15)))/($B$9*COS(RADIANS(D107+$B$15))))/$B$10)))/$B$10)-$B$11*(((-LN(1-$B$10*($B$8/$B$12-$B$14*COS(RADIANS(D107+$B$15)))/($B$9*COS(RADIANS(D107+$B$15))))/$B$10)-((1-EXP(-$B$10*(-LN(1-$B$10*($B$8/$B$12-$B$14*COS(RADIANS(D107+$B$15)))/($B$9*COS(RADIANS(D107+$B$15))))/$B$10)))/$B$10))/$B$10)</x:f>
        <x:v>9.692131737182308e-7</x:v>
      </x:c>
      <x:c r="F107" s="74" t="n">
        <x:f>E107</x:f>
        <x:v>9.692131737182308e-7</x:v>
      </x:c>
      <x:c r="G107" s="74"/>
      <x:c r="H107" s="74" t="n">
        <x:v>29</x:v>
      </x:c>
      <x:c r="I107" s="74" t="n">
        <x:f>IF(M106&lt;0,K106,I106)</x:f>
        <x:v>0.568057518612805</x:v>
      </x:c>
      <x:c r="J107" s="74" t="n">
        <x:f>IF(M106&lt;0,J106,K106)</x:f>
        <x:v>0.5680581229495018</x:v>
      </x:c>
      <x:c r="K107" s="74" t="n">
        <x:f>(I107+J107)/2</x:f>
        <x:v>0.5680578207811533</x:v>
      </x:c>
      <x:c r="L107" s="74" t="n">
        <x:f>$B$13+$B$14*SIN(RADIANS(K107+$B$15))+$B$9*SIN(RADIANS(K107+$B$15))*((1-EXP(-$B$10*(-LN(1-$B$10*($B$8/$B$12-$B$14*COS(RADIANS(K107+$B$15)))/($B$9*COS(RADIANS(K107+$B$15))))/$B$10)))/$B$10)-$B$11*(((-LN(1-$B$10*($B$8/$B$12-$B$14*COS(RADIANS(K107+$B$15)))/($B$9*COS(RADIANS(K107+$B$15))))/$B$10)-((1-EXP(-$B$10*(-LN(1-$B$10*($B$8/$B$12-$B$14*COS(RADIANS(K107+$B$15)))/($B$9*COS(RADIANS(K107+$B$15))))/$B$10)))/$B$10))/$B$10)</x:f>
        <x:v>1.0000014631540033</x:v>
      </x:c>
      <x:c r="M107" s="74" t="n">
        <x:f>L107-1</x:f>
        <x:v>0.0000014631540032894463</x:v>
      </x:c>
    </x:row>
    <x:row r="108">
      <x:c r="A108" s="35" t="n">
        <x:v>30</x:v>
      </x:c>
      <x:c r="B108" s="74" t="n">
        <x:f>IF(F107&lt;0,D107,B107)</x:f>
        <x:v>0.45562007183158426</x:v>
      </x:c>
      <x:c r="C108" s="74" t="n">
        <x:f>IF(F107&lt;0,C107,D107)</x:f>
        <x:v>0.45562037399993266</x:v>
      </x:c>
      <x:c r="D108" s="74" t="n">
        <x:f>(B108+C108)/2</x:f>
        <x:v>0.45562022291575843</x:v>
      </x:c>
      <x:c r="E108" s="74" t="n">
        <x:f>$B$13+$B$14*SIN(RADIANS(D108+$B$15))+$B$9*SIN(RADIANS(D108+$B$15))*((1-EXP(-$B$10*(-LN(1-$B$10*($B$8/$B$12-$B$14*COS(RADIANS(D108+$B$15)))/($B$9*COS(RADIANS(D108+$B$15))))/$B$10)))/$B$10)-$B$11*(((-LN(1-$B$10*($B$8/$B$12-$B$14*COS(RADIANS(D108+$B$15)))/($B$9*COS(RADIANS(D108+$B$15))))/$B$10)-((1-EXP(-$B$10*(-LN(1-$B$10*($B$8/$B$12-$B$14*COS(RADIANS(D108+$B$15)))/($B$9*COS(RADIANS(D108+$B$15))))/$B$10)))/$B$10))/$B$10)</x:f>
        <x:v>-3.745121670561957e-7</x:v>
      </x:c>
      <x:c r="F108" s="74" t="n">
        <x:f>E108</x:f>
        <x:v>-3.745121670561957e-7</x:v>
      </x:c>
      <x:c r="G108" s="74"/>
      <x:c r="H108" s="74" t="n">
        <x:v>30</x:v>
      </x:c>
      <x:c r="I108" s="74" t="n">
        <x:f>IF(M107&lt;0,K107,I107)</x:f>
        <x:v>0.568057518612805</x:v>
      </x:c>
      <x:c r="J108" s="74" t="n">
        <x:f>IF(M107&lt;0,J107,K107)</x:f>
        <x:v>0.5680578207811533</x:v>
      </x:c>
      <x:c r="K108" s="74" t="n">
        <x:f>(I108+J108)/2</x:f>
        <x:v>0.5680576696969791</x:v>
      </x:c>
      <x:c r="L108" s="74" t="n">
        <x:f>$B$13+$B$14*SIN(RADIANS(K108+$B$15))+$B$9*SIN(RADIANS(K108+$B$15))*((1-EXP(-$B$10*(-LN(1-$B$10*($B$8/$B$12-$B$14*COS(RADIANS(K108+$B$15)))/($B$9*COS(RADIANS(K108+$B$15))))/$B$10)))/$B$10)-$B$11*(((-LN(1-$B$10*($B$8/$B$12-$B$14*COS(RADIANS(K108+$B$15)))/($B$9*COS(RADIANS(K108+$B$15))))/$B$10)-((1-EXP(-$B$10*(-LN(1-$B$10*($B$8/$B$12-$B$14*COS(RADIANS(K108+$B$15)))/($B$9*COS(RADIANS(K108+$B$15))))/$B$10)))/$B$10))/$B$10)</x:f>
        <x:v>1.0000001194411023</x:v>
      </x:c>
      <x:c r="M108" s="74" t="n">
        <x:f>L108-1</x:f>
        <x:v>1.1944110234196614e-7</x:v>
      </x:c>
    </x:row>
    <x:row r="109">
      <x:c r="A109" s="35" t="n">
        <x:v>31</x:v>
      </x:c>
      <x:c r="B109" s="74" t="n">
        <x:f>IF(F108&lt;0,D108,B108)</x:f>
        <x:v>0.45562022291575843</x:v>
      </x:c>
      <x:c r="C109" s="74" t="n">
        <x:f>IF(F108&lt;0,C108,D108)</x:f>
        <x:v>0.45562037399993266</x:v>
      </x:c>
      <x:c r="D109" s="74" t="n">
        <x:f>(B109+C109)/2</x:f>
        <x:v>0.4556202984578456</x:v>
      </x:c>
      <x:c r="E109" s="74" t="n">
        <x:f>$B$13+$B$14*SIN(RADIANS(D109+$B$15))+$B$9*SIN(RADIANS(D109+$B$15))*((1-EXP(-$B$10*(-LN(1-$B$10*($B$8/$B$12-$B$14*COS(RADIANS(D109+$B$15)))/($B$9*COS(RADIANS(D109+$B$15))))/$B$10)))/$B$10)-$B$11*(((-LN(1-$B$10*($B$8/$B$12-$B$14*COS(RADIANS(D109+$B$15)))/($B$9*COS(RADIANS(D109+$B$15))))/$B$10)-((1-EXP(-$B$10*(-LN(1-$B$10*($B$8/$B$12-$B$14*COS(RADIANS(D109+$B$15)))/($B$9*COS(RADIANS(D109+$B$15))))/$B$10)))/$B$10))/$B$10)</x:f>
        <x:v>2.9735049089651966e-7</x:v>
      </x:c>
      <x:c r="F109" s="74" t="n">
        <x:f>E109</x:f>
        <x:v>2.9735049089651966e-7</x:v>
      </x:c>
      <x:c r="G109" s="74"/>
      <x:c r="H109" s="74" t="n">
        <x:v>31</x:v>
      </x:c>
      <x:c r="I109" s="74" t="n">
        <x:f>IF(M108&lt;0,K108,I108)</x:f>
        <x:v>0.568057518612805</x:v>
      </x:c>
      <x:c r="J109" s="74" t="n">
        <x:f>IF(M108&lt;0,J108,K108)</x:f>
        <x:v>0.5680576696969791</x:v>
      </x:c>
      <x:c r="K109" s="74" t="n">
        <x:f>(I109+J109)/2</x:f>
        <x:v>0.568057594154892</x:v>
      </x:c>
      <x:c r="L109" s="74" t="n">
        <x:f>$B$13+$B$14*SIN(RADIANS(K109+$B$15))+$B$9*SIN(RADIANS(K109+$B$15))*((1-EXP(-$B$10*(-LN(1-$B$10*($B$8/$B$12-$B$14*COS(RADIANS(K109+$B$15)))/($B$9*COS(RADIANS(K109+$B$15))))/$B$10)))/$B$10)-$B$11*(((-LN(1-$B$10*($B$8/$B$12-$B$14*COS(RADIANS(K109+$B$15)))/($B$9*COS(RADIANS(K109+$B$15))))/$B$10)-((1-EXP(-$B$10*(-LN(1-$B$10*($B$8/$B$12-$B$14*COS(RADIANS(K109+$B$15)))/($B$9*COS(RADIANS(K109+$B$15))))/$B$10)))/$B$10))/$B$10)</x:f>
        <x:v>0.9999994475846616</x:v>
      </x:c>
      <x:c r="M109" s="74" t="n">
        <x:f>L109-1</x:f>
        <x:v>-5.524153383618113e-7</x:v>
      </x:c>
    </x:row>
    <x:row r="110">
      <x:c r="A110" s="35" t="n">
        <x:v>32</x:v>
      </x:c>
      <x:c r="B110" s="74" t="n">
        <x:f>IF(F109&lt;0,D109,B109)</x:f>
        <x:v>0.45562022291575843</x:v>
      </x:c>
      <x:c r="C110" s="74" t="n">
        <x:f>IF(F109&lt;0,C109,D109)</x:f>
        <x:v>0.4556202984578456</x:v>
      </x:c>
      <x:c r="D110" s="74" t="n">
        <x:f>(B110+C110)/2</x:f>
        <x:v>0.455620260686802</x:v>
      </x:c>
      <x:c r="E110" s="74" t="n">
        <x:f>$B$13+$B$14*SIN(RADIANS(D110+$B$15))+$B$9*SIN(RADIANS(D110+$B$15))*((1-EXP(-$B$10*(-LN(1-$B$10*($B$8/$B$12-$B$14*COS(RADIANS(D110+$B$15)))/($B$9*COS(RADIANS(D110+$B$15))))/$B$10)))/$B$10)-$B$11*(((-LN(1-$B$10*($B$8/$B$12-$B$14*COS(RADIANS(D110+$B$15)))/($B$9*COS(RADIANS(D110+$B$15))))/$B$10)-((1-EXP(-$B$10*(-LN(1-$B$10*($B$8/$B$12-$B$14*COS(RADIANS(D110+$B$15)))/($B$9*COS(RADIANS(D110+$B$15))))/$B$10)))/$B$10))/$B$10)</x:f>
        <x:v>-3.858084873797907e-8</x:v>
      </x:c>
      <x:c r="F110" s="74" t="n">
        <x:f>E110</x:f>
        <x:v>-3.858084873797907e-8</x:v>
      </x:c>
      <x:c r="G110" s="74"/>
      <x:c r="H110" s="74" t="n">
        <x:v>32</x:v>
      </x:c>
      <x:c r="I110" s="74" t="n">
        <x:f>IF(M109&lt;0,K109,I109)</x:f>
        <x:v>0.568057594154892</x:v>
      </x:c>
      <x:c r="J110" s="74" t="n">
        <x:f>IF(M109&lt;0,J109,K109)</x:f>
        <x:v>0.5680576696969791</x:v>
      </x:c>
      <x:c r="K110" s="74" t="n">
        <x:f>(I110+J110)/2</x:f>
        <x:v>0.5680576319259356</x:v>
      </x:c>
      <x:c r="L110" s="74" t="n">
        <x:f>$B$13+$B$14*SIN(RADIANS(K110+$B$15))+$B$9*SIN(RADIANS(K110+$B$15))*((1-EXP(-$B$10*(-LN(1-$B$10*($B$8/$B$12-$B$14*COS(RADIANS(K110+$B$15)))/($B$9*COS(RADIANS(K110+$B$15))))/$B$10)))/$B$10)-$B$11*(((-LN(1-$B$10*($B$8/$B$12-$B$14*COS(RADIANS(K110+$B$15)))/($B$9*COS(RADIANS(K110+$B$15))))/$B$10)-((1-EXP(-$B$10*(-LN(1-$B$10*($B$8/$B$12-$B$14*COS(RADIANS(K110+$B$15)))/($B$9*COS(RADIANS(K110+$B$15))))/$B$10)))/$B$10))/$B$10)</x:f>
        <x:v>0.999999783512914</x:v>
      </x:c>
      <x:c r="M110" s="74" t="n">
        <x:f>L110-1</x:f>
        <x:v>-2.164870860354995e-7</x:v>
      </x:c>
    </x:row>
    <x:row r="111">
      <x:c r="A111" s="35" t="n">
        <x:v>33</x:v>
      </x:c>
      <x:c r="B111" s="74" t="n">
        <x:f>IF(F110&lt;0,D110,B110)</x:f>
        <x:v>0.455620260686802</x:v>
      </x:c>
      <x:c r="C111" s="74" t="n">
        <x:f>IF(F110&lt;0,C110,D110)</x:f>
        <x:v>0.4556202984578456</x:v>
      </x:c>
      <x:c r="D111" s="74" t="n">
        <x:f>(B111+C111)/2</x:f>
        <x:v>0.45562027957232376</x:v>
      </x:c>
      <x:c r="E111" s="74" t="n">
        <x:f>$B$13+$B$14*SIN(RADIANS(D111+$B$15))+$B$9*SIN(RADIANS(D111+$B$15))*((1-EXP(-$B$10*(-LN(1-$B$10*($B$8/$B$12-$B$14*COS(RADIANS(D111+$B$15)))/($B$9*COS(RADIANS(D111+$B$15))))/$B$10)))/$B$10)-$B$11*(((-LN(1-$B$10*($B$8/$B$12-$B$14*COS(RADIANS(D111+$B$15)))/($B$9*COS(RADIANS(D111+$B$15))))/$B$10)-((1-EXP(-$B$10*(-LN(1-$B$10*($B$8/$B$12-$B$14*COS(RADIANS(D111+$B$15)))/($B$9*COS(RADIANS(D111+$B$15))))/$B$10)))/$B$10))/$B$10)</x:f>
        <x:v>1.293848530536934e-7</x:v>
      </x:c>
      <x:c r="F111" s="74" t="n">
        <x:f>E111</x:f>
        <x:v>1.293848530536934e-7</x:v>
      </x:c>
      <x:c r="G111" s="74"/>
      <x:c r="H111" s="74" t="n">
        <x:v>33</x:v>
      </x:c>
      <x:c r="I111" s="74" t="n">
        <x:f>IF(M110&lt;0,K110,I110)</x:f>
        <x:v>0.5680576319259356</x:v>
      </x:c>
      <x:c r="J111" s="74" t="n">
        <x:f>IF(M110&lt;0,J110,K110)</x:f>
        <x:v>0.5680576696969791</x:v>
      </x:c>
      <x:c r="K111" s="74" t="n">
        <x:f>(I111+J111)/2</x:f>
        <x:v>0.5680576508114574</x:v>
      </x:c>
      <x:c r="L111" s="74" t="n">
        <x:f>$B$13+$B$14*SIN(RADIANS(K111+$B$15))+$B$9*SIN(RADIANS(K111+$B$15))*((1-EXP(-$B$10*(-LN(1-$B$10*($B$8/$B$12-$B$14*COS(RADIANS(K111+$B$15)))/($B$9*COS(RADIANS(K111+$B$15))))/$B$10)))/$B$10)-$B$11*(((-LN(1-$B$10*($B$8/$B$12-$B$14*COS(RADIANS(K111+$B$15)))/($B$9*COS(RADIANS(K111+$B$15))))/$B$10)-((1-EXP(-$B$10*(-LN(1-$B$10*($B$8/$B$12-$B$14*COS(RADIANS(K111+$B$15)))/($B$9*COS(RADIANS(K111+$B$15))))/$B$10)))/$B$10))/$B$10)</x:f>
        <x:v>0.9999999514769868</x:v>
      </x:c>
      <x:c r="M111" s="74" t="n">
        <x:f>L111-1</x:f>
        <x:v>-4.8523013163048745e-8</x:v>
      </x:c>
    </x:row>
    <x:row r="112">
      <x:c r="A112" s="35" t="n">
        <x:v>34</x:v>
      </x:c>
      <x:c r="B112" s="74" t="n">
        <x:f>IF(F111&lt;0,D111,B111)</x:f>
        <x:v>0.455620260686802</x:v>
      </x:c>
      <x:c r="C112" s="74" t="n">
        <x:f>IF(F111&lt;0,C111,D111)</x:f>
        <x:v>0.45562027957232376</x:v>
      </x:c>
      <x:c r="D112" s="74" t="n">
        <x:f>(B112+C112)/2</x:f>
        <x:v>0.45562027012956285</x:v>
      </x:c>
      <x:c r="E112" s="74" t="n">
        <x:f>$B$13+$B$14*SIN(RADIANS(D112+$B$15))+$B$9*SIN(RADIANS(D112+$B$15))*((1-EXP(-$B$10*(-LN(1-$B$10*($B$8/$B$12-$B$14*COS(RADIANS(D112+$B$15)))/($B$9*COS(RADIANS(D112+$B$15))))/$B$10)))/$B$10)-$B$11*(((-LN(1-$B$10*($B$8/$B$12-$B$14*COS(RADIANS(D112+$B$15)))/($B$9*COS(RADIANS(D112+$B$15))))/$B$10)-((1-EXP(-$B$10*(-LN(1-$B$10*($B$8/$B$12-$B$14*COS(RADIANS(D112+$B$15)))/($B$9*COS(RADIANS(D112+$B$15))))/$B$10)))/$B$10))/$B$10)</x:f>
        <x:v>4.540200748692769e-8</x:v>
      </x:c>
      <x:c r="F112" s="74" t="n">
        <x:f>E112</x:f>
        <x:v>4.540200748692769e-8</x:v>
      </x:c>
      <x:c r="G112" s="74"/>
      <x:c r="H112" s="74" t="n">
        <x:v>34</x:v>
      </x:c>
      <x:c r="I112" s="74" t="n">
        <x:f>IF(M111&lt;0,K111,I111)</x:f>
        <x:v>0.5680576508114574</x:v>
      </x:c>
      <x:c r="J112" s="74" t="n">
        <x:f>IF(M111&lt;0,J111,K111)</x:f>
        <x:v>0.5680576696969791</x:v>
      </x:c>
      <x:c r="K112" s="74" t="n">
        <x:f>(I112+J112)/2</x:f>
        <x:v>0.5680576602542182</x:v>
      </x:c>
      <x:c r="L112" s="74" t="n">
        <x:f>$B$13+$B$14*SIN(RADIANS(K112+$B$15))+$B$9*SIN(RADIANS(K112+$B$15))*((1-EXP(-$B$10*(-LN(1-$B$10*($B$8/$B$12-$B$14*COS(RADIANS(K112+$B$15)))/($B$9*COS(RADIANS(K112+$B$15))))/$B$10)))/$B$10)-$B$11*(((-LN(1-$B$10*($B$8/$B$12-$B$14*COS(RADIANS(K112+$B$15)))/($B$9*COS(RADIANS(K112+$B$15))))/$B$10)-((1-EXP(-$B$10*(-LN(1-$B$10*($B$8/$B$12-$B$14*COS(RADIANS(K112+$B$15)))/($B$9*COS(RADIANS(K112+$B$15))))/$B$10)))/$B$10))/$B$10)</x:f>
        <x:v>1.0000000354590508</x:v>
      </x:c>
      <x:c r="M112" s="74" t="n">
        <x:f>L112-1</x:f>
        <x:v>3.545905080670764e-8</x:v>
      </x:c>
    </x:row>
    <x:row r="113">
      <x:c r="A113" s="35" t="n">
        <x:v>35</x:v>
      </x:c>
      <x:c r="B113" s="74" t="n">
        <x:f>IF(F112&lt;0,D112,B112)</x:f>
        <x:v>0.455620260686802</x:v>
      </x:c>
      <x:c r="C113" s="74" t="n">
        <x:f>IF(F112&lt;0,C112,D112)</x:f>
        <x:v>0.45562027012956285</x:v>
      </x:c>
      <x:c r="D113" s="74" t="n">
        <x:f>(B113+C113)/2</x:f>
        <x:v>0.45562026540818246</x:v>
      </x:c>
      <x:c r="E113" s="74" t="n">
        <x:f>$B$13+$B$14*SIN(RADIANS(D113+$B$15))+$B$9*SIN(RADIANS(D113+$B$15))*((1-EXP(-$B$10*(-LN(1-$B$10*($B$8/$B$12-$B$14*COS(RADIANS(D113+$B$15)))/($B$9*COS(RADIANS(D113+$B$15))))/$B$10)))/$B$10)-$B$11*(((-LN(1-$B$10*($B$8/$B$12-$B$14*COS(RADIANS(D113+$B$15)))/($B$9*COS(RADIANS(D113+$B$15))))/$B$10)-((1-EXP(-$B$10*(-LN(1-$B$10*($B$8/$B$12-$B$14*COS(RADIANS(D113+$B$15)))/($B$9*COS(RADIANS(D113+$B$15))))/$B$10)))/$B$10))/$B$10)</x:f>
        <x:v>3.410601578934802e-9</x:v>
      </x:c>
      <x:c r="F113" s="74" t="n">
        <x:f>E113</x:f>
        <x:v>3.410601578934802e-9</x:v>
      </x:c>
      <x:c r="G113" s="74"/>
      <x:c r="H113" s="74" t="n">
        <x:v>35</x:v>
      </x:c>
      <x:c r="I113" s="74" t="n">
        <x:f>IF(M112&lt;0,K112,I112)</x:f>
        <x:v>0.5680576508114574</x:v>
      </x:c>
      <x:c r="J113" s="74" t="n">
        <x:f>IF(M112&lt;0,J112,K112)</x:f>
        <x:v>0.5680576602542182</x:v>
      </x:c>
      <x:c r="K113" s="74" t="n">
        <x:f>(I113+J113)/2</x:f>
        <x:v>0.5680576555328378</x:v>
      </x:c>
      <x:c r="L113" s="74" t="n">
        <x:f>$B$13+$B$14*SIN(RADIANS(K113+$B$15))+$B$9*SIN(RADIANS(K113+$B$15))*((1-EXP(-$B$10*(-LN(1-$B$10*($B$8/$B$12-$B$14*COS(RADIANS(K113+$B$15)))/($B$9*COS(RADIANS(K113+$B$15))))/$B$10)))/$B$10)-$B$11*(((-LN(1-$B$10*($B$8/$B$12-$B$14*COS(RADIANS(K113+$B$15)))/($B$9*COS(RADIANS(K113+$B$15))))/$B$10)-((1-EXP(-$B$10*(-LN(1-$B$10*($B$8/$B$12-$B$14*COS(RADIANS(K113+$B$15)))/($B$9*COS(RADIANS(K113+$B$15))))/$B$10)))/$B$10))/$B$10)</x:f>
        <x:v>0.9999999934680179</x:v>
      </x:c>
      <x:c r="M113" s="74" t="n">
        <x:f>L113-1</x:f>
        <x:v>-6.531982066348974e-9</x:v>
      </x:c>
    </x:row>
    <x:row r="114">
      <x:c r="A114" s="35" t="n">
        <x:v>36</x:v>
      </x:c>
      <x:c r="B114" s="74" t="n">
        <x:f>IF(F113&lt;0,D113,B113)</x:f>
        <x:v>0.455620260686802</x:v>
      </x:c>
      <x:c r="C114" s="74" t="n">
        <x:f>IF(F113&lt;0,C113,D113)</x:f>
        <x:v>0.45562026540818246</x:v>
      </x:c>
      <x:c r="D114" s="74" t="n">
        <x:f>(B114+C114)/2</x:f>
        <x:v>0.45562026304749226</x:v>
      </x:c>
      <x:c r="E114" s="74" t="n">
        <x:f>$B$13+$B$14*SIN(RADIANS(D114+$B$15))+$B$9*SIN(RADIANS(D114+$B$15))*((1-EXP(-$B$10*(-LN(1-$B$10*($B$8/$B$12-$B$14*COS(RADIANS(D114+$B$15)))/($B$9*COS(RADIANS(D114+$B$15))))/$B$10)))/$B$10)-$B$11*(((-LN(1-$B$10*($B$8/$B$12-$B$14*COS(RADIANS(D114+$B$15)))/($B$9*COS(RADIANS(D114+$B$15))))/$B$10)-((1-EXP(-$B$10*(-LN(1-$B$10*($B$8/$B$12-$B$14*COS(RADIANS(D114+$B$15)))/($B$9*COS(RADIANS(D114+$B$15))))/$B$10)))/$B$10))/$B$10)</x:f>
        <x:v>-1.7585112033202677e-8</x:v>
      </x:c>
      <x:c r="F114" s="74" t="n">
        <x:f>E114</x:f>
        <x:v>-1.7585112033202677e-8</x:v>
      </x:c>
      <x:c r="G114" s="74"/>
      <x:c r="H114" s="74" t="n">
        <x:v>36</x:v>
      </x:c>
      <x:c r="I114" s="74" t="n">
        <x:f>IF(M113&lt;0,K113,I113)</x:f>
        <x:v>0.5680576555328378</x:v>
      </x:c>
      <x:c r="J114" s="74" t="n">
        <x:f>IF(M113&lt;0,J113,K113)</x:f>
        <x:v>0.5680576602542182</x:v>
      </x:c>
      <x:c r="K114" s="74" t="n">
        <x:f>(I114+J114)/2</x:f>
        <x:v>0.568057657893528</x:v>
      </x:c>
      <x:c r="L114" s="74" t="n">
        <x:f>$B$13+$B$14*SIN(RADIANS(K114+$B$15))+$B$9*SIN(RADIANS(K114+$B$15))*((1-EXP(-$B$10*(-LN(1-$B$10*($B$8/$B$12-$B$14*COS(RADIANS(K114+$B$15)))/($B$9*COS(RADIANS(K114+$B$15))))/$B$10)))/$B$10)-$B$11*(((-LN(1-$B$10*($B$8/$B$12-$B$14*COS(RADIANS(K114+$B$15)))/($B$9*COS(RADIANS(K114+$B$15))))/$B$10)-((1-EXP(-$B$10*(-LN(1-$B$10*($B$8/$B$12-$B$14*COS(RADIANS(K114+$B$15)))/($B$9*COS(RADIANS(K114+$B$15))))/$B$10)))/$B$10))/$B$10)</x:f>
        <x:v>1.0000000144635468</x:v>
      </x:c>
      <x:c r="M114" s="74" t="n">
        <x:f>L114-1</x:f>
        <x:v>1.4463546804677208e-8</x:v>
      </x:c>
    </x:row>
    <x:row r="115">
      <x:c r="A115" s="35" t="n">
        <x:v>37</x:v>
      </x:c>
      <x:c r="B115" s="74" t="n">
        <x:f>IF(F114&lt;0,D114,B114)</x:f>
        <x:v>0.45562026304749226</x:v>
      </x:c>
      <x:c r="C115" s="74" t="n">
        <x:f>IF(F114&lt;0,C114,D114)</x:f>
        <x:v>0.45562026540818246</x:v>
      </x:c>
      <x:c r="D115" s="74" t="n">
        <x:f>(B115+C115)/2</x:f>
        <x:v>0.45562026422783736</x:v>
      </x:c>
      <x:c r="E115" s="74" t="n">
        <x:f>$B$13+$B$14*SIN(RADIANS(D115+$B$15))+$B$9*SIN(RADIANS(D115+$B$15))*((1-EXP(-$B$10*(-LN(1-$B$10*($B$8/$B$12-$B$14*COS(RADIANS(D115+$B$15)))/($B$9*COS(RADIANS(D115+$B$15))))/$B$10)))/$B$10)-$B$11*(((-LN(1-$B$10*($B$8/$B$12-$B$14*COS(RADIANS(D115+$B$15)))/($B$9*COS(RADIANS(D115+$B$15))))/$B$10)-((1-EXP(-$B$10*(-LN(1-$B$10*($B$8/$B$12-$B$14*COS(RADIANS(D115+$B$15)))/($B$9*COS(RADIANS(D115+$B$15))))/$B$10)))/$B$10))/$B$10)</x:f>
        <x:v>-7.087271214345492e-9</x:v>
      </x:c>
      <x:c r="F115" s="74" t="n">
        <x:f>E115</x:f>
        <x:v>-7.087271214345492e-9</x:v>
      </x:c>
      <x:c r="G115" s="74"/>
      <x:c r="H115" s="74" t="n">
        <x:v>37</x:v>
      </x:c>
      <x:c r="I115" s="74" t="n">
        <x:f>IF(M114&lt;0,K114,I114)</x:f>
        <x:v>0.5680576555328378</x:v>
      </x:c>
      <x:c r="J115" s="74" t="n">
        <x:f>IF(M114&lt;0,J114,K114)</x:f>
        <x:v>0.568057657893528</x:v>
      </x:c>
      <x:c r="K115" s="74" t="n">
        <x:f>(I115+J115)/2</x:f>
        <x:v>0.568057656713183</x:v>
      </x:c>
      <x:c r="L115" s="74" t="n">
        <x:f>$B$13+$B$14*SIN(RADIANS(K115+$B$15))+$B$9*SIN(RADIANS(K115+$B$15))*((1-EXP(-$B$10*(-LN(1-$B$10*($B$8/$B$12-$B$14*COS(RADIANS(K115+$B$15)))/($B$9*COS(RADIANS(K115+$B$15))))/$B$10)))/$B$10)-$B$11*(((-LN(1-$B$10*($B$8/$B$12-$B$14*COS(RADIANS(K115+$B$15)))/($B$9*COS(RADIANS(K115+$B$15))))/$B$10)-((1-EXP(-$B$10*(-LN(1-$B$10*($B$8/$B$12-$B$14*COS(RADIANS(K115+$B$15)))/($B$9*COS(RADIANS(K115+$B$15))))/$B$10)))/$B$10))/$B$10)</x:f>
        <x:v>1.000000003965793</x:v>
      </x:c>
      <x:c r="M115" s="74" t="n">
        <x:f>L115-1</x:f>
        <x:v>3.965793027305153e-9</x:v>
      </x:c>
    </x:row>
    <x:row r="116">
      <x:c r="A116" s="35" t="n">
        <x:v>38</x:v>
      </x:c>
      <x:c r="B116" s="74" t="n">
        <x:f>IF(F115&lt;0,D115,B115)</x:f>
        <x:v>0.45562026422783736</x:v>
      </x:c>
      <x:c r="C116" s="74" t="n">
        <x:f>IF(F115&lt;0,C115,D115)</x:f>
        <x:v>0.45562026540818246</x:v>
      </x:c>
      <x:c r="D116" s="74" t="n">
        <x:f>(B116+C116)/2</x:f>
        <x:v>0.4556202648180099</x:v>
      </x:c>
      <x:c r="E116" s="74" t="n">
        <x:f>$B$13+$B$14*SIN(RADIANS(D116+$B$15))+$B$9*SIN(RADIANS(D116+$B$15))*((1-EXP(-$B$10*(-LN(1-$B$10*($B$8/$B$12-$B$14*COS(RADIANS(D116+$B$15)))/($B$9*COS(RADIANS(D116+$B$15))))/$B$10)))/$B$10)-$B$11*(((-LN(1-$B$10*($B$8/$B$12-$B$14*COS(RADIANS(D116+$B$15)))/($B$9*COS(RADIANS(D116+$B$15))))/$B$10)-((1-EXP(-$B$10*(-LN(1-$B$10*($B$8/$B$12-$B$14*COS(RADIANS(D116+$B$15)))/($B$9*COS(RADIANS(D116+$B$15))))/$B$10)))/$B$10))/$B$10)</x:f>
        <x:v>-1.8383445876679616e-9</x:v>
      </x:c>
      <x:c r="F116" s="74" t="n">
        <x:f>E116</x:f>
        <x:v>-1.8383445876679616e-9</x:v>
      </x:c>
      <x:c r="G116" s="74"/>
      <x:c r="H116" s="74" t="n">
        <x:v>38</x:v>
      </x:c>
      <x:c r="I116" s="74" t="n">
        <x:f>IF(M115&lt;0,K115,I115)</x:f>
        <x:v>0.5680576555328378</x:v>
      </x:c>
      <x:c r="J116" s="74" t="n">
        <x:f>IF(M115&lt;0,J115,K115)</x:f>
        <x:v>0.568057656713183</x:v>
      </x:c>
      <x:c r="K116" s="74" t="n">
        <x:f>(I116+J116)/2</x:f>
        <x:v>0.5680576561230104</x:v>
      </x:c>
      <x:c r="L116" s="74" t="n">
        <x:f>$B$13+$B$14*SIN(RADIANS(K116+$B$15))+$B$9*SIN(RADIANS(K116+$B$15))*((1-EXP(-$B$10*(-LN(1-$B$10*($B$8/$B$12-$B$14*COS(RADIANS(K116+$B$15)))/($B$9*COS(RADIANS(K116+$B$15))))/$B$10)))/$B$10)-$B$11*(((-LN(1-$B$10*($B$8/$B$12-$B$14*COS(RADIANS(K116+$B$15)))/($B$9*COS(RADIANS(K116+$B$15))))/$B$10)-((1-EXP(-$B$10*(-LN(1-$B$10*($B$8/$B$12-$B$14*COS(RADIANS(K116+$B$15)))/($B$9*COS(RADIANS(K116+$B$15))))/$B$10)))/$B$10))/$B$10)</x:f>
        <x:v>0.9999999987169161</x:v>
      </x:c>
      <x:c r="M116" s="74" t="n">
        <x:f>L116-1</x:f>
        <x:v>-1.2830838613808737e-9</x:v>
      </x:c>
    </x:row>
    <x:row r="117">
      <x:c r="A117" s="35" t="n">
        <x:v>39</x:v>
      </x:c>
      <x:c r="B117" s="74" t="n">
        <x:f>IF(F116&lt;0,D116,B116)</x:f>
        <x:v>0.4556202648180099</x:v>
      </x:c>
      <x:c r="C117" s="74" t="n">
        <x:f>IF(F116&lt;0,C116,D116)</x:f>
        <x:v>0.45562026540818246</x:v>
      </x:c>
      <x:c r="D117" s="74" t="n">
        <x:f>(B117+C117)/2</x:f>
        <x:v>0.45562026511309617</x:v>
      </x:c>
      <x:c r="E117" s="74" t="n">
        <x:f>$B$13+$B$14*SIN(RADIANS(D117+$B$15))+$B$9*SIN(RADIANS(D117+$B$15))*((1-EXP(-$B$10*(-LN(1-$B$10*($B$8/$B$12-$B$14*COS(RADIANS(D117+$B$15)))/($B$9*COS(RADIANS(D117+$B$15))))/$B$10)))/$B$10)-$B$11*(((-LN(1-$B$10*($B$8/$B$12-$B$14*COS(RADIANS(D117+$B$15)))/($B$9*COS(RADIANS(D117+$B$15))))/$B$10)-((1-EXP(-$B$10*(-LN(1-$B$10*($B$8/$B$12-$B$14*COS(RADIANS(D117+$B$15)))/($B$9*COS(RADIANS(D117+$B$15))))/$B$10)))/$B$10))/$B$10)</x:f>
        <x:v>7.861107320650262e-10</x:v>
      </x:c>
      <x:c r="F117" s="74" t="n">
        <x:f>E117</x:f>
        <x:v>7.861107320650262e-10</x:v>
      </x:c>
      <x:c r="G117" s="74"/>
      <x:c r="H117" s="74" t="n">
        <x:v>39</x:v>
      </x:c>
      <x:c r="I117" s="74" t="n">
        <x:f>IF(M116&lt;0,K116,I116)</x:f>
        <x:v>0.5680576561230104</x:v>
      </x:c>
      <x:c r="J117" s="74" t="n">
        <x:f>IF(M116&lt;0,J116,K116)</x:f>
        <x:v>0.568057656713183</x:v>
      </x:c>
      <x:c r="K117" s="74" t="n">
        <x:f>(I117+J117)/2</x:f>
        <x:v>0.5680576564180967</x:v>
      </x:c>
      <x:c r="L117" s="74" t="n">
        <x:f>$B$13+$B$14*SIN(RADIANS(K117+$B$15))+$B$9*SIN(RADIANS(K117+$B$15))*((1-EXP(-$B$10*(-LN(1-$B$10*($B$8/$B$12-$B$14*COS(RADIANS(K117+$B$15)))/($B$9*COS(RADIANS(K117+$B$15))))/$B$10)))/$B$10)-$B$11*(((-LN(1-$B$10*($B$8/$B$12-$B$14*COS(RADIANS(K117+$B$15)))/($B$9*COS(RADIANS(K117+$B$15))))/$B$10)-((1-EXP(-$B$10*(-LN(1-$B$10*($B$8/$B$12-$B$14*COS(RADIANS(K117+$B$15)))/($B$9*COS(RADIANS(K117+$B$15))))/$B$10)))/$B$10))/$B$10)</x:f>
        <x:v>1.0000000013413448</x:v>
      </x:c>
      <x:c r="M117" s="74" t="n">
        <x:f>L117-1</x:f>
        <x:v>1.3413448129995231e-9</x:v>
      </x:c>
    </x:row>
    <x:row r="118">
      <x:c r="A118" s="35" t="n">
        <x:v>40</x:v>
      </x:c>
      <x:c r="B118" s="74" t="n">
        <x:f>IF(F117&lt;0,D117,B117)</x:f>
        <x:v>0.4556202648180099</x:v>
      </x:c>
      <x:c r="C118" s="74" t="n">
        <x:f>IF(F117&lt;0,C117,D117)</x:f>
        <x:v>0.45562026511309617</x:v>
      </x:c>
      <x:c r="D118" s="74" t="n">
        <x:f>(B118+C118)/2</x:f>
        <x:v>0.455620264965553</x:v>
      </x:c>
      <x:c r="E118" s="74" t="n">
        <x:f>$B$13+$B$14*SIN(RADIANS(D118+$B$15))+$B$9*SIN(RADIANS(D118+$B$15))*((1-EXP(-$B$10*(-LN(1-$B$10*($B$8/$B$12-$B$14*COS(RADIANS(D118+$B$15)))/($B$9*COS(RADIANS(D118+$B$15))))/$B$10)))/$B$10)-$B$11*(((-LN(1-$B$10*($B$8/$B$12-$B$14*COS(RADIANS(D118+$B$15)))/($B$9*COS(RADIANS(D118+$B$15))))/$B$10)-((1-EXP(-$B$10*(-LN(1-$B$10*($B$8/$B$12-$B$14*COS(RADIANS(D118+$B$15)))/($B$9*COS(RADIANS(D118+$B$15))))/$B$10)))/$B$10))/$B$10)</x:f>
        <x:v>-5.261000524114934e-10</x:v>
      </x:c>
      <x:c r="F118" s="74" t="n">
        <x:f>E118</x:f>
        <x:v>-5.261000524114934e-10</x:v>
      </x:c>
      <x:c r="G118" s="74"/>
      <x:c r="H118" s="74" t="n">
        <x:v>40</x:v>
      </x:c>
      <x:c r="I118" s="74" t="n">
        <x:f>IF(M117&lt;0,K117,I117)</x:f>
        <x:v>0.5680576561230104</x:v>
      </x:c>
      <x:c r="J118" s="74" t="n">
        <x:f>IF(M117&lt;0,J117,K117)</x:f>
        <x:v>0.5680576564180967</x:v>
      </x:c>
      <x:c r="K118" s="74" t="n">
        <x:f>(I118+J118)/2</x:f>
        <x:v>0.5680576562705535</x:v>
      </x:c>
      <x:c r="L118" s="74" t="n">
        <x:f>$B$13+$B$14*SIN(RADIANS(K118+$B$15))+$B$9*SIN(RADIANS(K118+$B$15))*((1-EXP(-$B$10*(-LN(1-$B$10*($B$8/$B$12-$B$14*COS(RADIANS(K118+$B$15)))/($B$9*COS(RADIANS(K118+$B$15))))/$B$10)))/$B$10)-$B$11*(((-LN(1-$B$10*($B$8/$B$12-$B$14*COS(RADIANS(K118+$B$15)))/($B$9*COS(RADIANS(K118+$B$15))))/$B$10)-((1-EXP(-$B$10*(-LN(1-$B$10*($B$8/$B$12-$B$14*COS(RADIANS(K118+$B$15)))/($B$9*COS(RADIANS(K118+$B$15))))/$B$10)))/$B$10))/$B$10)</x:f>
        <x:v>1.0000000000291447</x:v>
      </x:c>
      <x:c r="M118" s="74" t="n">
        <x:f>L118-1</x:f>
        <x:v>2.914468666403991e-11</x:v>
      </x:c>
    </x:row>
    <x:row r="119">
      <x:c r="A119" s="35" t="n">
        <x:v>41</x:v>
      </x:c>
      <x:c r="B119" s="74" t="n">
        <x:f>IF(F118&lt;0,D118,B118)</x:f>
        <x:v>0.455620264965553</x:v>
      </x:c>
      <x:c r="C119" s="74" t="n">
        <x:f>IF(F118&lt;0,C118,D118)</x:f>
        <x:v>0.45562026511309617</x:v>
      </x:c>
      <x:c r="D119" s="74" t="n">
        <x:f>(B119+C119)/2</x:f>
        <x:v>0.4556202650393246</x:v>
      </x:c>
      <x:c r="E119" s="74" t="n">
        <x:f>$B$13+$B$14*SIN(RADIANS(D119+$B$15))+$B$9*SIN(RADIANS(D119+$B$15))*((1-EXP(-$B$10*(-LN(1-$B$10*($B$8/$B$12-$B$14*COS(RADIANS(D119+$B$15)))/($B$9*COS(RADIANS(D119+$B$15))))/$B$10)))/$B$10)-$B$11*(((-LN(1-$B$10*($B$8/$B$12-$B$14*COS(RADIANS(D119+$B$15)))/($B$9*COS(RADIANS(D119+$B$15))))/$B$10)-((1-EXP(-$B$10*(-LN(1-$B$10*($B$8/$B$12-$B$14*COS(RADIANS(D119+$B$15)))/($B$9*COS(RADIANS(D119+$B$15))))/$B$10)))/$B$10))/$B$10)</x:f>
        <x:v>1.2999912257782853e-10</x:v>
      </x:c>
      <x:c r="F119" s="74" t="n">
        <x:f>E119</x:f>
        <x:v>1.2999912257782853e-10</x:v>
      </x:c>
      <x:c r="G119" s="74"/>
      <x:c r="H119" s="74" t="n">
        <x:v>41</x:v>
      </x:c>
      <x:c r="I119" s="74" t="n">
        <x:f>IF(M118&lt;0,K118,I118)</x:f>
        <x:v>0.5680576561230104</x:v>
      </x:c>
      <x:c r="J119" s="74" t="n">
        <x:f>IF(M118&lt;0,J118,K118)</x:f>
        <x:v>0.5680576562705535</x:v>
      </x:c>
      <x:c r="K119" s="74" t="n">
        <x:f>(I119+J119)/2</x:f>
        <x:v>0.568057656196782</x:v>
      </x:c>
      <x:c r="L119" s="74" t="n">
        <x:f>$B$13+$B$14*SIN(RADIANS(K119+$B$15))+$B$9*SIN(RADIANS(K119+$B$15))*((1-EXP(-$B$10*(-LN(1-$B$10*($B$8/$B$12-$B$14*COS(RADIANS(K119+$B$15)))/($B$9*COS(RADIANS(K119+$B$15))))/$B$10)))/$B$10)-$B$11*(((-LN(1-$B$10*($B$8/$B$12-$B$14*COS(RADIANS(K119+$B$15)))/($B$9*COS(RADIANS(K119+$B$15))))/$B$10)-((1-EXP(-$B$10*(-LN(1-$B$10*($B$8/$B$12-$B$14*COS(RADIANS(K119+$B$15)))/($B$9*COS(RADIANS(K119+$B$15))))/$B$10)))/$B$10))/$B$10)</x:f>
        <x:v>0.9999999993730082</x:v>
      </x:c>
      <x:c r="M119" s="74" t="n">
        <x:f>L119-1</x:f>
        <x:v>-6.269917918189094e-10</x:v>
      </x:c>
    </x:row>
    <x:row r="120">
      <x:c r="A120" s="35" t="n">
        <x:v>42</x:v>
      </x:c>
      <x:c r="B120" s="74" t="n">
        <x:f>IF(F119&lt;0,D119,B119)</x:f>
        <x:v>0.455620264965553</x:v>
      </x:c>
      <x:c r="C120" s="74" t="n">
        <x:f>IF(F119&lt;0,C119,D119)</x:f>
        <x:v>0.4556202650393246</x:v>
      </x:c>
      <x:c r="D120" s="74" t="n">
        <x:f>(B120+C120)/2</x:f>
        <x:v>0.4556202650024388</x:v>
      </x:c>
      <x:c r="E120" s="74" t="n">
        <x:f>$B$13+$B$14*SIN(RADIANS(D120+$B$15))+$B$9*SIN(RADIANS(D120+$B$15))*((1-EXP(-$B$10*(-LN(1-$B$10*($B$8/$B$12-$B$14*COS(RADIANS(D120+$B$15)))/($B$9*COS(RADIANS(D120+$B$15))))/$B$10)))/$B$10)-$B$11*(((-LN(1-$B$10*($B$8/$B$12-$B$14*COS(RADIANS(D120+$B$15)))/($B$9*COS(RADIANS(D120+$B$15))))/$B$10)-((1-EXP(-$B$10*(-LN(1-$B$10*($B$8/$B$12-$B$14*COS(RADIANS(D120+$B$15)))/($B$9*COS(RADIANS(D120+$B$15))))/$B$10)))/$B$10))/$B$10)</x:f>
        <x:v>-1.9803181317001872e-10</x:v>
      </x:c>
      <x:c r="F120" s="74" t="n">
        <x:f>E120</x:f>
        <x:v>-1.9803181317001872e-10</x:v>
      </x:c>
      <x:c r="G120" s="74"/>
      <x:c r="H120" s="74" t="n">
        <x:v>42</x:v>
      </x:c>
      <x:c r="I120" s="74" t="n">
        <x:f>IF(M119&lt;0,K119,I119)</x:f>
        <x:v>0.568057656196782</x:v>
      </x:c>
      <x:c r="J120" s="74" t="n">
        <x:f>IF(M119&lt;0,J119,K119)</x:f>
        <x:v>0.5680576562705535</x:v>
      </x:c>
      <x:c r="K120" s="74" t="n">
        <x:f>(I120+J120)/2</x:f>
        <x:v>0.5680576562336677</x:v>
      </x:c>
      <x:c r="L120" s="74" t="n">
        <x:f>$B$13+$B$14*SIN(RADIANS(K120+$B$15))+$B$9*SIN(RADIANS(K120+$B$15))*((1-EXP(-$B$10*(-LN(1-$B$10*($B$8/$B$12-$B$14*COS(RADIANS(K120+$B$15)))/($B$9*COS(RADIANS(K120+$B$15))))/$B$10)))/$B$10)-$B$11*(((-LN(1-$B$10*($B$8/$B$12-$B$14*COS(RADIANS(K120+$B$15)))/($B$9*COS(RADIANS(K120+$B$15))))/$B$10)-((1-EXP(-$B$10*(-LN(1-$B$10*($B$8/$B$12-$B$14*COS(RADIANS(K120+$B$15)))/($B$9*COS(RADIANS(K120+$B$15))))/$B$10)))/$B$10))/$B$10)</x:f>
        <x:v>0.9999999997010836</x:v>
      </x:c>
      <x:c r="M120" s="74" t="n">
        <x:f>L120-1</x:f>
        <x:v>-2.9891644715007715e-10</x:v>
      </x:c>
    </x:row>
    <x:row r="121">
      <x:c r="A121" s="35" t="n">
        <x:v>43</x:v>
      </x:c>
      <x:c r="B121" s="74" t="n">
        <x:f>IF(F120&lt;0,D120,B120)</x:f>
        <x:v>0.4556202650024388</x:v>
      </x:c>
      <x:c r="C121" s="74" t="n">
        <x:f>IF(F120&lt;0,C120,D120)</x:f>
        <x:v>0.4556202650393246</x:v>
      </x:c>
      <x:c r="D121" s="74" t="n">
        <x:f>(B121+C121)/2</x:f>
        <x:v>0.4556202650208817</x:v>
      </x:c>
      <x:c r="E121" s="74" t="n">
        <x:f>$B$13+$B$14*SIN(RADIANS(D121+$B$15))+$B$9*SIN(RADIANS(D121+$B$15))*((1-EXP(-$B$10*(-LN(1-$B$10*($B$8/$B$12-$B$14*COS(RADIANS(D121+$B$15)))/($B$9*COS(RADIANS(D121+$B$15))))/$B$10)))/$B$10)-$B$11*(((-LN(1-$B$10*($B$8/$B$12-$B$14*COS(RADIANS(D121+$B$15)))/($B$9*COS(RADIANS(D121+$B$15))))/$B$10)-((1-EXP(-$B$10*(-LN(1-$B$10*($B$8/$B$12-$B$14*COS(RADIANS(D121+$B$15)))/($B$9*COS(RADIANS(D121+$B$15))))/$B$10)))/$B$10))/$B$10)</x:f>
        <x:v>-3.40367733997482e-11</x:v>
      </x:c>
      <x:c r="F121" s="74" t="n">
        <x:f>E121</x:f>
        <x:v>-3.40367733997482e-11</x:v>
      </x:c>
      <x:c r="G121" s="74"/>
      <x:c r="H121" s="74" t="n">
        <x:v>43</x:v>
      </x:c>
      <x:c r="I121" s="74" t="n">
        <x:f>IF(M120&lt;0,K120,I120)</x:f>
        <x:v>0.5680576562336677</x:v>
      </x:c>
      <x:c r="J121" s="74" t="n">
        <x:f>IF(M120&lt;0,J120,K120)</x:f>
        <x:v>0.5680576562705535</x:v>
      </x:c>
      <x:c r="K121" s="74" t="n">
        <x:f>(I121+J121)/2</x:f>
        <x:v>0.5680576562521106</x:v>
      </x:c>
      <x:c r="L121" s="74" t="n">
        <x:f>$B$13+$B$14*SIN(RADIANS(K121+$B$15))+$B$9*SIN(RADIANS(K121+$B$15))*((1-EXP(-$B$10*(-LN(1-$B$10*($B$8/$B$12-$B$14*COS(RADIANS(K121+$B$15)))/($B$9*COS(RADIANS(K121+$B$15))))/$B$10)))/$B$10)-$B$11*(((-LN(1-$B$10*($B$8/$B$12-$B$14*COS(RADIANS(K121+$B$15)))/($B$9*COS(RADIANS(K121+$B$15))))/$B$10)-((1-EXP(-$B$10*(-LN(1-$B$10*($B$8/$B$12-$B$14*COS(RADIANS(K121+$B$15)))/($B$9*COS(RADIANS(K121+$B$15))))/$B$10)))/$B$10))/$B$10)</x:f>
        <x:v>0.9999999998651017</x:v>
      </x:c>
      <x:c r="M121" s="74" t="n">
        <x:f>L121-1</x:f>
        <x:v>-1.3489831474089442e-10</x:v>
      </x:c>
    </x:row>
    <x:row r="122">
      <x:c r="A122" s="35" t="n">
        <x:v>44</x:v>
      </x:c>
      <x:c r="B122" s="74" t="n">
        <x:f>IF(F121&lt;0,D121,B121)</x:f>
        <x:v>0.4556202650208817</x:v>
      </x:c>
      <x:c r="C122" s="74" t="n">
        <x:f>IF(F121&lt;0,C121,D121)</x:f>
        <x:v>0.4556202650393246</x:v>
      </x:c>
      <x:c r="D122" s="74" t="n">
        <x:f>(B122+C122)/2</x:f>
        <x:v>0.45562026503010317</x:v>
      </x:c>
      <x:c r="E122" s="74" t="n">
        <x:f>$B$13+$B$14*SIN(RADIANS(D122+$B$15))+$B$9*SIN(RADIANS(D122+$B$15))*((1-EXP(-$B$10*(-LN(1-$B$10*($B$8/$B$12-$B$14*COS(RADIANS(D122+$B$15)))/($B$9*COS(RADIANS(D122+$B$15))))/$B$10)))/$B$10)-$B$11*(((-LN(1-$B$10*($B$8/$B$12-$B$14*COS(RADIANS(D122+$B$15)))/($B$9*COS(RADIANS(D122+$B$15))))/$B$10)-((1-EXP(-$B$10*(-LN(1-$B$10*($B$8/$B$12-$B$14*COS(RADIANS(D122+$B$15)))/($B$9*COS(RADIANS(D122+$B$15))))/$B$10)))/$B$10))/$B$10)</x:f>
        <x:v>4.7986503659558366e-11</x:v>
      </x:c>
      <x:c r="F122" s="74" t="n">
        <x:f>E122</x:f>
        <x:v>4.7986503659558366e-11</x:v>
      </x:c>
      <x:c r="G122" s="74"/>
      <x:c r="H122" s="74" t="n">
        <x:v>44</x:v>
      </x:c>
      <x:c r="I122" s="74" t="n">
        <x:f>IF(M121&lt;0,K121,I121)</x:f>
        <x:v>0.5680576562521106</x:v>
      </x:c>
      <x:c r="J122" s="74" t="n">
        <x:f>IF(M121&lt;0,J121,K121)</x:f>
        <x:v>0.5680576562705535</x:v>
      </x:c>
      <x:c r="K122" s="74" t="n">
        <x:f>(I122+J122)/2</x:f>
        <x:v>0.568057656261332</x:v>
      </x:c>
      <x:c r="L122" s="74" t="n">
        <x:f>$B$13+$B$14*SIN(RADIANS(K122+$B$15))+$B$9*SIN(RADIANS(K122+$B$15))*((1-EXP(-$B$10*(-LN(1-$B$10*($B$8/$B$12-$B$14*COS(RADIANS(K122+$B$15)))/($B$9*COS(RADIANS(K122+$B$15))))/$B$10)))/$B$10)-$B$11*(((-LN(1-$B$10*($B$8/$B$12-$B$14*COS(RADIANS(K122+$B$15)))/($B$9*COS(RADIANS(K122+$B$15))))/$B$10)-((1-EXP(-$B$10*(-LN(1-$B$10*($B$8/$B$12-$B$14*COS(RADIANS(K122+$B$15)))/($B$9*COS(RADIANS(K122+$B$15))))/$B$10)))/$B$10))/$B$10)</x:f>
        <x:v>0.9999999999471161</x:v>
      </x:c>
      <x:c r="M122" s="74" t="n">
        <x:f>L122-1</x:f>
        <x:v>-5.2883919465784857e-11</x:v>
      </x:c>
    </x:row>
    <x:row r="123">
      <x:c r="A123" s="35" t="n">
        <x:v>45</x:v>
      </x:c>
      <x:c r="B123" s="74" t="n">
        <x:f>IF(F122&lt;0,D122,B122)</x:f>
        <x:v>0.4556202650208817</x:v>
      </x:c>
      <x:c r="C123" s="74" t="n">
        <x:f>IF(F122&lt;0,C122,D122)</x:f>
        <x:v>0.45562026503010317</x:v>
      </x:c>
      <x:c r="D123" s="74" t="n">
        <x:f>(B123+C123)/2</x:f>
        <x:v>0.45562026502549247</x:v>
      </x:c>
      <x:c r="E123" s="74" t="n">
        <x:f>$B$13+$B$14*SIN(RADIANS(D123+$B$15))+$B$9*SIN(RADIANS(D123+$B$15))*((1-EXP(-$B$10*(-LN(1-$B$10*($B$8/$B$12-$B$14*COS(RADIANS(D123+$B$15)))/($B$9*COS(RADIANS(D123+$B$15))))/$B$10)))/$B$10)-$B$11*(((-LN(1-$B$10*($B$8/$B$12-$B$14*COS(RADIANS(D123+$B$15)))/($B$9*COS(RADIANS(D123+$B$15))))/$B$10)-((1-EXP(-$B$10*(-LN(1-$B$10*($B$8/$B$12-$B$14*COS(RADIANS(D123+$B$15)))/($B$9*COS(RADIANS(D123+$B$15))))/$B$10)))/$B$10))/$B$10)</x:f>
        <x:v>6.991740519879386e-12</x:v>
      </x:c>
      <x:c r="F123" s="74" t="n">
        <x:f>E123</x:f>
        <x:v>6.991740519879386e-12</x:v>
      </x:c>
      <x:c r="G123" s="74"/>
      <x:c r="H123" s="74" t="n">
        <x:v>45</x:v>
      </x:c>
      <x:c r="I123" s="74" t="n">
        <x:f>IF(M122&lt;0,K122,I122)</x:f>
        <x:v>0.568057656261332</x:v>
      </x:c>
      <x:c r="J123" s="74" t="n">
        <x:f>IF(M122&lt;0,J122,K122)</x:f>
        <x:v>0.5680576562705535</x:v>
      </x:c>
      <x:c r="K123" s="74" t="n">
        <x:f>(I123+J123)/2</x:f>
        <x:v>0.5680576562659427</x:v>
      </x:c>
      <x:c r="L123" s="74" t="n">
        <x:f>$B$13+$B$14*SIN(RADIANS(K123+$B$15))+$B$9*SIN(RADIANS(K123+$B$15))*((1-EXP(-$B$10*(-LN(1-$B$10*($B$8/$B$12-$B$14*COS(RADIANS(K123+$B$15)))/($B$9*COS(RADIANS(K123+$B$15))))/$B$10)))/$B$10)-$B$11*(((-LN(1-$B$10*($B$8/$B$12-$B$14*COS(RADIANS(K123+$B$15)))/($B$9*COS(RADIANS(K123+$B$15))))/$B$10)-((1-EXP(-$B$10*(-LN(1-$B$10*($B$8/$B$12-$B$14*COS(RADIANS(K123+$B$15)))/($B$9*COS(RADIANS(K123+$B$15))))/$B$10)))/$B$10))/$B$10)</x:f>
        <x:v>0.9999999999881144</x:v>
      </x:c>
      <x:c r="M123" s="74" t="n">
        <x:f>L123-1</x:f>
        <x:v>-1.1885603612427076e-11</x:v>
      </x:c>
    </x:row>
    <x:row r="124">
      <x:c r="A124" s="35" t="n">
        <x:v>46</x:v>
      </x:c>
      <x:c r="B124" s="74" t="n">
        <x:f>IF(F123&lt;0,D123,B123)</x:f>
        <x:v>0.4556202650208817</x:v>
      </x:c>
      <x:c r="C124" s="74" t="n">
        <x:f>IF(F123&lt;0,C123,D123)</x:f>
        <x:v>0.45562026502549247</x:v>
      </x:c>
      <x:c r="D124" s="74" t="n">
        <x:f>(B124+C124)/2</x:f>
        <x:v>0.4556202650231871</x:v>
      </x:c>
      <x:c r="E124" s="74" t="n">
        <x:f>$B$13+$B$14*SIN(RADIANS(D124+$B$15))+$B$9*SIN(RADIANS(D124+$B$15))*((1-EXP(-$B$10*(-LN(1-$B$10*($B$8/$B$12-$B$14*COS(RADIANS(D124+$B$15)))/($B$9*COS(RADIANS(D124+$B$15))))/$B$10)))/$B$10)-$B$11*(((-LN(1-$B$10*($B$8/$B$12-$B$14*COS(RADIANS(D124+$B$15)))/($B$9*COS(RADIANS(D124+$B$15))))/$B$10)-((1-EXP(-$B$10*(-LN(1-$B$10*($B$8/$B$12-$B$14*COS(RADIANS(D124+$B$15)))/($B$9*COS(RADIANS(D124+$B$15))))/$B$10)))/$B$10))/$B$10)</x:f>
        <x:v>-1.3518075547835906e-11</x:v>
      </x:c>
      <x:c r="F124" s="74" t="n">
        <x:f>E124</x:f>
        <x:v>-1.3518075547835906e-11</x:v>
      </x:c>
      <x:c r="G124" s="74"/>
      <x:c r="H124" s="74" t="n">
        <x:v>46</x:v>
      </x:c>
      <x:c r="I124" s="74" t="n">
        <x:f>IF(M123&lt;0,K123,I123)</x:f>
        <x:v>0.5680576562659427</x:v>
      </x:c>
      <x:c r="J124" s="74" t="n">
        <x:f>IF(M123&lt;0,J123,K123)</x:f>
        <x:v>0.5680576562705535</x:v>
      </x:c>
      <x:c r="K124" s="74" t="n">
        <x:f>(I124+J124)/2</x:f>
        <x:v>0.5680576562682481</x:v>
      </x:c>
      <x:c r="L124" s="74" t="n">
        <x:f>$B$13+$B$14*SIN(RADIANS(K124+$B$15))+$B$9*SIN(RADIANS(K124+$B$15))*((1-EXP(-$B$10*(-LN(1-$B$10*($B$8/$B$12-$B$14*COS(RADIANS(K124+$B$15)))/($B$9*COS(RADIANS(K124+$B$15))))/$B$10)))/$B$10)-$B$11*(((-LN(1-$B$10*($B$8/$B$12-$B$14*COS(RADIANS(K124+$B$15)))/($B$9*COS(RADIANS(K124+$B$15))))/$B$10)-((1-EXP(-$B$10*(-LN(1-$B$10*($B$8/$B$12-$B$14*COS(RADIANS(K124+$B$15)))/($B$9*COS(RADIANS(K124+$B$15))))/$B$10)))/$B$10))/$B$10)</x:f>
        <x:v>1.0000000000086349</x:v>
      </x:c>
      <x:c r="M124" s="74" t="n">
        <x:f>L124-1</x:f>
        <x:v>8.634870596324618e-12</x:v>
      </x:c>
    </x:row>
    <x:row r="125">
      <x:c r="A125" s="35" t="n">
        <x:v>47</x:v>
      </x:c>
      <x:c r="B125" s="74" t="n">
        <x:f>IF(F124&lt;0,D124,B124)</x:f>
        <x:v>0.4556202650231871</x:v>
      </x:c>
      <x:c r="C125" s="74" t="n">
        <x:f>IF(F124&lt;0,C124,D124)</x:f>
        <x:v>0.45562026502549247</x:v>
      </x:c>
      <x:c r="D125" s="74" t="n">
        <x:f>(B125+C125)/2</x:f>
        <x:v>0.4556202650243398</x:v>
      </x:c>
      <x:c r="E125" s="74" t="n">
        <x:f>$B$13+$B$14*SIN(RADIANS(D125+$B$15))+$B$9*SIN(RADIANS(D125+$B$15))*((1-EXP(-$B$10*(-LN(1-$B$10*($B$8/$B$12-$B$14*COS(RADIANS(D125+$B$15)))/($B$9*COS(RADIANS(D125+$B$15))))/$B$10)))/$B$10)-$B$11*(((-LN(1-$B$10*($B$8/$B$12-$B$14*COS(RADIANS(D125+$B$15)))/($B$9*COS(RADIANS(D125+$B$15))))/$B$10)-((1-EXP(-$B$10*(-LN(1-$B$10*($B$8/$B$12-$B$14*COS(RADIANS(D125+$B$15)))/($B$9*COS(RADIANS(D125+$B$15))))/$B$10)))/$B$10))/$B$10)</x:f>
        <x:v>-3.2649438708176604e-12</x:v>
      </x:c>
      <x:c r="F125" s="74" t="n">
        <x:f>E125</x:f>
        <x:v>-3.2649438708176604e-12</x:v>
      </x:c>
      <x:c r="G125" s="74"/>
      <x:c r="H125" s="74" t="n">
        <x:v>47</x:v>
      </x:c>
      <x:c r="I125" s="74" t="n">
        <x:f>IF(M124&lt;0,K124,I124)</x:f>
        <x:v>0.5680576562659427</x:v>
      </x:c>
      <x:c r="J125" s="74" t="n">
        <x:f>IF(M124&lt;0,J124,K124)</x:f>
        <x:v>0.5680576562682481</x:v>
      </x:c>
      <x:c r="K125" s="74" t="n">
        <x:f>(I125+J125)/2</x:f>
        <x:v>0.5680576562670954</x:v>
      </x:c>
      <x:c r="L125" s="74" t="n">
        <x:f>$B$13+$B$14*SIN(RADIANS(K125+$B$15))+$B$9*SIN(RADIANS(K125+$B$15))*((1-EXP(-$B$10*(-LN(1-$B$10*($B$8/$B$12-$B$14*COS(RADIANS(K125+$B$15)))/($B$9*COS(RADIANS(K125+$B$15))))/$B$10)))/$B$10)-$B$11*(((-LN(1-$B$10*($B$8/$B$12-$B$14*COS(RADIANS(K125+$B$15)))/($B$9*COS(RADIANS(K125+$B$15))))/$B$10)-((1-EXP(-$B$10*(-LN(1-$B$10*($B$8/$B$12-$B$14*COS(RADIANS(K125+$B$15)))/($B$9*COS(RADIANS(K125+$B$15))))/$B$10)))/$B$10))/$B$10)</x:f>
        <x:v>0.9999999999983693</x:v>
      </x:c>
      <x:c r="M125" s="74" t="n">
        <x:f>L125-1</x:f>
        <x:v>-1.63069557856943e-12</x:v>
      </x:c>
    </x:row>
    <x:row r="126">
      <x:c r="A126" s="35" t="n">
        <x:v>48</x:v>
      </x:c>
      <x:c r="B126" s="74" t="n">
        <x:f>IF(F125&lt;0,D125,B125)</x:f>
        <x:v>0.4556202650243398</x:v>
      </x:c>
      <x:c r="C126" s="74" t="n">
        <x:f>IF(F125&lt;0,C125,D125)</x:f>
        <x:v>0.45562026502549247</x:v>
      </x:c>
      <x:c r="D126" s="74" t="n">
        <x:f>(B126+C126)/2</x:f>
        <x:v>0.45562026502491615</x:v>
      </x:c>
      <x:c r="E126" s="74" t="n">
        <x:f>$B$13+$B$14*SIN(RADIANS(D126+$B$15))+$B$9*SIN(RADIANS(D126+$B$15))*((1-EXP(-$B$10*(-LN(1-$B$10*($B$8/$B$12-$B$14*COS(RADIANS(D126+$B$15)))/($B$9*COS(RADIANS(D126+$B$15))))/$B$10)))/$B$10)-$B$11*(((-LN(1-$B$10*($B$8/$B$12-$B$14*COS(RADIANS(D126+$B$15)))/($B$9*COS(RADIANS(D126+$B$15))))/$B$10)-((1-EXP(-$B$10*(-LN(1-$B$10*($B$8/$B$12-$B$14*COS(RADIANS(D126+$B$15)))/($B$9*COS(RADIANS(D126+$B$15))))/$B$10)))/$B$10))/$B$10)</x:f>
        <x:v>1.8669510382096632e-12</x:v>
      </x:c>
      <x:c r="F126" s="74" t="n">
        <x:f>E126</x:f>
        <x:v>1.8669510382096632e-12</x:v>
      </x:c>
      <x:c r="G126" s="74"/>
      <x:c r="H126" s="74" t="n">
        <x:v>48</x:v>
      </x:c>
      <x:c r="I126" s="74" t="n">
        <x:f>IF(M125&lt;0,K125,I125)</x:f>
        <x:v>0.5680576562670954</x:v>
      </x:c>
      <x:c r="J126" s="74" t="n">
        <x:f>IF(M125&lt;0,J125,K125)</x:f>
        <x:v>0.5680576562682481</x:v>
      </x:c>
      <x:c r="K126" s="74" t="n">
        <x:f>(I126+J126)/2</x:f>
        <x:v>0.5680576562676718</x:v>
      </x:c>
      <x:c r="L126" s="74" t="n">
        <x:f>$B$13+$B$14*SIN(RADIANS(K126+$B$15))+$B$9*SIN(RADIANS(K126+$B$15))*((1-EXP(-$B$10*(-LN(1-$B$10*($B$8/$B$12-$B$14*COS(RADIANS(K126+$B$15)))/($B$9*COS(RADIANS(K126+$B$15))))/$B$10)))/$B$10)-$B$11*(((-LN(1-$B$10*($B$8/$B$12-$B$14*COS(RADIANS(K126+$B$15)))/($B$9*COS(RADIANS(K126+$B$15))))/$B$10)-((1-EXP(-$B$10*(-LN(1-$B$10*($B$8/$B$12-$B$14*COS(RADIANS(K126+$B$15)))/($B$9*COS(RADIANS(K126+$B$15))))/$B$10)))/$B$10))/$B$10)</x:f>
        <x:v>1.0000000000034994</x:v>
      </x:c>
      <x:c r="M126" s="74" t="n">
        <x:f>L126-1</x:f>
        <x:v>3.4994229736184934e-12</x:v>
      </x:c>
    </x:row>
    <x:row r="127">
      <x:c r="A127" s="35" t="n">
        <x:v>49</x:v>
      </x:c>
      <x:c r="B127" s="74" t="n">
        <x:f>IF(F126&lt;0,D126,B126)</x:f>
        <x:v>0.4556202650243398</x:v>
      </x:c>
      <x:c r="C127" s="74" t="n">
        <x:f>IF(F126&lt;0,C126,D126)</x:f>
        <x:v>0.45562026502491615</x:v>
      </x:c>
      <x:c r="D127" s="74" t="n">
        <x:f>(B127+C127)/2</x:f>
        <x:v>0.45562026502462794</x:v>
      </x:c>
      <x:c r="E127" s="74" t="n">
        <x:f>$B$13+$B$14*SIN(RADIANS(D127+$B$15))+$B$9*SIN(RADIANS(D127+$B$15))*((1-EXP(-$B$10*(-LN(1-$B$10*($B$8/$B$12-$B$14*COS(RADIANS(D127+$B$15)))/($B$9*COS(RADIANS(D127+$B$15))))/$B$10)))/$B$10)-$B$11*(((-LN(1-$B$10*($B$8/$B$12-$B$14*COS(RADIANS(D127+$B$15)))/($B$9*COS(RADIANS(D127+$B$15))))/$B$10)-((1-EXP(-$B$10*(-LN(1-$B$10*($B$8/$B$12-$B$14*COS(RADIANS(D127+$B$15)))/($B$9*COS(RADIANS(D127+$B$15))))/$B$10)))/$B$10))/$B$10)</x:f>
        <x:v>-6.981082378842984e-13</x:v>
      </x:c>
      <x:c r="F127" s="74" t="n">
        <x:f>E127</x:f>
        <x:v>-6.981082378842984e-13</x:v>
      </x:c>
      <x:c r="G127" s="74"/>
      <x:c r="H127" s="74" t="n">
        <x:v>49</x:v>
      </x:c>
      <x:c r="I127" s="74" t="n">
        <x:f>IF(M126&lt;0,K126,I126)</x:f>
        <x:v>0.5680576562670954</x:v>
      </x:c>
      <x:c r="J127" s="74" t="n">
        <x:f>IF(M126&lt;0,J126,K126)</x:f>
        <x:v>0.5680576562676718</x:v>
      </x:c>
      <x:c r="K127" s="74" t="n">
        <x:f>(I127+J127)/2</x:f>
        <x:v>0.5680576562673836</x:v>
      </x:c>
      <x:c r="L127" s="74" t="n">
        <x:f>$B$13+$B$14*SIN(RADIANS(K127+$B$15))+$B$9*SIN(RADIANS(K127+$B$15))*((1-EXP(-$B$10*(-LN(1-$B$10*($B$8/$B$12-$B$14*COS(RADIANS(K127+$B$15)))/($B$9*COS(RADIANS(K127+$B$15))))/$B$10)))/$B$10)-$B$11*(((-LN(1-$B$10*($B$8/$B$12-$B$14*COS(RADIANS(K127+$B$15)))/($B$9*COS(RADIANS(K127+$B$15))))/$B$10)-((1-EXP(-$B$10*(-LN(1-$B$10*($B$8/$B$12-$B$14*COS(RADIANS(K127+$B$15)))/($B$9*COS(RADIANS(K127+$B$15))))/$B$10)))/$B$10))/$B$10)</x:f>
        <x:v>1.0000000000009361</x:v>
      </x:c>
      <x:c r="M127" s="74" t="n">
        <x:f>L127-1</x:f>
        <x:v>9.36140054363932e-13</x:v>
      </x:c>
    </x:row>
    <x:row r="128">
      <x:c r="A128" s="35" t="n">
        <x:v>50</x:v>
      </x:c>
      <x:c r="B128" s="74" t="n">
        <x:f>IF(F127&lt;0,D127,B127)</x:f>
        <x:v>0.4556202650243398</x:v>
      </x:c>
      <x:c r="C128" s="74" t="n">
        <x:f>IF(F127&lt;0,C127,D127)</x:f>
        <x:v>0.45562026502462794</x:v>
      </x:c>
      <x:c r="D128" s="74" t="n">
        <x:f>(B128+C128)/2</x:f>
        <x:v>0.45562026502448383</x:v>
      </x:c>
      <x:c r="E128" s="74" t="n">
        <x:f>$B$13+$B$14*SIN(RADIANS(D128+$B$15))+$B$9*SIN(RADIANS(D128+$B$15))*((1-EXP(-$B$10*(-LN(1-$B$10*($B$8/$B$12-$B$14*COS(RADIANS(D128+$B$15)))/($B$9*COS(RADIANS(D128+$B$15))))/$B$10)))/$B$10)-$B$11*(((-LN(1-$B$10*($B$8/$B$12-$B$14*COS(RADIANS(D128+$B$15)))/($B$9*COS(RADIANS(D128+$B$15))))/$B$10)-((1-EXP(-$B$10*(-LN(1-$B$10*($B$8/$B$12-$B$14*COS(RADIANS(D128+$B$15)))/($B$9*COS(RADIANS(D128+$B$15))))/$B$10)))/$B$10))/$B$10)</x:f>
        <x:v>-1.9824142327706795e-12</x:v>
      </x:c>
      <x:c r="F128" s="74" t="n">
        <x:f>E128</x:f>
        <x:v>-1.9824142327706795e-12</x:v>
      </x:c>
      <x:c r="G128" s="74"/>
      <x:c r="H128" s="74" t="n">
        <x:v>50</x:v>
      </x:c>
      <x:c r="I128" s="74" t="n">
        <x:f>IF(M127&lt;0,K127,I127)</x:f>
        <x:v>0.5680576562670954</x:v>
      </x:c>
      <x:c r="J128" s="74" t="n">
        <x:f>IF(M127&lt;0,J127,K127)</x:f>
        <x:v>0.5680576562673836</x:v>
      </x:c>
      <x:c r="K128" s="74" t="n">
        <x:f>(I128+J128)/2</x:f>
        <x:v>0.5680576562672395</x:v>
      </x:c>
      <x:c r="L128" s="74" t="n">
        <x:f>$B$13+$B$14*SIN(RADIANS(K128+$B$15))+$B$9*SIN(RADIANS(K128+$B$15))*((1-EXP(-$B$10*(-LN(1-$B$10*($B$8/$B$12-$B$14*COS(RADIANS(K128+$B$15)))/($B$9*COS(RADIANS(K128+$B$15))))/$B$10)))/$B$10)-$B$11*(((-LN(1-$B$10*($B$8/$B$12-$B$14*COS(RADIANS(K128+$B$15)))/($B$9*COS(RADIANS(K128+$B$15))))/$B$10)-((1-EXP(-$B$10*(-LN(1-$B$10*($B$8/$B$12-$B$14*COS(RADIANS(K128+$B$15)))/($B$9*COS(RADIANS(K128+$B$15))))/$B$10)))/$B$10))/$B$10)</x:f>
        <x:v>0.9999999999996536</x:v>
      </x:c>
      <x:c r="M128" s="74" t="n">
        <x:f>L128-1</x:f>
        <x:v>-3.4638958368304884e-13</x:v>
      </x:c>
    </x:row>
    <x:row r="129">
      <x:c r="A129" s="35" t="n">
        <x:v>51</x:v>
      </x:c>
      <x:c r="B129" s="74" t="n">
        <x:f>IF(F128&lt;0,D128,B128)</x:f>
        <x:v>0.45562026502448383</x:v>
      </x:c>
      <x:c r="C129" s="74" t="n">
        <x:f>IF(F128&lt;0,C128,D128)</x:f>
        <x:v>0.45562026502462794</x:v>
      </x:c>
      <x:c r="D129" s="74" t="n">
        <x:f>(B129+C129)/2</x:f>
        <x:v>0.4556202650245559</x:v>
      </x:c>
      <x:c r="E129" s="74" t="n">
        <x:f>$B$13+$B$14*SIN(RADIANS(D129+$B$15))+$B$9*SIN(RADIANS(D129+$B$15))*((1-EXP(-$B$10*(-LN(1-$B$10*($B$8/$B$12-$B$14*COS(RADIANS(D129+$B$15)))/($B$9*COS(RADIANS(D129+$B$15))))/$B$10)))/$B$10)-$B$11*(((-LN(1-$B$10*($B$8/$B$12-$B$14*COS(RADIANS(D129+$B$15)))/($B$9*COS(RADIANS(D129+$B$15))))/$B$10)-((1-EXP(-$B$10*(-LN(1-$B$10*($B$8/$B$12-$B$14*COS(RADIANS(D129+$B$15)))/($B$9*COS(RADIANS(D129+$B$15))))/$B$10)))/$B$10))/$B$10)</x:f>
        <x:v>-1.341149413747189e-12</x:v>
      </x:c>
      <x:c r="F129" s="74" t="n">
        <x:f>E129</x:f>
        <x:v>-1.341149413747189e-12</x:v>
      </x:c>
      <x:c r="G129" s="74"/>
      <x:c r="H129" s="74" t="n">
        <x:v>51</x:v>
      </x:c>
      <x:c r="I129" s="74" t="n">
        <x:f>IF(M128&lt;0,K128,I128)</x:f>
        <x:v>0.5680576562670954</x:v>
      </x:c>
      <x:c r="J129" s="74" t="n">
        <x:f>IF(M128&lt;0,J128,K128)</x:f>
        <x:v>0.5680576562672395</x:v>
      </x:c>
      <x:c r="K129" s="74" t="n">
        <x:f>(I129+J129)/2</x:f>
        <x:v>0.5680576562671674</x:v>
      </x:c>
      <x:c r="L129" s="74" t="n">
        <x:f>$B$13+$B$14*SIN(RADIANS(K129+$B$15))+$B$9*SIN(RADIANS(K129+$B$15))*((1-EXP(-$B$10*(-LN(1-$B$10*($B$8/$B$12-$B$14*COS(RADIANS(K129+$B$15)))/($B$9*COS(RADIANS(K129+$B$15))))/$B$10)))/$B$10)-$B$11*(((-LN(1-$B$10*($B$8/$B$12-$B$14*COS(RADIANS(K129+$B$15)))/($B$9*COS(RADIANS(K129+$B$15))))/$B$10)-((1-EXP(-$B$10*(-LN(1-$B$10*($B$8/$B$12-$B$14*COS(RADIANS(K129+$B$15)))/($B$9*COS(RADIANS(K129+$B$15))))/$B$10)))/$B$10))/$B$10)</x:f>
        <x:v>0.9999999999990106</x:v>
      </x:c>
      <x:c r="M129" s="74" t="n">
        <x:f>L129-1</x:f>
        <x:v>-9.894307595459395e-13</x:v>
      </x:c>
    </x:row>
    <x:row r="130">
      <x:c r="A130" s="35" t="n">
        <x:v>52</x:v>
      </x:c>
      <x:c r="B130" s="74" t="n">
        <x:f>IF(F129&lt;0,D129,B129)</x:f>
        <x:v>0.4556202650245559</x:v>
      </x:c>
      <x:c r="C130" s="74" t="n">
        <x:f>IF(F129&lt;0,C129,D129)</x:f>
        <x:v>0.45562026502462794</x:v>
      </x:c>
      <x:c r="D130" s="74" t="n">
        <x:f>(B130+C130)/2</x:f>
        <x:v>0.4556202650245919</x:v>
      </x:c>
      <x:c r="E130" s="74" t="n">
        <x:f>$B$13+$B$14*SIN(RADIANS(D130+$B$15))+$B$9*SIN(RADIANS(D130+$B$15))*((1-EXP(-$B$10*(-LN(1-$B$10*($B$8/$B$12-$B$14*COS(RADIANS(D130+$B$15)))/($B$9*COS(RADIANS(D130+$B$15))))/$B$10)))/$B$10)-$B$11*(((-LN(1-$B$10*($B$8/$B$12-$B$14*COS(RADIANS(D130+$B$15)))/($B$9*COS(RADIANS(D130+$B$15))))/$B$10)-((1-EXP(-$B$10*(-LN(1-$B$10*($B$8/$B$12-$B$14*COS(RADIANS(D130+$B$15)))/($B$9*COS(RADIANS(D130+$B$15))))/$B$10)))/$B$10))/$B$10)</x:f>
        <x:v>-1.0178524689763435e-12</x:v>
      </x:c>
      <x:c r="F130" s="74" t="n">
        <x:f>E130</x:f>
        <x:v>-1.0178524689763435e-12</x:v>
      </x:c>
      <x:c r="G130" s="74"/>
      <x:c r="H130" s="74" t="n">
        <x:v>52</x:v>
      </x:c>
      <x:c r="I130" s="74" t="n">
        <x:f>IF(M129&lt;0,K129,I129)</x:f>
        <x:v>0.5680576562670954</x:v>
      </x:c>
      <x:c r="J130" s="74" t="n">
        <x:f>IF(M129&lt;0,J129,K129)</x:f>
        <x:v>0.5680576562671674</x:v>
      </x:c>
      <x:c r="K130" s="74" t="n">
        <x:f>(I130+J130)/2</x:f>
        <x:v>0.5680576562671313</x:v>
      </x:c>
      <x:c r="L130" s="74" t="n">
        <x:f>$B$13+$B$14*SIN(RADIANS(K130+$B$15))+$B$9*SIN(RADIANS(K130+$B$15))*((1-EXP(-$B$10*(-LN(1-$B$10*($B$8/$B$12-$B$14*COS(RADIANS(K130+$B$15)))/($B$9*COS(RADIANS(K130+$B$15))))/$B$10)))/$B$10)-$B$11*(((-LN(1-$B$10*($B$8/$B$12-$B$14*COS(RADIANS(K130+$B$15)))/($B$9*COS(RADIANS(K130+$B$15))))/$B$10)-((1-EXP(-$B$10*(-LN(1-$B$10*($B$8/$B$12-$B$14*COS(RADIANS(K130+$B$15)))/($B$9*COS(RADIANS(K130+$B$15))))/$B$10)))/$B$10))/$B$10)</x:f>
        <x:v>0.999999999998689</x:v>
      </x:c>
      <x:c r="M130" s="74" t="n">
        <x:f>L130-1</x:f>
        <x:v>-1.3109513474773848e-12</x:v>
      </x:c>
    </x:row>
    <x:row r="131">
      <x:c r="A131" s="35" t="n">
        <x:v>53</x:v>
      </x:c>
      <x:c r="B131" s="74" t="n">
        <x:f>IF(F130&lt;0,D130,B130)</x:f>
        <x:v>0.4556202650245919</x:v>
      </x:c>
      <x:c r="C131" s="74" t="n">
        <x:f>IF(F130&lt;0,C130,D130)</x:f>
        <x:v>0.45562026502462794</x:v>
      </x:c>
      <x:c r="D131" s="74" t="n">
        <x:f>(B131+C131)/2</x:f>
        <x:v>0.45562026502460995</x:v>
      </x:c>
      <x:c r="E131" s="74" t="n">
        <x:f>$B$13+$B$14*SIN(RADIANS(D131+$B$15))+$B$9*SIN(RADIANS(D131+$B$15))*((1-EXP(-$B$10*(-LN(1-$B$10*($B$8/$B$12-$B$14*COS(RADIANS(D131+$B$15)))/($B$9*COS(RADIANS(D131+$B$15))))/$B$10)))/$B$10)-$B$11*(((-LN(1-$B$10*($B$8/$B$12-$B$14*COS(RADIANS(D131+$B$15)))/($B$9*COS(RADIANS(D131+$B$15))))/$B$10)-((1-EXP(-$B$10*(-LN(1-$B$10*($B$8/$B$12-$B$14*COS(RADIANS(D131+$B$15)))/($B$9*COS(RADIANS(D131+$B$15))))/$B$10)))/$B$10))/$B$10)</x:f>
        <x:v>-8.597567102697212e-13</x:v>
      </x:c>
      <x:c r="F131" s="74" t="n">
        <x:f>E131</x:f>
        <x:v>-8.597567102697212e-13</x:v>
      </x:c>
      <x:c r="G131" s="74"/>
      <x:c r="H131" s="74" t="n">
        <x:v>53</x:v>
      </x:c>
      <x:c r="I131" s="74" t="n">
        <x:f>IF(M130&lt;0,K130,I130)</x:f>
        <x:v>0.5680576562671313</x:v>
      </x:c>
      <x:c r="J131" s="74" t="n">
        <x:f>IF(M130&lt;0,J130,K130)</x:f>
        <x:v>0.5680576562671674</x:v>
      </x:c>
      <x:c r="K131" s="74" t="n">
        <x:f>(I131+J131)/2</x:f>
        <x:v>0.5680576562671493</x:v>
      </x:c>
      <x:c r="L131" s="74" t="n">
        <x:f>$B$13+$B$14*SIN(RADIANS(K131+$B$15))+$B$9*SIN(RADIANS(K131+$B$15))*((1-EXP(-$B$10*(-LN(1-$B$10*($B$8/$B$12-$B$14*COS(RADIANS(K131+$B$15)))/($B$9*COS(RADIANS(K131+$B$15))))/$B$10)))/$B$10)-$B$11*(((-LN(1-$B$10*($B$8/$B$12-$B$14*COS(RADIANS(K131+$B$15)))/($B$9*COS(RADIANS(K131+$B$15))))/$B$10)-((1-EXP(-$B$10*(-LN(1-$B$10*($B$8/$B$12-$B$14*COS(RADIANS(K131+$B$15)))/($B$9*COS(RADIANS(K131+$B$15))))/$B$10)))/$B$10))/$B$10)</x:f>
        <x:v>0.9999999999988507</x:v>
      </x:c>
      <x:c r="M131" s="74" t="n">
        <x:f>L131-1</x:f>
        <x:v>-1.149302875091962e-12</x:v>
      </x:c>
    </x:row>
    <x:row r="132">
      <x:c r="A132" s="35" t="n">
        <x:v>54</x:v>
      </x:c>
      <x:c r="B132" s="74" t="n">
        <x:f>IF(F131&lt;0,D131,B131)</x:f>
        <x:v>0.4556202650245919</x:v>
      </x:c>
      <x:c r="C132" s="74" t="n">
        <x:f>IF(F131&lt;0,C131,D131)</x:f>
        <x:v>0.45562026502460995</x:v>
      </x:c>
      <x:c r="D132" s="74" t="n">
        <x:f>(B132+C132)/2</x:f>
        <x:v>0.45562026502460096</x:v>
      </x:c>
      <x:c r="E132" s="74" t="n">
        <x:f>$B$13+$B$14*SIN(RADIANS(D132+$B$15))+$B$9*SIN(RADIANS(D132+$B$15))*((1-EXP(-$B$10*(-LN(1-$B$10*($B$8/$B$12-$B$14*COS(RADIANS(D132+$B$15)))/($B$9*COS(RADIANS(D132+$B$15))))/$B$10)))/$B$10)-$B$11*(((-LN(1-$B$10*($B$8/$B$12-$B$14*COS(RADIANS(D132+$B$15)))/($B$9*COS(RADIANS(D132+$B$15))))/$B$10)-((1-EXP(-$B$10*(-LN(1-$B$10*($B$8/$B$12-$B$14*COS(RADIANS(D132+$B$15)))/($B$9*COS(RADIANS(D132+$B$15))))/$B$10)))/$B$10))/$B$10)</x:f>
        <x:v>-9.396927680427325e-13</x:v>
      </x:c>
      <x:c r="F132" s="74" t="n">
        <x:f>E132</x:f>
        <x:v>-9.396927680427325e-13</x:v>
      </x:c>
      <x:c r="G132" s="74"/>
      <x:c r="H132" s="74" t="n">
        <x:v>54</x:v>
      </x:c>
      <x:c r="I132" s="74" t="n">
        <x:f>IF(M131&lt;0,K131,I131)</x:f>
        <x:v>0.5680576562671493</x:v>
      </x:c>
      <x:c r="J132" s="74" t="n">
        <x:f>IF(M131&lt;0,J131,K131)</x:f>
        <x:v>0.5680576562671674</x:v>
      </x:c>
      <x:c r="K132" s="74" t="n">
        <x:f>(I132+J132)/2</x:f>
        <x:v>0.5680576562671584</x:v>
      </x:c>
      <x:c r="L132" s="74" t="n">
        <x:f>$B$13+$B$14*SIN(RADIANS(K132+$B$15))+$B$9*SIN(RADIANS(K132+$B$15))*((1-EXP(-$B$10*(-LN(1-$B$10*($B$8/$B$12-$B$14*COS(RADIANS(K132+$B$15)))/($B$9*COS(RADIANS(K132+$B$15))))/$B$10)))/$B$10)-$B$11*(((-LN(1-$B$10*($B$8/$B$12-$B$14*COS(RADIANS(K132+$B$15)))/($B$9*COS(RADIANS(K132+$B$15))))/$B$10)-((1-EXP(-$B$10*(-LN(1-$B$10*($B$8/$B$12-$B$14*COS(RADIANS(K132+$B$15)))/($B$9*COS(RADIANS(K132+$B$15))))/$B$10)))/$B$10))/$B$10)</x:f>
        <x:v>0.9999999999989306</x:v>
      </x:c>
      <x:c r="M132" s="74" t="n">
        <x:f>L132-1</x:f>
        <x:v>-1.0693668173189508e-12</x:v>
      </x:c>
    </x:row>
    <x:row r="133">
      <x:c r="A133" s="35" t="n">
        <x:v>55</x:v>
      </x:c>
      <x:c r="B133" s="74" t="n">
        <x:f>IF(F132&lt;0,D132,B132)</x:f>
        <x:v>0.4556202650245919</x:v>
      </x:c>
      <x:c r="C133" s="74" t="n">
        <x:f>IF(F132&lt;0,C132,D132)</x:f>
        <x:v>0.45562026502460096</x:v>
      </x:c>
      <x:c r="D133" s="74" t="n">
        <x:f>(B133+C133)/2</x:f>
        <x:v>0.4556202650245964</x:v>
      </x:c>
      <x:c r="E133" s="74" t="n">
        <x:f>$B$13+$B$14*SIN(RADIANS(D133+$B$15))+$B$9*SIN(RADIANS(D133+$B$15))*((1-EXP(-$B$10*(-LN(1-$B$10*($B$8/$B$12-$B$14*COS(RADIANS(D133+$B$15)))/($B$9*COS(RADIANS(D133+$B$15))))/$B$10)))/$B$10)-$B$11*(((-LN(1-$B$10*($B$8/$B$12-$B$14*COS(RADIANS(D133+$B$15)))/($B$9*COS(RADIANS(D133+$B$15))))/$B$10)-((1-EXP(-$B$10*(-LN(1-$B$10*($B$8/$B$12-$B$14*COS(RADIANS(D133+$B$15)))/($B$9*COS(RADIANS(D133+$B$15))))/$B$10)))/$B$10))/$B$10)</x:f>
        <x:v>-9.805489753489383e-13</x:v>
      </x:c>
      <x:c r="F133" s="74" t="n">
        <x:f>E133</x:f>
        <x:v>-9.805489753489383e-13</x:v>
      </x:c>
      <x:c r="G133" s="74"/>
      <x:c r="H133" s="74" t="n">
        <x:v>55</x:v>
      </x:c>
      <x:c r="I133" s="74" t="n">
        <x:f>IF(M132&lt;0,K132,I132)</x:f>
        <x:v>0.5680576562671584</x:v>
      </x:c>
      <x:c r="J133" s="74" t="n">
        <x:f>IF(M132&lt;0,J132,K132)</x:f>
        <x:v>0.5680576562671674</x:v>
      </x:c>
      <x:c r="K133" s="74" t="n">
        <x:f>(I133+J133)/2</x:f>
        <x:v>0.5680576562671629</x:v>
      </x:c>
      <x:c r="L133" s="74" t="n">
        <x:f>$B$13+$B$14*SIN(RADIANS(K133+$B$15))+$B$9*SIN(RADIANS(K133+$B$15))*((1-EXP(-$B$10*(-LN(1-$B$10*($B$8/$B$12-$B$14*COS(RADIANS(K133+$B$15)))/($B$9*COS(RADIANS(K133+$B$15))))/$B$10)))/$B$10)-$B$11*(((-LN(1-$B$10*($B$8/$B$12-$B$14*COS(RADIANS(K133+$B$15)))/($B$9*COS(RADIANS(K133+$B$15))))/$B$10)-((1-EXP(-$B$10*(-LN(1-$B$10*($B$8/$B$12-$B$14*COS(RADIANS(K133+$B$15)))/($B$9*COS(RADIANS(K133+$B$15))))/$B$10)))/$B$10))/$B$10)</x:f>
        <x:v>0.9999999999989715</x:v>
      </x:c>
      <x:c r="M133" s="74" t="n">
        <x:f>L133-1</x:f>
        <x:v>-1.028510610012745e-12</x:v>
      </x:c>
    </x:row>
    <x:row r="134">
      <x:c r="A134" s="35" t="n">
        <x:v>56</x:v>
      </x:c>
      <x:c r="B134" s="74" t="n">
        <x:f>IF(F133&lt;0,D133,B133)</x:f>
        <x:v>0.4556202650245919</x:v>
      </x:c>
      <x:c r="C134" s="74" t="n">
        <x:f>IF(F133&lt;0,C133,D133)</x:f>
        <x:v>0.4556202650245964</x:v>
      </x:c>
      <x:c r="D134" s="74" t="n">
        <x:f>(B134+C134)/2</x:f>
        <x:v>0.4556202650245942</x:v>
      </x:c>
      <x:c r="E134" s="74" t="n">
        <x:f>$B$13+$B$14*SIN(RADIANS(D134+$B$15))+$B$9*SIN(RADIANS(D134+$B$15))*((1-EXP(-$B$10*(-LN(1-$B$10*($B$8/$B$12-$B$14*COS(RADIANS(D134+$B$15)))/($B$9*COS(RADIANS(D134+$B$15))))/$B$10)))/$B$10)-$B$11*(((-LN(1-$B$10*($B$8/$B$12-$B$14*COS(RADIANS(D134+$B$15)))/($B$9*COS(RADIANS(D134+$B$15))))/$B$10)-((1-EXP(-$B$10*(-LN(1-$B$10*($B$8/$B$12-$B$14*COS(RADIANS(D134+$B$15)))/($B$9*COS(RADIANS(D134+$B$15))))/$B$10)))/$B$10))/$B$10)</x:f>
        <x:v>-1.000088900582341e-12</x:v>
      </x:c>
      <x:c r="F134" s="74" t="n">
        <x:f>E134</x:f>
        <x:v>-1.000088900582341e-12</x:v>
      </x:c>
      <x:c r="G134" s="74"/>
      <x:c r="H134" s="74" t="n">
        <x:v>56</x:v>
      </x:c>
      <x:c r="I134" s="74" t="n">
        <x:f>IF(M133&lt;0,K133,I133)</x:f>
        <x:v>0.5680576562671629</x:v>
      </x:c>
      <x:c r="J134" s="74" t="n">
        <x:f>IF(M133&lt;0,J133,K133)</x:f>
        <x:v>0.5680576562671674</x:v>
      </x:c>
      <x:c r="K134" s="74" t="n">
        <x:f>(I134+J134)/2</x:f>
        <x:v>0.5680576562671651</x:v>
      </x:c>
      <x:c r="L134" s="74" t="n">
        <x:f>$B$13+$B$14*SIN(RADIANS(K134+$B$15))+$B$9*SIN(RADIANS(K134+$B$15))*((1-EXP(-$B$10*(-LN(1-$B$10*($B$8/$B$12-$B$14*COS(RADIANS(K134+$B$15)))/($B$9*COS(RADIANS(K134+$B$15))))/$B$10)))/$B$10)-$B$11*(((-LN(1-$B$10*($B$8/$B$12-$B$14*COS(RADIANS(K134+$B$15)))/($B$9*COS(RADIANS(K134+$B$15))))/$B$10)-((1-EXP(-$B$10*(-LN(1-$B$10*($B$8/$B$12-$B$14*COS(RADIANS(K134+$B$15)))/($B$9*COS(RADIANS(K134+$B$15))))/$B$10)))/$B$10))/$B$10)</x:f>
        <x:v>0.9999999999989893</x:v>
      </x:c>
      <x:c r="M134" s="74" t="n">
        <x:f>L134-1</x:f>
        <x:v>-1.0107470416187425e-12</x:v>
      </x:c>
    </x:row>
    <x:row r="135">
      <x:c r="A135" s="35" t="n">
        <x:v>57</x:v>
      </x:c>
      <x:c r="B135" s="74" t="n">
        <x:f>IF(F134&lt;0,D134,B134)</x:f>
        <x:v>0.4556202650245942</x:v>
      </x:c>
      <x:c r="C135" s="74" t="n">
        <x:f>IF(F134&lt;0,C134,D134)</x:f>
        <x:v>0.4556202650245964</x:v>
      </x:c>
      <x:c r="D135" s="74" t="n">
        <x:f>(B135+C135)/2</x:f>
        <x:v>0.4556202650245953</x:v>
      </x:c>
      <x:c r="E135" s="74" t="n">
        <x:f>$B$13+$B$14*SIN(RADIANS(D135+$B$15))+$B$9*SIN(RADIANS(D135+$B$15))*((1-EXP(-$B$10*(-LN(1-$B$10*($B$8/$B$12-$B$14*COS(RADIANS(D135+$B$15)))/($B$9*COS(RADIANS(D135+$B$15))))/$B$10)))/$B$10)-$B$11*(((-LN(1-$B$10*($B$8/$B$12-$B$14*COS(RADIANS(D135+$B$15)))/($B$9*COS(RADIANS(D135+$B$15))))/$B$10)-((1-EXP(-$B$10*(-LN(1-$B$10*($B$8/$B$12-$B$14*COS(RADIANS(D135+$B$15)))/($B$9*COS(RADIANS(D135+$B$15))))/$B$10)))/$B$10))/$B$10)</x:f>
        <x:v>-9.894307595459395e-13</x:v>
      </x:c>
      <x:c r="F135" s="74" t="n">
        <x:f>E135</x:f>
        <x:v>-9.894307595459395e-13</x:v>
      </x:c>
      <x:c r="G135" s="74"/>
      <x:c r="H135" s="74" t="n">
        <x:v>57</x:v>
      </x:c>
      <x:c r="I135" s="74" t="n">
        <x:f>IF(M134&lt;0,K134,I134)</x:f>
        <x:v>0.5680576562671651</x:v>
      </x:c>
      <x:c r="J135" s="74" t="n">
        <x:f>IF(M134&lt;0,J134,K134)</x:f>
        <x:v>0.5680576562671674</x:v>
      </x:c>
      <x:c r="K135" s="74" t="n">
        <x:f>(I135+J135)/2</x:f>
        <x:v>0.5680576562671662</x:v>
      </x:c>
      <x:c r="L135" s="74" t="n">
        <x:f>$B$13+$B$14*SIN(RADIANS(K135+$B$15))+$B$9*SIN(RADIANS(K135+$B$15))*((1-EXP(-$B$10*(-LN(1-$B$10*($B$8/$B$12-$B$14*COS(RADIANS(K135+$B$15)))/($B$9*COS(RADIANS(K135+$B$15))))/$B$10)))/$B$10)-$B$11*(((-LN(1-$B$10*($B$8/$B$12-$B$14*COS(RADIANS(K135+$B$15)))/($B$9*COS(RADIANS(K135+$B$15))))/$B$10)-((1-EXP(-$B$10*(-LN(1-$B$10*($B$8/$B$12-$B$14*COS(RADIANS(K135+$B$15)))/($B$9*COS(RADIANS(K135+$B$15))))/$B$10)))/$B$10))/$B$10)</x:f>
        <x:v>0.9999999999989999</x:v>
      </x:c>
      <x:c r="M135" s="74" t="n">
        <x:f>L135-1</x:f>
        <x:v>-1.000088900582341e-12</x:v>
      </x:c>
    </x:row>
    <x:row r="136">
      <x:c r="A136" s="35" t="n">
        <x:v>58</x:v>
      </x:c>
      <x:c r="B136" s="74" t="n">
        <x:f>IF(F135&lt;0,D135,B135)</x:f>
        <x:v>0.4556202650245942</x:v>
      </x:c>
      <x:c r="C136" s="74" t="n">
        <x:f>IF(F135&lt;0,C135,D135)</x:f>
        <x:v>0.4556202650245953</x:v>
      </x:c>
      <x:c r="D136" s="74" t="n">
        <x:f>(B136+C136)/2</x:f>
        <x:v>0.45562026502459474</x:v>
      </x:c>
      <x:c r="E136" s="74" t="n">
        <x:f>$B$13+$B$14*SIN(RADIANS(D136+$B$15))+$B$9*SIN(RADIANS(D136+$B$15))*((1-EXP(-$B$10*(-LN(1-$B$10*($B$8/$B$12-$B$14*COS(RADIANS(D136+$B$15)))/($B$9*COS(RADIANS(D136+$B$15))))/$B$10)))/$B$10)-$B$11*(((-LN(1-$B$10*($B$8/$B$12-$B$14*COS(RADIANS(D136+$B$15)))/($B$9*COS(RADIANS(D136+$B$15))))/$B$10)-((1-EXP(-$B$10*(-LN(1-$B$10*($B$8/$B$12-$B$14*COS(RADIANS(D136+$B$15)))/($B$9*COS(RADIANS(D136+$B$15))))/$B$10)))/$B$10))/$B$10)</x:f>
        <x:v>-9.947598300641403e-13</x:v>
      </x:c>
      <x:c r="F136" s="74" t="n">
        <x:f>E136</x:f>
        <x:v>-9.947598300641403e-13</x:v>
      </x:c>
      <x:c r="G136" s="74"/>
      <x:c r="H136" s="74" t="n">
        <x:v>58</x:v>
      </x:c>
      <x:c r="I136" s="74" t="n">
        <x:f>IF(M135&lt;0,K135,I135)</x:f>
        <x:v>0.5680576562671662</x:v>
      </x:c>
      <x:c r="J136" s="74" t="n">
        <x:f>IF(M135&lt;0,J135,K135)</x:f>
        <x:v>0.5680576562671674</x:v>
      </x:c>
      <x:c r="K136" s="74" t="n">
        <x:f>(I136+J136)/2</x:f>
        <x:v>0.5680576562671669</x:v>
      </x:c>
      <x:c r="L136" s="74" t="n">
        <x:f>$B$13+$B$14*SIN(RADIANS(K136+$B$15))+$B$9*SIN(RADIANS(K136+$B$15))*((1-EXP(-$B$10*(-LN(1-$B$10*($B$8/$B$12-$B$14*COS(RADIANS(K136+$B$15)))/($B$9*COS(RADIANS(K136+$B$15))))/$B$10)))/$B$10)-$B$11*(((-LN(1-$B$10*($B$8/$B$12-$B$14*COS(RADIANS(K136+$B$15)))/($B$9*COS(RADIANS(K136+$B$15))))/$B$10)-((1-EXP(-$B$10*(-LN(1-$B$10*($B$8/$B$12-$B$14*COS(RADIANS(K136+$B$15)))/($B$9*COS(RADIANS(K136+$B$15))))/$B$10)))/$B$10))/$B$10)</x:f>
        <x:v>0.999999999999007</x:v>
      </x:c>
      <x:c r="M136" s="74" t="n">
        <x:f>L136-1</x:f>
        <x:v>-9.9298347322474e-13</x:v>
      </x:c>
    </x:row>
    <x:row r="137">
      <x:c r="A137" s="35" t="n">
        <x:v>59</x:v>
      </x:c>
      <x:c r="B137" s="74" t="n">
        <x:f>IF(F136&lt;0,D136,B136)</x:f>
        <x:v>0.4556202650245942</x:v>
      </x:c>
      <x:c r="C137" s="74" t="n">
        <x:f>IF(F136&lt;0,C136,D136)</x:f>
        <x:v>0.45562026502459474</x:v>
      </x:c>
      <x:c r="D137" s="74" t="n">
        <x:f>(B137+C137)/2</x:f>
        <x:v>0.45562026502459446</x:v>
      </x:c>
      <x:c r="E137" s="74" t="n">
        <x:f>$B$13+$B$14*SIN(RADIANS(D137+$B$15))+$B$9*SIN(RADIANS(D137+$B$15))*((1-EXP(-$B$10*(-LN(1-$B$10*($B$8/$B$12-$B$14*COS(RADIANS(D137+$B$15)))/($B$9*COS(RADIANS(D137+$B$15))))/$B$10)))/$B$10)-$B$11*(((-LN(1-$B$10*($B$8/$B$12-$B$14*COS(RADIANS(D137+$B$15)))/($B$9*COS(RADIANS(D137+$B$15))))/$B$10)-((1-EXP(-$B$10*(-LN(1-$B$10*($B$8/$B$12-$B$14*COS(RADIANS(D137+$B$15)))/($B$9*COS(RADIANS(D137+$B$15))))/$B$10)))/$B$10))/$B$10)</x:f>
        <x:v>-9.983125437429408e-13</x:v>
      </x:c>
      <x:c r="F137" s="74" t="n">
        <x:f>E137</x:f>
        <x:v>-9.983125437429408e-13</x:v>
      </x:c>
      <x:c r="G137" s="74"/>
      <x:c r="H137" s="74" t="n">
        <x:v>59</x:v>
      </x:c>
      <x:c r="I137" s="74" t="n">
        <x:f>IF(M136&lt;0,K136,I136)</x:f>
        <x:v>0.5680576562671662</x:v>
      </x:c>
      <x:c r="J137" s="74" t="n">
        <x:f>IF(M136&lt;0,J136,K136)</x:f>
        <x:v>0.5680576562671669</x:v>
      </x:c>
      <x:c r="K137" s="74" t="n">
        <x:f>(I137+J137)/2</x:f>
        <x:v>0.5680576562671665</x:v>
      </x:c>
      <x:c r="L137" s="74" t="n">
        <x:f>$B$13+$B$14*SIN(RADIANS(K137+$B$15))+$B$9*SIN(RADIANS(K137+$B$15))*((1-EXP(-$B$10*(-LN(1-$B$10*($B$8/$B$12-$B$14*COS(RADIANS(K137+$B$15)))/($B$9*COS(RADIANS(K137+$B$15))))/$B$10)))/$B$10)-$B$11*(((-LN(1-$B$10*($B$8/$B$12-$B$14*COS(RADIANS(K137+$B$15)))/($B$9*COS(RADIANS(K137+$B$15))))/$B$10)-((1-EXP(-$B$10*(-LN(1-$B$10*($B$8/$B$12-$B$14*COS(RADIANS(K137+$B$15)))/($B$9*COS(RADIANS(K137+$B$15))))/$B$10)))/$B$10))/$B$10)</x:f>
        <x:v>0.9999999999990017</x:v>
      </x:c>
      <x:c r="M137" s="74" t="n">
        <x:f>L137-1</x:f>
        <x:v>-9.983125437429408e-13</x:v>
      </x:c>
    </x:row>
    <x:row r="138">
      <x:c r="A138" s="35" t="n">
        <x:v>60</x:v>
      </x:c>
      <x:c r="B138" s="74" t="n">
        <x:f>IF(F137&lt;0,D137,B137)</x:f>
        <x:v>0.4556202650245942</x:v>
      </x:c>
      <x:c r="C138" s="74" t="n">
        <x:f>IF(F137&lt;0,C137,D137)</x:f>
        <x:v>0.45562026502459446</x:v>
      </x:c>
      <x:c r="D138" s="74" t="n">
        <x:f>(B138+C138)/2</x:f>
        <x:v>0.4556202650245943</x:v>
      </x:c>
      <x:c r="E138" s="74" t="n">
        <x:f>$B$13+$B$14*SIN(RADIANS(D138+$B$15))+$B$9*SIN(RADIANS(D138+$B$15))*((1-EXP(-$B$10*(-LN(1-$B$10*($B$8/$B$12-$B$14*COS(RADIANS(D138+$B$15)))/($B$9*COS(RADIANS(D138+$B$15))))/$B$10)))/$B$10)-$B$11*(((-LN(1-$B$10*($B$8/$B$12-$B$14*COS(RADIANS(D138+$B$15)))/($B$9*COS(RADIANS(D138+$B$15))))/$B$10)-((1-EXP(-$B$10*(-LN(1-$B$10*($B$8/$B$12-$B$14*COS(RADIANS(D138+$B$15)))/($B$9*COS(RADIANS(D138+$B$15))))/$B$10)))/$B$10))/$B$10)</x:f>
        <x:v>-1.000088900582341e-12</x:v>
      </x:c>
      <x:c r="F138" s="74" t="n">
        <x:f>E138</x:f>
        <x:v>-1.000088900582341e-12</x:v>
      </x:c>
      <x:c r="G138" s="74"/>
      <x:c r="H138" s="74" t="n">
        <x:v>60</x:v>
      </x:c>
      <x:c r="I138" s="74" t="n">
        <x:f>IF(M137&lt;0,K137,I137)</x:f>
        <x:v>0.5680576562671662</x:v>
      </x:c>
      <x:c r="J138" s="74" t="n">
        <x:f>IF(M137&lt;0,J137,K137)</x:f>
        <x:v>0.5680576562671665</x:v>
      </x:c>
      <x:c r="K138" s="74" t="n">
        <x:f>(I138+J138)/2</x:f>
        <x:v>0.5680576562671664</x:v>
      </x:c>
      <x:c r="L138" s="74" t="n">
        <x:f>$B$13+$B$14*SIN(RADIANS(K138+$B$15))+$B$9*SIN(RADIANS(K138+$B$15))*((1-EXP(-$B$10*(-LN(1-$B$10*($B$8/$B$12-$B$14*COS(RADIANS(K138+$B$15)))/($B$9*COS(RADIANS(K138+$B$15))))/$B$10)))/$B$10)-$B$11*(((-LN(1-$B$10*($B$8/$B$12-$B$14*COS(RADIANS(K138+$B$15)))/($B$9*COS(RADIANS(K138+$B$15))))/$B$10)-((1-EXP(-$B$10*(-LN(1-$B$10*($B$8/$B$12-$B$14*COS(RADIANS(K138+$B$15)))/($B$9*COS(RADIANS(K138+$B$15))))/$B$10)))/$B$10))/$B$10)</x:f>
        <x:v>0.9999999999990017</x:v>
      </x:c>
      <x:c r="M138" s="74" t="n">
        <x:f>L138-1</x:f>
        <x:v>-9.983125437429408e-13</x:v>
      </x:c>
    </x:row>
    <x:row r="139">
      <x:c r="A139" s="35" t="n">
        <x:v>61</x:v>
      </x:c>
      <x:c r="B139" s="74" t="n">
        <x:f>IF(F138&lt;0,D138,B138)</x:f>
        <x:v>0.4556202650245943</x:v>
      </x:c>
      <x:c r="C139" s="74" t="n">
        <x:f>IF(F138&lt;0,C138,D138)</x:f>
        <x:v>0.45562026502459446</x:v>
      </x:c>
      <x:c r="D139" s="74" t="n">
        <x:f>(B139+C139)/2</x:f>
        <x:v>0.4556202650245944</x:v>
      </x:c>
      <x:c r="E139" s="74" t="n">
        <x:f>$B$13+$B$14*SIN(RADIANS(D139+$B$15))+$B$9*SIN(RADIANS(D139+$B$15))*((1-EXP(-$B$10*(-LN(1-$B$10*($B$8/$B$12-$B$14*COS(RADIANS(D139+$B$15)))/($B$9*COS(RADIANS(D139+$B$15))))/$B$10)))/$B$10)-$B$11*(((-LN(1-$B$10*($B$8/$B$12-$B$14*COS(RADIANS(D139+$B$15)))/($B$9*COS(RADIANS(D139+$B$15))))/$B$10)-((1-EXP(-$B$10*(-LN(1-$B$10*($B$8/$B$12-$B$14*COS(RADIANS(D139+$B$15)))/($B$9*COS(RADIANS(D139+$B$15))))/$B$10)))/$B$10))/$B$10)</x:f>
        <x:v>-9.983125437429408e-13</x:v>
      </x:c>
      <x:c r="F139" s="74" t="n">
        <x:f>E139</x:f>
        <x:v>-9.983125437429408e-13</x:v>
      </x:c>
      <x:c r="G139" s="74"/>
      <x:c r="H139" s="74" t="n">
        <x:v>61</x:v>
      </x:c>
      <x:c r="I139" s="74" t="n">
        <x:f>IF(M138&lt;0,K138,I138)</x:f>
        <x:v>0.5680576562671662</x:v>
      </x:c>
      <x:c r="J139" s="74" t="n">
        <x:f>IF(M138&lt;0,J138,K138)</x:f>
        <x:v>0.5680576562671664</x:v>
      </x:c>
      <x:c r="K139" s="74" t="n">
        <x:f>(I139+J139)/2</x:f>
        <x:v>0.5680576562671663</x:v>
      </x:c>
      <x:c r="L139" s="74" t="n">
        <x:f>$B$13+$B$14*SIN(RADIANS(K139+$B$15))+$B$9*SIN(RADIANS(K139+$B$15))*((1-EXP(-$B$10*(-LN(1-$B$10*($B$8/$B$12-$B$14*COS(RADIANS(K139+$B$15)))/($B$9*COS(RADIANS(K139+$B$15))))/$B$10)))/$B$10)-$B$11*(((-LN(1-$B$10*($B$8/$B$12-$B$14*COS(RADIANS(K139+$B$15)))/($B$9*COS(RADIANS(K139+$B$15))))/$B$10)-((1-EXP(-$B$10*(-LN(1-$B$10*($B$8/$B$12-$B$14*COS(RADIANS(K139+$B$15)))/($B$9*COS(RADIANS(K139+$B$15))))/$B$10)))/$B$10))/$B$10)</x:f>
        <x:v>0.9999999999990017</x:v>
      </x:c>
      <x:c r="M139" s="74" t="n">
        <x:f>L139-1</x:f>
        <x:v>-9.983125437429408e-13</x:v>
      </x:c>
    </x:row>
    <x:row r="140">
      <x:c r="A140" s="35" t="n">
        <x:v>62</x:v>
      </x:c>
      <x:c r="B140" s="74" t="n">
        <x:f>IF(F139&lt;0,D139,B139)</x:f>
        <x:v>0.4556202650245943</x:v>
      </x:c>
      <x:c r="C140" s="74" t="n">
        <x:f>IF(F139&lt;0,C139,D139)</x:f>
        <x:v>0.4556202650245944</x:v>
      </x:c>
      <x:c r="D140" s="74" t="n">
        <x:f>(B140+C140)/2</x:f>
        <x:v>0.45562026502459435</x:v>
      </x:c>
      <x:c r="E140" s="74" t="n">
        <x:f>$B$13+$B$14*SIN(RADIANS(D140+$B$15))+$B$9*SIN(RADIANS(D140+$B$15))*((1-EXP(-$B$10*(-LN(1-$B$10*($B$8/$B$12-$B$14*COS(RADIANS(D140+$B$15)))/($B$9*COS(RADIANS(D140+$B$15))))/$B$10)))/$B$10)-$B$11*(((-LN(1-$B$10*($B$8/$B$12-$B$14*COS(RADIANS(D140+$B$15)))/($B$9*COS(RADIANS(D140+$B$15))))/$B$10)-((1-EXP(-$B$10*(-LN(1-$B$10*($B$8/$B$12-$B$14*COS(RADIANS(D140+$B$15)))/($B$9*COS(RADIANS(D140+$B$15))))/$B$10)))/$B$10))/$B$10)</x:f>
        <x:v>-9.983125437429408e-13</x:v>
      </x:c>
      <x:c r="F140" s="74" t="n">
        <x:f>E140</x:f>
        <x:v>-9.983125437429408e-13</x:v>
      </x:c>
      <x:c r="G140" s="74"/>
      <x:c r="H140" s="74" t="n">
        <x:v>62</x:v>
      </x:c>
      <x:c r="I140" s="74" t="n">
        <x:f>IF(M139&lt;0,K139,I139)</x:f>
        <x:v>0.5680576562671662</x:v>
      </x:c>
      <x:c r="J140" s="74" t="n">
        <x:f>IF(M139&lt;0,J139,K139)</x:f>
        <x:v>0.5680576562671663</x:v>
      </x:c>
      <x:c r="K140" s="74" t="n">
        <x:f>(I140+J140)/2</x:f>
        <x:v>0.5680576562671662</x:v>
      </x:c>
      <x:c r="L140" s="74" t="n">
        <x:f>$B$13+$B$14*SIN(RADIANS(K140+$B$15))+$B$9*SIN(RADIANS(K140+$B$15))*((1-EXP(-$B$10*(-LN(1-$B$10*($B$8/$B$12-$B$14*COS(RADIANS(K140+$B$15)))/($B$9*COS(RADIANS(K140+$B$15))))/$B$10)))/$B$10)-$B$11*(((-LN(1-$B$10*($B$8/$B$12-$B$14*COS(RADIANS(K140+$B$15)))/($B$9*COS(RADIANS(K140+$B$15))))/$B$10)-((1-EXP(-$B$10*(-LN(1-$B$10*($B$8/$B$12-$B$14*COS(RADIANS(K140+$B$15)))/($B$9*COS(RADIANS(K140+$B$15))))/$B$10)))/$B$10))/$B$10)</x:f>
        <x:v>0.9999999999989999</x:v>
      </x:c>
      <x:c r="M140" s="74" t="n">
        <x:f>L140-1</x:f>
        <x:v>-1.000088900582341e-12</x:v>
      </x:c>
    </x:row>
    <x:row r="141">
      <x:c r="A141" s="35" t="n">
        <x:v>63</x:v>
      </x:c>
      <x:c r="B141" s="74" t="n">
        <x:f>IF(F140&lt;0,D140,B140)</x:f>
        <x:v>0.4556202650245943</x:v>
      </x:c>
      <x:c r="C141" s="74" t="n">
        <x:f>IF(F140&lt;0,C140,D140)</x:f>
        <x:v>0.45562026502459435</x:v>
      </x:c>
      <x:c r="D141" s="74" t="n">
        <x:f>(B141+C141)/2</x:f>
        <x:v>0.4556202650245943</x:v>
      </x:c>
      <x:c r="E141" s="74" t="n">
        <x:f>$B$13+$B$14*SIN(RADIANS(D141+$B$15))+$B$9*SIN(RADIANS(D141+$B$15))*((1-EXP(-$B$10*(-LN(1-$B$10*($B$8/$B$12-$B$14*COS(RADIANS(D141+$B$15)))/($B$9*COS(RADIANS(D141+$B$15))))/$B$10)))/$B$10)-$B$11*(((-LN(1-$B$10*($B$8/$B$12-$B$14*COS(RADIANS(D141+$B$15)))/($B$9*COS(RADIANS(D141+$B$15))))/$B$10)-((1-EXP(-$B$10*(-LN(1-$B$10*($B$8/$B$12-$B$14*COS(RADIANS(D141+$B$15)))/($B$9*COS(RADIANS(D141+$B$15))))/$B$10)))/$B$10))/$B$10)</x:f>
        <x:v>-1.000088900582341e-12</x:v>
      </x:c>
      <x:c r="F141" s="74" t="n">
        <x:f>E141</x:f>
        <x:v>-1.000088900582341e-12</x:v>
      </x:c>
      <x:c r="G141" s="74"/>
      <x:c r="H141" s="74" t="n">
        <x:v>63</x:v>
      </x:c>
      <x:c r="I141" s="74" t="n">
        <x:f>IF(M140&lt;0,K140,I140)</x:f>
        <x:v>0.5680576562671662</x:v>
      </x:c>
      <x:c r="J141" s="74" t="n">
        <x:f>IF(M140&lt;0,J140,K140)</x:f>
        <x:v>0.5680576562671663</x:v>
      </x:c>
      <x:c r="K141" s="74" t="n">
        <x:f>(I141+J141)/2</x:f>
        <x:v>0.5680576562671662</x:v>
      </x:c>
      <x:c r="L141" s="74" t="n">
        <x:f>$B$13+$B$14*SIN(RADIANS(K141+$B$15))+$B$9*SIN(RADIANS(K141+$B$15))*((1-EXP(-$B$10*(-LN(1-$B$10*($B$8/$B$12-$B$14*COS(RADIANS(K141+$B$15)))/($B$9*COS(RADIANS(K141+$B$15))))/$B$10)))/$B$10)-$B$11*(((-LN(1-$B$10*($B$8/$B$12-$B$14*COS(RADIANS(K141+$B$15)))/($B$9*COS(RADIANS(K141+$B$15))))/$B$10)-((1-EXP(-$B$10*(-LN(1-$B$10*($B$8/$B$12-$B$14*COS(RADIANS(K141+$B$15)))/($B$9*COS(RADIANS(K141+$B$15))))/$B$10)))/$B$10))/$B$10)</x:f>
        <x:v>0.9999999999989999</x:v>
      </x:c>
      <x:c r="M141" s="74" t="n">
        <x:f>L141-1</x:f>
        <x:v>-1.000088900582341e-12</x:v>
      </x:c>
    </x:row>
    <x:row r="142">
      <x:c r="A142" s="35" t="n">
        <x:v>64</x:v>
      </x:c>
      <x:c r="B142" s="74" t="n">
        <x:f>IF(F141&lt;0,D141,B141)</x:f>
        <x:v>0.4556202650245943</x:v>
      </x:c>
      <x:c r="C142" s="74" t="n">
        <x:f>IF(F141&lt;0,C141,D141)</x:f>
        <x:v>0.45562026502459435</x:v>
      </x:c>
      <x:c r="D142" s="74" t="n">
        <x:f>(B142+C142)/2</x:f>
        <x:v>0.4556202650245943</x:v>
      </x:c>
      <x:c r="E142" s="74" t="n">
        <x:f>$B$13+$B$14*SIN(RADIANS(D142+$B$15))+$B$9*SIN(RADIANS(D142+$B$15))*((1-EXP(-$B$10*(-LN(1-$B$10*($B$8/$B$12-$B$14*COS(RADIANS(D142+$B$15)))/($B$9*COS(RADIANS(D142+$B$15))))/$B$10)))/$B$10)-$B$11*(((-LN(1-$B$10*($B$8/$B$12-$B$14*COS(RADIANS(D142+$B$15)))/($B$9*COS(RADIANS(D142+$B$15))))/$B$10)-((1-EXP(-$B$10*(-LN(1-$B$10*($B$8/$B$12-$B$14*COS(RADIANS(D142+$B$15)))/($B$9*COS(RADIANS(D142+$B$15))))/$B$10)))/$B$10))/$B$10)</x:f>
        <x:v>-1.000088900582341e-12</x:v>
      </x:c>
      <x:c r="F142" s="74" t="n">
        <x:f>E142</x:f>
        <x:v>-1.000088900582341e-12</x:v>
      </x:c>
      <x:c r="G142" s="74"/>
      <x:c r="H142" s="74" t="n">
        <x:v>64</x:v>
      </x:c>
      <x:c r="I142" s="74" t="n">
        <x:f>IF(M141&lt;0,K141,I141)</x:f>
        <x:v>0.5680576562671662</x:v>
      </x:c>
      <x:c r="J142" s="74" t="n">
        <x:f>IF(M141&lt;0,J141,K141)</x:f>
        <x:v>0.5680576562671663</x:v>
      </x:c>
      <x:c r="K142" s="74" t="n">
        <x:f>(I142+J142)/2</x:f>
        <x:v>0.5680576562671662</x:v>
      </x:c>
      <x:c r="L142" s="74" t="n">
        <x:f>$B$13+$B$14*SIN(RADIANS(K142+$B$15))+$B$9*SIN(RADIANS(K142+$B$15))*((1-EXP(-$B$10*(-LN(1-$B$10*($B$8/$B$12-$B$14*COS(RADIANS(K142+$B$15)))/($B$9*COS(RADIANS(K142+$B$15))))/$B$10)))/$B$10)-$B$11*(((-LN(1-$B$10*($B$8/$B$12-$B$14*COS(RADIANS(K142+$B$15)))/($B$9*COS(RADIANS(K142+$B$15))))/$B$10)-((1-EXP(-$B$10*(-LN(1-$B$10*($B$8/$B$12-$B$14*COS(RADIANS(K142+$B$15)))/($B$9*COS(RADIANS(K142+$B$15))))/$B$10)))/$B$10))/$B$10)</x:f>
        <x:v>0.9999999999989999</x:v>
      </x:c>
      <x:c r="M142" s="74" t="n">
        <x:f>L142-1</x:f>
        <x:v>-1.000088900582341e-12</x:v>
      </x:c>
    </x:row>
    <x:row r="143">
      <x:c r="A143" s="35" t="n">
        <x:v>65</x:v>
      </x:c>
      <x:c r="B143" s="74" t="n">
        <x:f>IF(F142&lt;0,D142,B142)</x:f>
        <x:v>0.4556202650245943</x:v>
      </x:c>
      <x:c r="C143" s="74" t="n">
        <x:f>IF(F142&lt;0,C142,D142)</x:f>
        <x:v>0.45562026502459435</x:v>
      </x:c>
      <x:c r="D143" s="74" t="n">
        <x:f>(B143+C143)/2</x:f>
        <x:v>0.4556202650245943</x:v>
      </x:c>
      <x:c r="E143" s="74" t="n">
        <x:f>$B$13+$B$14*SIN(RADIANS(D143+$B$15))+$B$9*SIN(RADIANS(D143+$B$15))*((1-EXP(-$B$10*(-LN(1-$B$10*($B$8/$B$12-$B$14*COS(RADIANS(D143+$B$15)))/($B$9*COS(RADIANS(D143+$B$15))))/$B$10)))/$B$10)-$B$11*(((-LN(1-$B$10*($B$8/$B$12-$B$14*COS(RADIANS(D143+$B$15)))/($B$9*COS(RADIANS(D143+$B$15))))/$B$10)-((1-EXP(-$B$10*(-LN(1-$B$10*($B$8/$B$12-$B$14*COS(RADIANS(D143+$B$15)))/($B$9*COS(RADIANS(D143+$B$15))))/$B$10)))/$B$10))/$B$10)</x:f>
        <x:v>-1.000088900582341e-12</x:v>
      </x:c>
      <x:c r="F143" s="74" t="n">
        <x:f>E143</x:f>
        <x:v>-1.000088900582341e-12</x:v>
      </x:c>
      <x:c r="G143" s="74"/>
      <x:c r="H143" s="74" t="n">
        <x:v>65</x:v>
      </x:c>
      <x:c r="I143" s="74" t="n">
        <x:f>IF(M142&lt;0,K142,I142)</x:f>
        <x:v>0.5680576562671662</x:v>
      </x:c>
      <x:c r="J143" s="74" t="n">
        <x:f>IF(M142&lt;0,J142,K142)</x:f>
        <x:v>0.5680576562671663</x:v>
      </x:c>
      <x:c r="K143" s="74" t="n">
        <x:f>(I143+J143)/2</x:f>
        <x:v>0.5680576562671662</x:v>
      </x:c>
      <x:c r="L143" s="74" t="n">
        <x:f>$B$13+$B$14*SIN(RADIANS(K143+$B$15))+$B$9*SIN(RADIANS(K143+$B$15))*((1-EXP(-$B$10*(-LN(1-$B$10*($B$8/$B$12-$B$14*COS(RADIANS(K143+$B$15)))/($B$9*COS(RADIANS(K143+$B$15))))/$B$10)))/$B$10)-$B$11*(((-LN(1-$B$10*($B$8/$B$12-$B$14*COS(RADIANS(K143+$B$15)))/($B$9*COS(RADIANS(K143+$B$15))))/$B$10)-((1-EXP(-$B$10*(-LN(1-$B$10*($B$8/$B$12-$B$14*COS(RADIANS(K143+$B$15)))/($B$9*COS(RADIANS(K143+$B$15))))/$B$10)))/$B$10))/$B$10)</x:f>
        <x:v>0.9999999999989999</x:v>
      </x:c>
      <x:c r="M143" s="74" t="n">
        <x:f>L143-1</x:f>
        <x:v>-1.000088900582341e-12</x:v>
      </x:c>
    </x:row>
    <x:row r="144">
      <x:c r="A144" s="35"/>
      <x:c r="B144" s="74"/>
      <x:c r="C144" s="74"/>
      <x:c r="D144" s="74"/>
      <x:c r="E144" s="74"/>
      <x:c r="F144" s="74"/>
      <x:c r="G144" s="74"/>
      <x:c r="H144" s="74"/>
      <x:c r="I144" s="74"/>
      <x:c r="J144" s="74"/>
      <x:c r="K144" s="74"/>
      <x:c r="L144" s="74"/>
      <x:c r="M144" s="74"/>
    </x:row>
    <x:row r="145">
      <x:c r="A145" s="35"/>
      <x:c r="B145" s="74"/>
      <x:c r="C145" s="74"/>
      <x:c r="D145" s="74"/>
      <x:c r="E145" s="74"/>
      <x:c r="F145" s="74"/>
      <x:c r="G145" s="74"/>
      <x:c r="H145" s="74"/>
      <x:c r="I145" s="74"/>
      <x:c r="J145" s="74"/>
      <x:c r="K145" s="74"/>
      <x:c r="L145" s="74"/>
      <x:c r="M145" s="74"/>
    </x:row>
    <x:row r="146">
      <x:c r="A146" s="35"/>
      <x:c r="B146" s="74"/>
      <x:c r="C146" s="74"/>
      <x:c r="D146" s="74"/>
      <x:c r="E146" s="74"/>
      <x:c r="F146" s="74"/>
      <x:c r="G146" s="74"/>
      <x:c r="H146" s="74"/>
      <x:c r="I146" s="74"/>
      <x:c r="J146" s="74"/>
      <x:c r="K146" s="74"/>
      <x:c r="L146" s="74"/>
      <x:c r="M146" s="74"/>
    </x:row>
    <x:row r="147">
      <x:c r="A147" s="72" t="str">
        <x:v>Ground lower-bound height</x:v>
      </x:c>
      <x:c r="B147" s="76" t="n">
        <x:f>$B$13+$B$14*SIN(RADIANS($B$18+$B$15))+$B$9*SIN(RADIANS($B$18+$B$15))*((1-EXP(-$B$10*(-LN(1-$B$10*($B$8/$B$12-$B$14*COS(RADIANS($B$18+$B$15)))/($B$9*COS(RADIANS($B$18+$B$15))))/$B$10)))/$B$10)-$B$11*(((-LN(1-$B$10*($B$8/$B$12-$B$14*COS(RADIANS($B$18+$B$15)))/($B$9*COS(RADIANS($B$18+$B$15))))/$B$10)-((1-EXP(-$B$10*(-LN(1-$B$10*($B$8/$B$12-$B$14*COS(RADIANS($B$18+$B$15)))/($B$9*COS(RADIANS($B$18+$B$15))))/$B$10)))/$B$10))/$B$10)</x:f>
        <x:v>-21405.209039396083</x:v>
      </x:c>
      <x:c r="C147" s="74"/>
      <x:c r="D147" s="74"/>
      <x:c r="E147" s="74"/>
      <x:c r="F147" s="74"/>
      <x:c r="G147" s="76" t="str">
        <x:v>Airburst lower-bound height</x:v>
      </x:c>
      <x:c r="H147" s="76" t="n">
        <x:f>$B$13+$B$14*SIN(RADIANS($B$18+$B$15))+$B$9*SIN(RADIANS($B$18+$B$15))*((1-EXP(-$B$10*(-LN(1-$B$10*($B$8/$B$12-$B$14*COS(RADIANS($B$18+$B$15)))/($B$9*COS(RADIANS($B$18+$B$15))))/$B$10)))/$B$10)-$B$11*(((-LN(1-$B$10*($B$8/$B$12-$B$14*COS(RADIANS($B$18+$B$15)))/($B$9*COS(RADIANS($B$18+$B$15))))/$B$10)-((1-EXP(-$B$10*(-LN(1-$B$10*($B$8/$B$12-$B$14*COS(RADIANS($B$18+$B$15)))/($B$9*COS(RADIANS($B$18+$B$15))))/$B$10)))/$B$10))/$B$10)</x:f>
        <x:v>-21405.209039396083</x:v>
      </x:c>
      <x:c r="I147" s="74"/>
      <x:c r="J147" s="74"/>
      <x:c r="K147" s="74"/>
      <x:c r="L147" s="74"/>
      <x:c r="M147" s="74"/>
    </x:row>
    <x:row r="148">
      <x:c r="A148" s="72" t="str">
        <x:v>Ground fuze</x:v>
      </x:c>
      <x:c r="B148" s="76" t="n">
        <x:f>-LN(1-$B$10*($B$8/$B$12-$B$14*COS(RADIANS((($B$143+$C$143)/2)+$B$15)))/($B$9*COS(RADIANS((($B$143+$C$143)/2)+$B$15))))/$B$10</x:f>
        <x:v>1.4826218189923157</x:v>
      </x:c>
      <x:c r="C148" s="74"/>
      <x:c r="D148" s="74"/>
      <x:c r="E148" s="74"/>
      <x:c r="F148" s="74"/>
      <x:c r="G148" s="76" t="str">
        <x:v>Airburst fuze</x:v>
      </x:c>
      <x:c r="H148" s="76" t="n">
        <x:f>-LN(1-$B$10*($B$8/$B$12-$B$14*COS(RADIANS((($I$143+$J$143)/2)+$B$15)))/($B$9*COS(RADIANS((($I$143+$J$143)/2)+$B$15))))/$B$10</x:f>
        <x:v>1.4826761167067841</x:v>
      </x:c>
      <x:c r="I148" s="74"/>
      <x:c r="J148" s="74"/>
      <x:c r="K148" s="74"/>
      <x:c r="L148" s="74"/>
      <x:c r="M148" s="7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D6E4F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48" hidden="0" customWidth="1"/>
    <x:col min="2" max="2" width="55" hidden="0" customWidth="1"/>
    <x:col min="3" max="3" width="13" hidden="0" customWidth="1"/>
    <x:col min="4" max="4" width="13" hidden="0" customWidth="1"/>
    <x:col min="5" max="5" width="4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1" hidden="0" customWidth="1"/>
    <x:col min="12" max="12" width="70" hidden="0" customWidth="1"/>
    <x:col min="13" max="13" width="55" hidden="0" customWidth="1"/>
    <x:col min="14" max="14" width="13" hidden="0" customWidth="1"/>
    <x:col min="15" max="15" width="13" hidden="0" customWidth="1"/>
    <x:col min="16" max="16" width="15" hidden="0" customWidth="1"/>
    <x:col min="17" max="17" width="15" hidden="0" customWidth="1"/>
    <x:col min="18" max="18" width="15" hidden="0" customWidth="1"/>
    <x:col min="19" max="19" width="3" hidden="0" customWidth="1"/>
    <x:col min="20" max="20" width="48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</x:cols>
  <x:sheetData>
    <x:row r="1">
      <x:c r="A1" s="35"/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  <x:c r="AA1" s="35"/>
    </x:row>
    <x:row r="2">
      <x:c r="A2" s="1" t="str">
        <x:v>Map points and selection lists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35"/>
    </x:row>
    <x:row r="3">
      <x:c r="A3" s="119" t="str">
        <x:v>Source: worCalc map catalog, compiled map entities, and extracted gun spawns. Project state as of September 18, 2026.</x:v>
      </x:c>
      <x:c r="B3" s="119"/>
      <x:c r="C3" s="119"/>
      <x:c r="D3" s="119"/>
      <x:c r="E3" s="119"/>
      <x:c r="F3" s="119"/>
      <x:c r="G3" s="119"/>
      <x:c r="H3" s="119"/>
      <x:c r="I3" s="119"/>
      <x:c r="J3" s="119"/>
      <x:c r="K3" s="119"/>
      <x:c r="L3" s="119"/>
      <x:c r="M3" s="119"/>
      <x:c r="N3" s="119"/>
      <x:c r="O3" s="119"/>
      <x:c r="P3" s="119"/>
      <x:c r="Q3" s="119"/>
      <x:c r="R3" s="119"/>
      <x:c r="S3" s="119"/>
      <x:c r="T3" s="119"/>
      <x:c r="U3" s="119"/>
      <x:c r="V3" s="119"/>
      <x:c r="W3" s="119"/>
      <x:c r="X3" s="119"/>
      <x:c r="Y3" s="119"/>
      <x:c r="Z3" s="119"/>
      <x:c r="AA3" s="35"/>
    </x:row>
    <x:row r="4">
      <x:c r="A4" s="36"/>
      <x:c r="B4" s="36"/>
      <x:c r="C4" s="36"/>
      <x:c r="D4" s="36"/>
      <x:c r="E4" s="36"/>
      <x:c r="F4" s="36"/>
      <x:c r="G4" s="36"/>
      <x:c r="H4" s="36"/>
      <x:c r="I4" s="36"/>
      <x:c r="J4" s="36"/>
      <x:c r="K4" s="36"/>
      <x:c r="L4" s="36"/>
      <x:c r="M4" s="36"/>
      <x:c r="N4" s="36"/>
      <x:c r="O4" s="36"/>
      <x:c r="P4" s="36"/>
      <x:c r="Q4" s="36"/>
      <x:c r="R4" s="36"/>
      <x:c r="S4" s="36"/>
      <x:c r="T4" s="36"/>
      <x:c r="U4" s="36"/>
      <x:c r="V4" s="36"/>
      <x:c r="W4" s="36"/>
      <x:c r="X4" s="36"/>
      <x:c r="Y4" s="36"/>
      <x:c r="Z4" s="36"/>
      <x:c r="AA4" s="35"/>
    </x:row>
    <x:row r="5" ht="32" customHeight="1">
      <x:c r="A5" s="123" t="str">
        <x:v>Map selector</x:v>
      </x:c>
      <x:c r="B5" s="123" t="str">
        <x:v>Point selector</x:v>
      </x:c>
      <x:c r="C5" s="123" t="str">
        <x:v>Kind</x:v>
      </x:c>
      <x:c r="D5" s="123" t="str">
        <x:v>Faction</x:v>
      </x:c>
      <x:c r="E5" s="123" t="str">
        <x:v>Internal name</x:v>
      </x:c>
      <x:c r="F5" s="123" t="str">
        <x:v>World X (m)</x:v>
      </x:c>
      <x:c r="G5" s="123" t="str">
        <x:v>World Y (m)</x:v>
      </x:c>
      <x:c r="H5" s="123" t="str">
        <x:v>Elevation (m)</x:v>
      </x:c>
      <x:c r="I5" s="123" t="str">
        <x:v>Pixel X</x:v>
      </x:c>
      <x:c r="J5" s="123" t="str">
        <x:v>Pixel Y</x:v>
      </x:c>
      <x:c r="K5" s="123" t="str">
        <x:v>Map ID</x:v>
      </x:c>
      <x:c r="L5" s="123" t="str">
        <x:v>Lookup key</x:v>
      </x:c>
      <x:c r="M5" s="123" t="str">
        <x:v>Selected-map point</x:v>
      </x:c>
      <x:c r="N5" s="123" t="str">
        <x:v>Kind</x:v>
      </x:c>
      <x:c r="O5" s="123" t="str">
        <x:v>Faction</x:v>
      </x:c>
      <x:c r="P5" s="123" t="str">
        <x:v>World X (m)</x:v>
      </x:c>
      <x:c r="Q5" s="123" t="str">
        <x:v>World Y (m)</x:v>
      </x:c>
      <x:c r="R5" s="123" t="str">
        <x:v>Elevation (m)</x:v>
      </x:c>
      <x:c r="S5" s="35"/>
      <x:c r="T5" s="123" t="str">
        <x:v>Map selector</x:v>
      </x:c>
      <x:c r="U5" s="123" t="str">
        <x:v>Map ID</x:v>
      </x:c>
      <x:c r="V5" s="123" t="str">
        <x:v>Battlefield</x:v>
      </x:c>
      <x:c r="W5" s="123" t="str">
        <x:v>Mode</x:v>
      </x:c>
      <x:c r="X5" s="123" t="str">
        <x:v>Map name</x:v>
      </x:c>
      <x:c r="Y5" s="123" t="str">
        <x:v>Layer</x:v>
      </x:c>
      <x:c r="Z5" s="123" t="str">
        <x:v>Point count</x:v>
      </x:c>
      <x:c r="AA5" s="123" t="str">
        <x:v>Point start</x:v>
      </x:c>
    </x:row>
    <x:row r="6">
      <x:c r="A6" s="132" t="str">
        <x:v>Antietam | Conquest | Smokestacks</x:v>
      </x:c>
      <x:c r="B6" s="132" t="str">
        <x:v>Spawn | USA CQ1_Spawnpoint_USA_Infantry_1 [map-1/001]</x:v>
      </x:c>
      <x:c r="C6" s="132" t="str">
        <x:v>spawn</x:v>
      </x:c>
      <x:c r="D6" s="132" t="str">
        <x:v>USA</x:v>
      </x:c>
      <x:c r="E6" s="132" t="str">
        <x:v>CQ1_Spawnpoint_USA_Infantry_1</x:v>
      </x:c>
      <x:c r="F6" s="133" t="n">
        <x:v>1528.3228759765625</x:v>
      </x:c>
      <x:c r="G6" s="133" t="n">
        <x:v>2374.1455078125</x:v>
      </x:c>
      <x:c r="H6" s="133" t="n">
        <x:v>60.9242057800293</x:v>
      </x:c>
      <x:c r="I6" s="133" t="n">
        <x:v>1150.95803660246</x:v>
      </x:c>
      <x:c r="J6" s="133" t="n">
        <x:v>824.8726645348191</x:v>
      </x:c>
      <x:c r="K6" s="132" t="str">
        <x:v>map-1</x:v>
      </x:c>
      <x:c r="L6" s="132" t="str">
        <x:v>Antietam | Conquest | Smokestacks||Spawn | USA CQ1_Spawnpoint_USA_Infantry_1 [map-1/001]</x:v>
      </x:c>
      <x:c r="M6" s="134" t="str">
        <x:f>IF(ROW(A1)&lt;=COUNTIF($A$6:$A$2148,'Calculator'!$B$9),INDEX($B$6:$B$2148,SUMIF($T$6:$T$104,'Calculator'!$B$9,$AA$6:$AA$104)+ROW(A1)-1),"")</x:f>
        <x:v>Spawn | USA CQ1_Spawnpoint_USA_Infantry_1 [map-1/001]</x:v>
      </x:c>
      <x:c r="N6" s="134" t="str">
        <x:f>IF(ROW(A1)&lt;=COUNTIF($A$6:$A$2148,'Calculator'!$B$9),INDEX($C$6:$C$2148,SUMIF($T$6:$T$104,'Calculator'!$B$9,$AA$6:$AA$104)+ROW(A1)-1),"")</x:f>
        <x:v>spawn</x:v>
      </x:c>
      <x:c r="O6" s="134" t="str">
        <x:f>IF(ROW(A1)&lt;=COUNTIF($A$6:$A$2148,'Calculator'!$B$9),INDEX($D$6:$D$2148,SUMIF($T$6:$T$104,'Calculator'!$B$9,$AA$6:$AA$104)+ROW(A1)-1),"")</x:f>
        <x:v>USA</x:v>
      </x:c>
      <x:c r="P6" s="135" t="n">
        <x:f>IF(ROW(A1)&lt;=COUNTIF($A$6:$A$2148,'Calculator'!$B$9),INDEX($F$6:$F$2148,SUMIF($T$6:$T$104,'Calculator'!$B$9,$AA$6:$AA$104)+ROW(A1)-1),"")</x:f>
        <x:v>1528.3228759765625</x:v>
      </x:c>
      <x:c r="Q6" s="135" t="n">
        <x:f>IF(ROW(A1)&lt;=COUNTIF($A$6:$A$2148,'Calculator'!$B$9),INDEX($G$6:$G$2148,SUMIF($T$6:$T$104,'Calculator'!$B$9,$AA$6:$AA$104)+ROW(A1)-1),"")</x:f>
        <x:v>2374.1455078125</x:v>
      </x:c>
      <x:c r="R6" s="135" t="n">
        <x:f>IF(ROW(A1)&lt;=COUNTIF($A$6:$A$2148,'Calculator'!$B$9),INDEX($H$6:$H$2148,SUMIF($T$6:$T$104,'Calculator'!$B$9,$AA$6:$AA$104)+ROW(A1)-1),"")</x:f>
        <x:v>60.9242057800293</x:v>
      </x:c>
      <x:c r="S6" s="35"/>
      <x:c r="T6" s="132" t="str">
        <x:v>Antietam | Conquest | Smokestacks</x:v>
      </x:c>
      <x:c r="U6" s="132" t="str">
        <x:v>map-1</x:v>
      </x:c>
      <x:c r="V6" s="132" t="str">
        <x:v>Antietam</x:v>
      </x:c>
      <x:c r="W6" s="132" t="str">
        <x:v>Conquest</x:v>
      </x:c>
      <x:c r="X6" s="132" t="str">
        <x:v>Smokestacks</x:v>
      </x:c>
      <x:c r="Y6" s="132" t="str">
        <x:v>Conquest_1</x:v>
      </x:c>
      <x:c r="Z6" s="132" t="n">
        <x:v>25</x:v>
      </x:c>
      <x:c r="AA6" s="132" t="n">
        <x:v>1</x:v>
      </x:c>
    </x:row>
    <x:row r="7">
      <x:c r="A7" s="136" t="str">
        <x:v>Antietam | Conquest | Smokestacks</x:v>
      </x:c>
      <x:c r="B7" s="136" t="str">
        <x:v>Artillery | USA CQ1_Spawnpoint_USA_Artillery_Forward [map-1/002]</x:v>
      </x:c>
      <x:c r="C7" s="136" t="str">
        <x:v>battery</x:v>
      </x:c>
      <x:c r="D7" s="136" t="str">
        <x:v>USA</x:v>
      </x:c>
      <x:c r="E7" s="136" t="str">
        <x:v>CQ1_Spawnpoint_USA_Artillery_Forward</x:v>
      </x:c>
      <x:c r="F7" s="137" t="n">
        <x:v>1286.4127197265625</x:v>
      </x:c>
      <x:c r="G7" s="137" t="n">
        <x:v>1925.4268798828125</x:v>
      </x:c>
      <x:c r="H7" s="137" t="n">
        <x:v>61.41531753540039</x:v>
      </x:c>
      <x:c r="I7" s="137" t="n">
        <x:v>1450.6985543444443</x:v>
      </x:c>
      <x:c r="J7" s="137" t="n">
        <x:v>1485.5765871942217</x:v>
      </x:c>
      <x:c r="K7" s="136" t="str">
        <x:v>map-1</x:v>
      </x:c>
      <x:c r="L7" s="136" t="str">
        <x:v>Antietam | Conquest | Smokestacks||Artillery | USA CQ1_Spawnpoint_USA_Artillery_Forward [map-1/002]</x:v>
      </x:c>
      <x:c r="M7" s="134" t="str">
        <x:f>IF(ROW(A2)&lt;=COUNTIF($A$6:$A$2148,'Calculator'!$B$9),INDEX($B$6:$B$2148,SUMIF($T$6:$T$104,'Calculator'!$B$9,$AA$6:$AA$104)+ROW(A2)-1),"")</x:f>
        <x:v>Artillery | USA CQ1_Spawnpoint_USA_Artillery_Forward [map-1/002]</x:v>
      </x:c>
      <x:c r="N7" s="134" t="str">
        <x:f>IF(ROW(A2)&lt;=COUNTIF($A$6:$A$2148,'Calculator'!$B$9),INDEX($C$6:$C$2148,SUMIF($T$6:$T$104,'Calculator'!$B$9,$AA$6:$AA$104)+ROW(A2)-1),"")</x:f>
        <x:v>battery</x:v>
      </x:c>
      <x:c r="O7" s="134" t="str">
        <x:f>IF(ROW(A2)&lt;=COUNTIF($A$6:$A$2148,'Calculator'!$B$9),INDEX($D$6:$D$2148,SUMIF($T$6:$T$104,'Calculator'!$B$9,$AA$6:$AA$104)+ROW(A2)-1),"")</x:f>
        <x:v>USA</x:v>
      </x:c>
      <x:c r="P7" s="135" t="n">
        <x:f>IF(ROW(A2)&lt;=COUNTIF($A$6:$A$2148,'Calculator'!$B$9),INDEX($F$6:$F$2148,SUMIF($T$6:$T$104,'Calculator'!$B$9,$AA$6:$AA$104)+ROW(A2)-1),"")</x:f>
        <x:v>1286.4127197265625</x:v>
      </x:c>
      <x:c r="Q7" s="135" t="n">
        <x:f>IF(ROW(A2)&lt;=COUNTIF($A$6:$A$2148,'Calculator'!$B$9),INDEX($G$6:$G$2148,SUMIF($T$6:$T$104,'Calculator'!$B$9,$AA$6:$AA$104)+ROW(A2)-1),"")</x:f>
        <x:v>1925.4268798828125</x:v>
      </x:c>
      <x:c r="R7" s="135" t="n">
        <x:f>IF(ROW(A2)&lt;=COUNTIF($A$6:$A$2148,'Calculator'!$B$9),INDEX($H$6:$H$2148,SUMIF($T$6:$T$104,'Calculator'!$B$9,$AA$6:$AA$104)+ROW(A2)-1),"")</x:f>
        <x:v>61.41531753540039</x:v>
      </x:c>
      <x:c r="S7" s="35"/>
      <x:c r="T7" s="136" t="str">
        <x:v>Antietam | Conquest | Forest Stream</x:v>
      </x:c>
      <x:c r="U7" s="136" t="str">
        <x:v>map-2</x:v>
      </x:c>
      <x:c r="V7" s="136" t="str">
        <x:v>Antietam</x:v>
      </x:c>
      <x:c r="W7" s="136" t="str">
        <x:v>Conquest</x:v>
      </x:c>
      <x:c r="X7" s="136" t="str">
        <x:v>Forest Stream</x:v>
      </x:c>
      <x:c r="Y7" s="136" t="str">
        <x:v>Conquest_2</x:v>
      </x:c>
      <x:c r="Z7" s="136" t="n">
        <x:v>4</x:v>
      </x:c>
      <x:c r="AA7" s="136" t="n">
        <x:v>26</x:v>
      </x:c>
    </x:row>
    <x:row r="8">
      <x:c r="A8" s="136" t="str">
        <x:v>Antietam | Conquest | Smokestacks</x:v>
      </x:c>
      <x:c r="B8" s="136" t="str">
        <x:v>Artillery | CSA CQ1_Spawnpoint_CSA_Artillery_Forward [map-1/003]</x:v>
      </x:c>
      <x:c r="C8" s="136" t="str">
        <x:v>battery</x:v>
      </x:c>
      <x:c r="D8" s="136" t="str">
        <x:v>CSA</x:v>
      </x:c>
      <x:c r="E8" s="136" t="str">
        <x:v>CQ1_Spawnpoint_CSA_Artillery_Forward</x:v>
      </x:c>
      <x:c r="F8" s="137" t="n">
        <x:v>1017.8574829101562</x:v>
      </x:c>
      <x:c r="G8" s="137" t="n">
        <x:v>2291.580810546875</x:v>
      </x:c>
      <x:c r="H8" s="137" t="n">
        <x:v>63.15972900390625</x:v>
      </x:c>
      <x:c r="I8" s="137" t="n">
        <x:v>804.7355468160304</x:v>
      </x:c>
      <x:c r="J8" s="137" t="n">
        <x:v>1474.5437008242388</x:v>
      </x:c>
      <x:c r="K8" s="136" t="str">
        <x:v>map-1</x:v>
      </x:c>
      <x:c r="L8" s="136" t="str">
        <x:v>Antietam | Conquest | Smokestacks||Artillery | CSA CQ1_Spawnpoint_CSA_Artillery_Forward [map-1/003]</x:v>
      </x:c>
      <x:c r="M8" s="134" t="str">
        <x:f>IF(ROW(A3)&lt;=COUNTIF($A$6:$A$2148,'Calculator'!$B$9),INDEX($B$6:$B$2148,SUMIF($T$6:$T$104,'Calculator'!$B$9,$AA$6:$AA$104)+ROW(A3)-1),"")</x:f>
        <x:v>Artillery | CSA CQ1_Spawnpoint_CSA_Artillery_Forward [map-1/003]</x:v>
      </x:c>
      <x:c r="N8" s="134" t="str">
        <x:f>IF(ROW(A3)&lt;=COUNTIF($A$6:$A$2148,'Calculator'!$B$9),INDEX($C$6:$C$2148,SUMIF($T$6:$T$104,'Calculator'!$B$9,$AA$6:$AA$104)+ROW(A3)-1),"")</x:f>
        <x:v>battery</x:v>
      </x:c>
      <x:c r="O8" s="134" t="str">
        <x:f>IF(ROW(A3)&lt;=COUNTIF($A$6:$A$2148,'Calculator'!$B$9),INDEX($D$6:$D$2148,SUMIF($T$6:$T$104,'Calculator'!$B$9,$AA$6:$AA$104)+ROW(A3)-1),"")</x:f>
        <x:v>CSA</x:v>
      </x:c>
      <x:c r="P8" s="135" t="n">
        <x:f>IF(ROW(A3)&lt;=COUNTIF($A$6:$A$2148,'Calculator'!$B$9),INDEX($F$6:$F$2148,SUMIF($T$6:$T$104,'Calculator'!$B$9,$AA$6:$AA$104)+ROW(A3)-1),"")</x:f>
        <x:v>1017.8574829101562</x:v>
      </x:c>
      <x:c r="Q8" s="135" t="n">
        <x:f>IF(ROW(A3)&lt;=COUNTIF($A$6:$A$2148,'Calculator'!$B$9),INDEX($G$6:$G$2148,SUMIF($T$6:$T$104,'Calculator'!$B$9,$AA$6:$AA$104)+ROW(A3)-1),"")</x:f>
        <x:v>2291.580810546875</x:v>
      </x:c>
      <x:c r="R8" s="135" t="n">
        <x:f>IF(ROW(A3)&lt;=COUNTIF($A$6:$A$2148,'Calculator'!$B$9),INDEX($H$6:$H$2148,SUMIF($T$6:$T$104,'Calculator'!$B$9,$AA$6:$AA$104)+ROW(A3)-1),"")</x:f>
        <x:v>63.15972900390625</x:v>
      </x:c>
      <x:c r="S8" s="35"/>
      <x:c r="T8" s="136" t="str">
        <x:v>Antietam | Conquest | Framing Fencelines</x:v>
      </x:c>
      <x:c r="U8" s="136" t="str">
        <x:v>map-3</x:v>
      </x:c>
      <x:c r="V8" s="136" t="str">
        <x:v>Antietam</x:v>
      </x:c>
      <x:c r="W8" s="136" t="str">
        <x:v>Conquest</x:v>
      </x:c>
      <x:c r="X8" s="136" t="str">
        <x:v>Framing Fencelines</x:v>
      </x:c>
      <x:c r="Y8" s="136" t="str">
        <x:v>Conquest_3</x:v>
      </x:c>
      <x:c r="Z8" s="136" t="n">
        <x:v>20</x:v>
      </x:c>
      <x:c r="AA8" s="136" t="n">
        <x:v>30</x:v>
      </x:c>
    </x:row>
    <x:row r="9">
      <x:c r="A9" s="136" t="str">
        <x:v>Antietam | Conquest | Smokestacks</x:v>
      </x:c>
      <x:c r="B9" s="136" t="str">
        <x:v>Spawn | USA CQ1_Spawnpoint_USA_Cavalry_0 [map-1/004]</x:v>
      </x:c>
      <x:c r="C9" s="136" t="str">
        <x:v>spawn</x:v>
      </x:c>
      <x:c r="D9" s="136" t="str">
        <x:v>USA</x:v>
      </x:c>
      <x:c r="E9" s="136" t="str">
        <x:v>CQ1_Spawnpoint_USA_Cavalry_0</x:v>
      </x:c>
      <x:c r="F9" s="137" t="n">
        <x:v>1659.078857421875</x:v>
      </x:c>
      <x:c r="G9" s="137" t="n">
        <x:v>2152.5048828125</x:v>
      </x:c>
      <x:c r="H9" s="137" t="n">
        <x:v>51.36182403564453</x:v>
      </x:c>
      <x:c r="I9" s="137" t="n">
        <x:v>1514.5749799015227</x:v>
      </x:c>
      <x:c r="J9" s="137" t="n">
        <x:v>867.5993962566807</x:v>
      </x:c>
      <x:c r="K9" s="136" t="str">
        <x:v>map-1</x:v>
      </x:c>
      <x:c r="L9" s="136" t="str">
        <x:v>Antietam | Conquest | Smokestacks||Spawn | USA CQ1_Spawnpoint_USA_Cavalry_0 [map-1/004]</x:v>
      </x:c>
      <x:c r="M9" s="134" t="str">
        <x:f>IF(ROW(A4)&lt;=COUNTIF($A$6:$A$2148,'Calculator'!$B$9),INDEX($B$6:$B$2148,SUMIF($T$6:$T$104,'Calculator'!$B$9,$AA$6:$AA$104)+ROW(A4)-1),"")</x:f>
        <x:v>Spawn | USA CQ1_Spawnpoint_USA_Cavalry_0 [map-1/004]</x:v>
      </x:c>
      <x:c r="N9" s="134" t="str">
        <x:f>IF(ROW(A4)&lt;=COUNTIF($A$6:$A$2148,'Calculator'!$B$9),INDEX($C$6:$C$2148,SUMIF($T$6:$T$104,'Calculator'!$B$9,$AA$6:$AA$104)+ROW(A4)-1),"")</x:f>
        <x:v>spawn</x:v>
      </x:c>
      <x:c r="O9" s="134" t="str">
        <x:f>IF(ROW(A4)&lt;=COUNTIF($A$6:$A$2148,'Calculator'!$B$9),INDEX($D$6:$D$2148,SUMIF($T$6:$T$104,'Calculator'!$B$9,$AA$6:$AA$104)+ROW(A4)-1),"")</x:f>
        <x:v>USA</x:v>
      </x:c>
      <x:c r="P9" s="135" t="n">
        <x:f>IF(ROW(A4)&lt;=COUNTIF($A$6:$A$2148,'Calculator'!$B$9),INDEX($F$6:$F$2148,SUMIF($T$6:$T$104,'Calculator'!$B$9,$AA$6:$AA$104)+ROW(A4)-1),"")</x:f>
        <x:v>1659.078857421875</x:v>
      </x:c>
      <x:c r="Q9" s="135" t="n">
        <x:f>IF(ROW(A4)&lt;=COUNTIF($A$6:$A$2148,'Calculator'!$B$9),INDEX($G$6:$G$2148,SUMIF($T$6:$T$104,'Calculator'!$B$9,$AA$6:$AA$104)+ROW(A4)-1),"")</x:f>
        <x:v>2152.5048828125</x:v>
      </x:c>
      <x:c r="R9" s="135" t="n">
        <x:f>IF(ROW(A4)&lt;=COUNTIF($A$6:$A$2148,'Calculator'!$B$9),INDEX($H$6:$H$2148,SUMIF($T$6:$T$104,'Calculator'!$B$9,$AA$6:$AA$104)+ROW(A4)-1),"")</x:f>
        <x:v>51.36182403564453</x:v>
      </x:c>
      <x:c r="S9" s="35"/>
      <x:c r="T9" s="136" t="str">
        <x:v>Antietam | Conquest | Farmland</x:v>
      </x:c>
      <x:c r="U9" s="136" t="str">
        <x:v>map-4</x:v>
      </x:c>
      <x:c r="V9" s="136" t="str">
        <x:v>Antietam</x:v>
      </x:c>
      <x:c r="W9" s="136" t="str">
        <x:v>Conquest</x:v>
      </x:c>
      <x:c r="X9" s="136" t="str">
        <x:v>Farmland</x:v>
      </x:c>
      <x:c r="Y9" s="136" t="str">
        <x:v>Conquest_4</x:v>
      </x:c>
      <x:c r="Z9" s="136" t="n">
        <x:v>25</x:v>
      </x:c>
      <x:c r="AA9" s="136" t="n">
        <x:v>50</x:v>
      </x:c>
    </x:row>
    <x:row r="10">
      <x:c r="A10" s="136" t="str">
        <x:v>Antietam | Conquest | Smokestacks</x:v>
      </x:c>
      <x:c r="B10" s="136" t="str">
        <x:v>Spawn | USA CQ1_Spawnpoint_USA_Infantry_2 [map-1/005]</x:v>
      </x:c>
      <x:c r="C10" s="136" t="str">
        <x:v>spawn</x:v>
      </x:c>
      <x:c r="D10" s="136" t="str">
        <x:v>USA</x:v>
      </x:c>
      <x:c r="E10" s="136" t="str">
        <x:v>CQ1_Spawnpoint_USA_Infantry_2</x:v>
      </x:c>
      <x:c r="F10" s="137" t="n">
        <x:v>1533.16796875</x:v>
      </x:c>
      <x:c r="G10" s="137" t="n">
        <x:v>2364.78076171875</x:v>
      </x:c>
      <x:c r="H10" s="137" t="n">
        <x:v>60.98234939575195</x:v>
      </x:c>
      <x:c r="I10" s="137" t="n">
        <x:v>1165.7361454004515</x:v>
      </x:c>
      <x:c r="J10" s="137" t="n">
        <x:v>827.4481953400034</x:v>
      </x:c>
      <x:c r="K10" s="136" t="str">
        <x:v>map-1</x:v>
      </x:c>
      <x:c r="L10" s="136" t="str">
        <x:v>Antietam | Conquest | Smokestacks||Spawn | USA CQ1_Spawnpoint_USA_Infantry_2 [map-1/005]</x:v>
      </x:c>
      <x:c r="M10" s="134" t="str">
        <x:f>IF(ROW(A5)&lt;=COUNTIF($A$6:$A$2148,'Calculator'!$B$9),INDEX($B$6:$B$2148,SUMIF($T$6:$T$104,'Calculator'!$B$9,$AA$6:$AA$104)+ROW(A5)-1),"")</x:f>
        <x:v>Spawn | USA CQ1_Spawnpoint_USA_Infantry_2 [map-1/005]</x:v>
      </x:c>
      <x:c r="N10" s="134" t="str">
        <x:f>IF(ROW(A5)&lt;=COUNTIF($A$6:$A$2148,'Calculator'!$B$9),INDEX($C$6:$C$2148,SUMIF($T$6:$T$104,'Calculator'!$B$9,$AA$6:$AA$104)+ROW(A5)-1),"")</x:f>
        <x:v>spawn</x:v>
      </x:c>
      <x:c r="O10" s="134" t="str">
        <x:f>IF(ROW(A5)&lt;=COUNTIF($A$6:$A$2148,'Calculator'!$B$9),INDEX($D$6:$D$2148,SUMIF($T$6:$T$104,'Calculator'!$B$9,$AA$6:$AA$104)+ROW(A5)-1),"")</x:f>
        <x:v>USA</x:v>
      </x:c>
      <x:c r="P10" s="135" t="n">
        <x:f>IF(ROW(A5)&lt;=COUNTIF($A$6:$A$2148,'Calculator'!$B$9),INDEX($F$6:$F$2148,SUMIF($T$6:$T$104,'Calculator'!$B$9,$AA$6:$AA$104)+ROW(A5)-1),"")</x:f>
        <x:v>1533.16796875</x:v>
      </x:c>
      <x:c r="Q10" s="135" t="n">
        <x:f>IF(ROW(A5)&lt;=COUNTIF($A$6:$A$2148,'Calculator'!$B$9),INDEX($G$6:$G$2148,SUMIF($T$6:$T$104,'Calculator'!$B$9,$AA$6:$AA$104)+ROW(A5)-1),"")</x:f>
        <x:v>2364.78076171875</x:v>
      </x:c>
      <x:c r="R10" s="135" t="n">
        <x:f>IF(ROW(A5)&lt;=COUNTIF($A$6:$A$2148,'Calculator'!$B$9),INDEX($H$6:$H$2148,SUMIF($T$6:$T$104,'Calculator'!$B$9,$AA$6:$AA$104)+ROW(A5)-1),"")</x:f>
        <x:v>60.98234939575195</x:v>
      </x:c>
      <x:c r="S10" s="35"/>
      <x:c r="T10" s="136" t="str">
        <x:v>Antietam | Conquest | Limestone Bridge</x:v>
      </x:c>
      <x:c r="U10" s="136" t="str">
        <x:v>map-5</x:v>
      </x:c>
      <x:c r="V10" s="136" t="str">
        <x:v>Antietam</x:v>
      </x:c>
      <x:c r="W10" s="136" t="str">
        <x:v>Conquest</x:v>
      </x:c>
      <x:c r="X10" s="136" t="str">
        <x:v>Limestone Bridge</x:v>
      </x:c>
      <x:c r="Y10" s="136" t="str">
        <x:v>Conquest_5</x:v>
      </x:c>
      <x:c r="Z10" s="136" t="n">
        <x:v>23</x:v>
      </x:c>
      <x:c r="AA10" s="136" t="n">
        <x:v>75</x:v>
      </x:c>
    </x:row>
    <x:row r="11">
      <x:c r="A11" s="136" t="str">
        <x:v>Antietam | Conquest | Smokestacks</x:v>
      </x:c>
      <x:c r="B11" s="136" t="str">
        <x:v>Spawn | CSA CQ1_Spawnpoint_CSA_Infantry_1 [map-1/006]</x:v>
      </x:c>
      <x:c r="C11" s="136" t="str">
        <x:v>spawn</x:v>
      </x:c>
      <x:c r="D11" s="136" t="str">
        <x:v>CSA</x:v>
      </x:c>
      <x:c r="E11" s="136" t="str">
        <x:v>CQ1_Spawnpoint_CSA_Infantry_1</x:v>
      </x:c>
      <x:c r="F11" s="137" t="n">
        <x:v>1277.200927734375</x:v>
      </x:c>
      <x:c r="G11" s="137" t="n">
        <x:v>2604.766845703125</x:v>
      </x:c>
      <x:c r="H11" s="137" t="n">
        <x:v>64.19061279296875</x:v>
      </x:c>
      <x:c r="I11" s="137" t="n">
        <x:v>673.4875416197598</x:v>
      </x:c>
      <x:c r="J11" s="137" t="n">
        <x:v>910.8298249449618</x:v>
      </x:c>
      <x:c r="K11" s="136" t="str">
        <x:v>map-1</x:v>
      </x:c>
      <x:c r="L11" s="136" t="str">
        <x:v>Antietam | Conquest | Smokestacks||Spawn | CSA CQ1_Spawnpoint_CSA_Infantry_1 [map-1/006]</x:v>
      </x:c>
      <x:c r="M11" s="134" t="str">
        <x:f>IF(ROW(A6)&lt;=COUNTIF($A$6:$A$2148,'Calculator'!$B$9),INDEX($B$6:$B$2148,SUMIF($T$6:$T$104,'Calculator'!$B$9,$AA$6:$AA$104)+ROW(A6)-1),"")</x:f>
        <x:v>Spawn | CSA CQ1_Spawnpoint_CSA_Infantry_1 [map-1/006]</x:v>
      </x:c>
      <x:c r="N11" s="134" t="str">
        <x:f>IF(ROW(A6)&lt;=COUNTIF($A$6:$A$2148,'Calculator'!$B$9),INDEX($C$6:$C$2148,SUMIF($T$6:$T$104,'Calculator'!$B$9,$AA$6:$AA$104)+ROW(A6)-1),"")</x:f>
        <x:v>spawn</x:v>
      </x:c>
      <x:c r="O11" s="134" t="str">
        <x:f>IF(ROW(A6)&lt;=COUNTIF($A$6:$A$2148,'Calculator'!$B$9),INDEX($D$6:$D$2148,SUMIF($T$6:$T$104,'Calculator'!$B$9,$AA$6:$AA$104)+ROW(A6)-1),"")</x:f>
        <x:v>CSA</x:v>
      </x:c>
      <x:c r="P11" s="135" t="n">
        <x:f>IF(ROW(A6)&lt;=COUNTIF($A$6:$A$2148,'Calculator'!$B$9),INDEX($F$6:$F$2148,SUMIF($T$6:$T$104,'Calculator'!$B$9,$AA$6:$AA$104)+ROW(A6)-1),"")</x:f>
        <x:v>1277.200927734375</x:v>
      </x:c>
      <x:c r="Q11" s="135" t="n">
        <x:f>IF(ROW(A6)&lt;=COUNTIF($A$6:$A$2148,'Calculator'!$B$9),INDEX($G$6:$G$2148,SUMIF($T$6:$T$104,'Calculator'!$B$9,$AA$6:$AA$104)+ROW(A6)-1),"")</x:f>
        <x:v>2604.766845703125</x:v>
      </x:c>
      <x:c r="R11" s="135" t="n">
        <x:f>IF(ROW(A6)&lt;=COUNTIF($A$6:$A$2148,'Calculator'!$B$9),INDEX($H$6:$H$2148,SUMIF($T$6:$T$104,'Calculator'!$B$9,$AA$6:$AA$104)+ROW(A6)-1),"")</x:f>
        <x:v>64.19061279296875</x:v>
      </x:c>
      <x:c r="S11" s="35"/>
      <x:c r="T11" s="136" t="str">
        <x:v>Antietam | Conquest | Waterways</x:v>
      </x:c>
      <x:c r="U11" s="136" t="str">
        <x:v>map-6</x:v>
      </x:c>
      <x:c r="V11" s="136" t="str">
        <x:v>Antietam</x:v>
      </x:c>
      <x:c r="W11" s="136" t="str">
        <x:v>Conquest</x:v>
      </x:c>
      <x:c r="X11" s="136" t="str">
        <x:v>Waterways</x:v>
      </x:c>
      <x:c r="Y11" s="136" t="str">
        <x:v>Conquest_6</x:v>
      </x:c>
      <x:c r="Z11" s="136" t="n">
        <x:v>24</x:v>
      </x:c>
      <x:c r="AA11" s="136" t="n">
        <x:v>98</x:v>
      </x:c>
    </x:row>
    <x:row r="12">
      <x:c r="A12" s="136" t="str">
        <x:v>Antietam | Conquest | Smokestacks</x:v>
      </x:c>
      <x:c r="B12" s="136" t="str">
        <x:v>Spawn | USA CQ1_Spawnpoint_USA_Infantry_0 [map-1/007]</x:v>
      </x:c>
      <x:c r="C12" s="136" t="str">
        <x:v>spawn</x:v>
      </x:c>
      <x:c r="D12" s="136" t="str">
        <x:v>USA</x:v>
      </x:c>
      <x:c r="E12" s="136" t="str">
        <x:v>CQ1_Spawnpoint_USA_Infantry_0</x:v>
      </x:c>
      <x:c r="F12" s="137" t="n">
        <x:v>1554.003662109375</x:v>
      </x:c>
      <x:c r="G12" s="137" t="n">
        <x:v>2377.672119140625</x:v>
      </x:c>
      <x:c r="H12" s="137" t="n">
        <x:v>60.68226623535156</x:v>
      </x:c>
      <x:c r="I12" s="137" t="n">
        <x:v>1169.0861174830177</x:v>
      </x:c>
      <x:c r="J12" s="137" t="n">
        <x:v>792.7288291110548</x:v>
      </x:c>
      <x:c r="K12" s="136" t="str">
        <x:v>map-1</x:v>
      </x:c>
      <x:c r="L12" s="136" t="str">
        <x:v>Antietam | Conquest | Smokestacks||Spawn | USA CQ1_Spawnpoint_USA_Infantry_0 [map-1/007]</x:v>
      </x:c>
      <x:c r="M12" s="134" t="str">
        <x:f>IF(ROW(A7)&lt;=COUNTIF($A$6:$A$2148,'Calculator'!$B$9),INDEX($B$6:$B$2148,SUMIF($T$6:$T$104,'Calculator'!$B$9,$AA$6:$AA$104)+ROW(A7)-1),"")</x:f>
        <x:v>Spawn | USA CQ1_Spawnpoint_USA_Infantry_0 [map-1/007]</x:v>
      </x:c>
      <x:c r="N12" s="134" t="str">
        <x:f>IF(ROW(A7)&lt;=COUNTIF($A$6:$A$2148,'Calculator'!$B$9),INDEX($C$6:$C$2148,SUMIF($T$6:$T$104,'Calculator'!$B$9,$AA$6:$AA$104)+ROW(A7)-1),"")</x:f>
        <x:v>spawn</x:v>
      </x:c>
      <x:c r="O12" s="134" t="str">
        <x:f>IF(ROW(A7)&lt;=COUNTIF($A$6:$A$2148,'Calculator'!$B$9),INDEX($D$6:$D$2148,SUMIF($T$6:$T$104,'Calculator'!$B$9,$AA$6:$AA$104)+ROW(A7)-1),"")</x:f>
        <x:v>USA</x:v>
      </x:c>
      <x:c r="P12" s="135" t="n">
        <x:f>IF(ROW(A7)&lt;=COUNTIF($A$6:$A$2148,'Calculator'!$B$9),INDEX($F$6:$F$2148,SUMIF($T$6:$T$104,'Calculator'!$B$9,$AA$6:$AA$104)+ROW(A7)-1),"")</x:f>
        <x:v>1554.003662109375</x:v>
      </x:c>
      <x:c r="Q12" s="135" t="n">
        <x:f>IF(ROW(A7)&lt;=COUNTIF($A$6:$A$2148,'Calculator'!$B$9),INDEX($G$6:$G$2148,SUMIF($T$6:$T$104,'Calculator'!$B$9,$AA$6:$AA$104)+ROW(A7)-1),"")</x:f>
        <x:v>2377.672119140625</x:v>
      </x:c>
      <x:c r="R12" s="135" t="n">
        <x:f>IF(ROW(A7)&lt;=COUNTIF($A$6:$A$2148,'Calculator'!$B$9),INDEX($H$6:$H$2148,SUMIF($T$6:$T$104,'Calculator'!$B$9,$AA$6:$AA$104)+ROW(A7)-1),"")</x:f>
        <x:v>60.68226623535156</x:v>
      </x:c>
      <x:c r="S12" s="35"/>
      <x:c r="T12" s="136" t="str">
        <x:v>Antietam | Contention | Smokestacks</x:v>
      </x:c>
      <x:c r="U12" s="136" t="str">
        <x:v>map-7</x:v>
      </x:c>
      <x:c r="V12" s="136" t="str">
        <x:v>Antietam</x:v>
      </x:c>
      <x:c r="W12" s="136" t="str">
        <x:v>Contention</x:v>
      </x:c>
      <x:c r="X12" s="136" t="str">
        <x:v>Smokestacks</x:v>
      </x:c>
      <x:c r="Y12" s="136" t="str">
        <x:v>Conquest_1</x:v>
      </x:c>
      <x:c r="Z12" s="136" t="n">
        <x:v>25</x:v>
      </x:c>
      <x:c r="AA12" s="136" t="n">
        <x:v>122</x:v>
      </x:c>
    </x:row>
    <x:row r="13">
      <x:c r="A13" s="136" t="str">
        <x:v>Antietam | Conquest | Smokestacks</x:v>
      </x:c>
      <x:c r="B13" s="136" t="str">
        <x:v>Artillery | USA CQ1_Spawnpoint_USA_Artillery_Staging [map-1/008]</x:v>
      </x:c>
      <x:c r="C13" s="136" t="str">
        <x:v>battery</x:v>
      </x:c>
      <x:c r="D13" s="136" t="str">
        <x:v>USA</x:v>
      </x:c>
      <x:c r="E13" s="136" t="str">
        <x:v>CQ1_Spawnpoint_USA_Artillery_Staging</x:v>
      </x:c>
      <x:c r="F13" s="137" t="n">
        <x:v>1523.5146484375</x:v>
      </x:c>
      <x:c r="G13" s="137" t="n">
        <x:v>2349.201171875</x:v>
      </x:c>
      <x:c r="H13" s="137" t="n">
        <x:v>60.70691680908203</x:v>
      </x:c>
      <x:c r="I13" s="137" t="n">
        <x:v>1175.0628512087703</x:v>
      </x:c>
      <x:c r="J13" s="137" t="n">
        <x:v>851.8093837909151</x:v>
      </x:c>
      <x:c r="K13" s="136" t="str">
        <x:v>map-1</x:v>
      </x:c>
      <x:c r="L13" s="136" t="str">
        <x:v>Antietam | Conquest | Smokestacks||Artillery | USA CQ1_Spawnpoint_USA_Artillery_Staging [map-1/008]</x:v>
      </x:c>
      <x:c r="M13" s="134" t="str">
        <x:f>IF(ROW(A8)&lt;=COUNTIF($A$6:$A$2148,'Calculator'!$B$9),INDEX($B$6:$B$2148,SUMIF($T$6:$T$104,'Calculator'!$B$9,$AA$6:$AA$104)+ROW(A8)-1),"")</x:f>
        <x:v>Artillery | USA CQ1_Spawnpoint_USA_Artillery_Staging [map-1/008]</x:v>
      </x:c>
      <x:c r="N13" s="134" t="str">
        <x:f>IF(ROW(A8)&lt;=COUNTIF($A$6:$A$2148,'Calculator'!$B$9),INDEX($C$6:$C$2148,SUMIF($T$6:$T$104,'Calculator'!$B$9,$AA$6:$AA$104)+ROW(A8)-1),"")</x:f>
        <x:v>battery</x:v>
      </x:c>
      <x:c r="O13" s="134" t="str">
        <x:f>IF(ROW(A8)&lt;=COUNTIF($A$6:$A$2148,'Calculator'!$B$9),INDEX($D$6:$D$2148,SUMIF($T$6:$T$104,'Calculator'!$B$9,$AA$6:$AA$104)+ROW(A8)-1),"")</x:f>
        <x:v>USA</x:v>
      </x:c>
      <x:c r="P13" s="135" t="n">
        <x:f>IF(ROW(A8)&lt;=COUNTIF($A$6:$A$2148,'Calculator'!$B$9),INDEX($F$6:$F$2148,SUMIF($T$6:$T$104,'Calculator'!$B$9,$AA$6:$AA$104)+ROW(A8)-1),"")</x:f>
        <x:v>1523.5146484375</x:v>
      </x:c>
      <x:c r="Q13" s="135" t="n">
        <x:f>IF(ROW(A8)&lt;=COUNTIF($A$6:$A$2148,'Calculator'!$B$9),INDEX($G$6:$G$2148,SUMIF($T$6:$T$104,'Calculator'!$B$9,$AA$6:$AA$104)+ROW(A8)-1),"")</x:f>
        <x:v>2349.201171875</x:v>
      </x:c>
      <x:c r="R13" s="135" t="n">
        <x:f>IF(ROW(A8)&lt;=COUNTIF($A$6:$A$2148,'Calculator'!$B$9),INDEX($H$6:$H$2148,SUMIF($T$6:$T$104,'Calculator'!$B$9,$AA$6:$AA$104)+ROW(A8)-1),"")</x:f>
        <x:v>60.70691680908203</x:v>
      </x:c>
      <x:c r="S13" s="35"/>
      <x:c r="T13" s="136" t="str">
        <x:v>Antietam | Contention | Forest Stream</x:v>
      </x:c>
      <x:c r="U13" s="136" t="str">
        <x:v>map-8</x:v>
      </x:c>
      <x:c r="V13" s="136" t="str">
        <x:v>Antietam</x:v>
      </x:c>
      <x:c r="W13" s="136" t="str">
        <x:v>Contention</x:v>
      </x:c>
      <x:c r="X13" s="136" t="str">
        <x:v>Forest Stream</x:v>
      </x:c>
      <x:c r="Y13" s="136" t="str">
        <x:v>Conquest_2</x:v>
      </x:c>
      <x:c r="Z13" s="136" t="n">
        <x:v>23</x:v>
      </x:c>
      <x:c r="AA13" s="136" t="n">
        <x:v>147</x:v>
      </x:c>
    </x:row>
    <x:row r="14">
      <x:c r="A14" s="136" t="str">
        <x:v>Antietam | Conquest | Smokestacks</x:v>
      </x:c>
      <x:c r="B14" s="136" t="str">
        <x:v>Objective | Victory_Conquest_1 [map-1/009]</x:v>
      </x:c>
      <x:c r="C14" s="136" t="str">
        <x:v>objective</x:v>
      </x:c>
      <x:c r="D14" s="136" t="str"/>
      <x:c r="E14" s="136" t="str">
        <x:v>Victory_Conquest_1</x:v>
      </x:c>
      <x:c r="F14" s="137" t="n">
        <x:v>1076.52001953125</x:v>
      </x:c>
      <x:c r="G14" s="137" t="n">
        <x:v>2162.361328125</x:v>
      </x:c>
      <x:c r="H14" s="137" t="n">
        <x:v>60.24380874633789</x:v>
      </x:c>
      <x:c r="I14" s="137" t="n">
        <x:v>1001.5942749770053</x:v>
      </x:c>
      <x:c r="J14" s="137" t="n">
        <x:v>1519.3673491665538</x:v>
      </x:c>
      <x:c r="K14" s="136" t="str">
        <x:v>map-1</x:v>
      </x:c>
      <x:c r="L14" s="136" t="str">
        <x:v>Antietam | Conquest | Smokestacks||Objective | Victory_Conquest_1 [map-1/009]</x:v>
      </x:c>
      <x:c r="M14" s="134" t="str">
        <x:f>IF(ROW(A9)&lt;=COUNTIF($A$6:$A$2148,'Calculator'!$B$9),INDEX($B$6:$B$2148,SUMIF($T$6:$T$104,'Calculator'!$B$9,$AA$6:$AA$104)+ROW(A9)-1),"")</x:f>
        <x:v>Objective | Victory_Conquest_1 [map-1/009]</x:v>
      </x:c>
      <x:c r="N14" s="134" t="str">
        <x:f>IF(ROW(A9)&lt;=COUNTIF($A$6:$A$2148,'Calculator'!$B$9),INDEX($C$6:$C$2148,SUMIF($T$6:$T$104,'Calculator'!$B$9,$AA$6:$AA$104)+ROW(A9)-1),"")</x:f>
        <x:v>objective</x:v>
      </x:c>
      <x:c r="O14" s="134" t="str">
        <x:f>IF(ROW(A9)&lt;=COUNTIF($A$6:$A$2148,'Calculator'!$B$9),INDEX($D$6:$D$2148,SUMIF($T$6:$T$104,'Calculator'!$B$9,$AA$6:$AA$104)+ROW(A9)-1),"")</x:f>
      </x:c>
      <x:c r="P14" s="135" t="n">
        <x:f>IF(ROW(A9)&lt;=COUNTIF($A$6:$A$2148,'Calculator'!$B$9),INDEX($F$6:$F$2148,SUMIF($T$6:$T$104,'Calculator'!$B$9,$AA$6:$AA$104)+ROW(A9)-1),"")</x:f>
        <x:v>1076.52001953125</x:v>
      </x:c>
      <x:c r="Q14" s="135" t="n">
        <x:f>IF(ROW(A9)&lt;=COUNTIF($A$6:$A$2148,'Calculator'!$B$9),INDEX($G$6:$G$2148,SUMIF($T$6:$T$104,'Calculator'!$B$9,$AA$6:$AA$104)+ROW(A9)-1),"")</x:f>
        <x:v>2162.361328125</x:v>
      </x:c>
      <x:c r="R14" s="135" t="n">
        <x:f>IF(ROW(A9)&lt;=COUNTIF($A$6:$A$2148,'Calculator'!$B$9),INDEX($H$6:$H$2148,SUMIF($T$6:$T$104,'Calculator'!$B$9,$AA$6:$AA$104)+ROW(A9)-1),"")</x:f>
        <x:v>60.24380874633789</x:v>
      </x:c>
      <x:c r="S14" s="35"/>
      <x:c r="T14" s="136" t="str">
        <x:v>Antietam | Contention | Framing Fencelines</x:v>
      </x:c>
      <x:c r="U14" s="136" t="str">
        <x:v>map-9</x:v>
      </x:c>
      <x:c r="V14" s="136" t="str">
        <x:v>Antietam</x:v>
      </x:c>
      <x:c r="W14" s="136" t="str">
        <x:v>Contention</x:v>
      </x:c>
      <x:c r="X14" s="136" t="str">
        <x:v>Framing Fencelines</x:v>
      </x:c>
      <x:c r="Y14" s="136" t="str">
        <x:v>Conquest_3</x:v>
      </x:c>
      <x:c r="Z14" s="136" t="n">
        <x:v>24</x:v>
      </x:c>
      <x:c r="AA14" s="136" t="n">
        <x:v>170</x:v>
      </x:c>
    </x:row>
    <x:row r="15">
      <x:c r="A15" s="136" t="str">
        <x:v>Antietam | Conquest | Smokestacks</x:v>
      </x:c>
      <x:c r="B15" s="136" t="str">
        <x:v>Spawn | CSA CQ1_Spawnpoint_CSA_Infantry_2 [map-1/010]</x:v>
      </x:c>
      <x:c r="C15" s="136" t="str">
        <x:v>spawn</x:v>
      </x:c>
      <x:c r="D15" s="136" t="str">
        <x:v>CSA</x:v>
      </x:c>
      <x:c r="E15" s="136" t="str">
        <x:v>CQ1_Spawnpoint_CSA_Infantry_2</x:v>
      </x:c>
      <x:c r="F15" s="137" t="n">
        <x:v>1249.4161376953125</x:v>
      </x:c>
      <x:c r="G15" s="137" t="n">
        <x:v>2567.864501953125</x:v>
      </x:c>
      <x:c r="H15" s="137" t="n">
        <x:v>61.365135192871094</x:v>
      </x:c>
      <x:c r="I15" s="137" t="n">
        <x:v>691.3413144641459</x:v>
      </x:c>
      <x:c r="J15" s="137" t="n">
        <x:v>974.1083281667958</x:v>
      </x:c>
      <x:c r="K15" s="136" t="str">
        <x:v>map-1</x:v>
      </x:c>
      <x:c r="L15" s="136" t="str">
        <x:v>Antietam | Conquest | Smokestacks||Spawn | CSA CQ1_Spawnpoint_CSA_Infantry_2 [map-1/010]</x:v>
      </x:c>
      <x:c r="M15" s="134" t="str">
        <x:f>IF(ROW(A10)&lt;=COUNTIF($A$6:$A$2148,'Calculator'!$B$9),INDEX($B$6:$B$2148,SUMIF($T$6:$T$104,'Calculator'!$B$9,$AA$6:$AA$104)+ROW(A10)-1),"")</x:f>
        <x:v>Spawn | CSA CQ1_Spawnpoint_CSA_Infantry_2 [map-1/010]</x:v>
      </x:c>
      <x:c r="N15" s="134" t="str">
        <x:f>IF(ROW(A10)&lt;=COUNTIF($A$6:$A$2148,'Calculator'!$B$9),INDEX($C$6:$C$2148,SUMIF($T$6:$T$104,'Calculator'!$B$9,$AA$6:$AA$104)+ROW(A10)-1),"")</x:f>
        <x:v>spawn</x:v>
      </x:c>
      <x:c r="O15" s="134" t="str">
        <x:f>IF(ROW(A10)&lt;=COUNTIF($A$6:$A$2148,'Calculator'!$B$9),INDEX($D$6:$D$2148,SUMIF($T$6:$T$104,'Calculator'!$B$9,$AA$6:$AA$104)+ROW(A10)-1),"")</x:f>
        <x:v>CSA</x:v>
      </x:c>
      <x:c r="P15" s="135" t="n">
        <x:f>IF(ROW(A10)&lt;=COUNTIF($A$6:$A$2148,'Calculator'!$B$9),INDEX($F$6:$F$2148,SUMIF($T$6:$T$104,'Calculator'!$B$9,$AA$6:$AA$104)+ROW(A10)-1),"")</x:f>
        <x:v>1249.4161376953125</x:v>
      </x:c>
      <x:c r="Q15" s="135" t="n">
        <x:f>IF(ROW(A10)&lt;=COUNTIF($A$6:$A$2148,'Calculator'!$B$9),INDEX($G$6:$G$2148,SUMIF($T$6:$T$104,'Calculator'!$B$9,$AA$6:$AA$104)+ROW(A10)-1),"")</x:f>
        <x:v>2567.864501953125</x:v>
      </x:c>
      <x:c r="R15" s="135" t="n">
        <x:f>IF(ROW(A10)&lt;=COUNTIF($A$6:$A$2148,'Calculator'!$B$9),INDEX($H$6:$H$2148,SUMIF($T$6:$T$104,'Calculator'!$B$9,$AA$6:$AA$104)+ROW(A10)-1),"")</x:f>
        <x:v>61.365135192871094</x:v>
      </x:c>
      <x:c r="S15" s="35"/>
      <x:c r="T15" s="136" t="str">
        <x:v>Antietam | Contention | Farmland</x:v>
      </x:c>
      <x:c r="U15" s="136" t="str">
        <x:v>map-10</x:v>
      </x:c>
      <x:c r="V15" s="136" t="str">
        <x:v>Antietam</x:v>
      </x:c>
      <x:c r="W15" s="136" t="str">
        <x:v>Contention</x:v>
      </x:c>
      <x:c r="X15" s="136" t="str">
        <x:v>Farmland</x:v>
      </x:c>
      <x:c r="Y15" s="136" t="str">
        <x:v>Conquest_4</x:v>
      </x:c>
      <x:c r="Z15" s="136" t="n">
        <x:v>25</x:v>
      </x:c>
      <x:c r="AA15" s="136" t="n">
        <x:v>194</x:v>
      </x:c>
    </x:row>
    <x:row r="16">
      <x:c r="A16" s="136" t="str">
        <x:v>Antietam | Conquest | Smokestacks</x:v>
      </x:c>
      <x:c r="B16" s="136" t="str">
        <x:v>Spawn | CSA CQ1_Spawnpoint_CSA_Cavalry_0 [map-1/011]</x:v>
      </x:c>
      <x:c r="C16" s="136" t="str">
        <x:v>spawn</x:v>
      </x:c>
      <x:c r="D16" s="136" t="str">
        <x:v>CSA</x:v>
      </x:c>
      <x:c r="E16" s="136" t="str">
        <x:v>CQ1_Spawnpoint_CSA_Cavalry_0</x:v>
      </x:c>
      <x:c r="F16" s="137" t="n">
        <x:v>1132.9976806640625</x:v>
      </x:c>
      <x:c r="G16" s="137" t="n">
        <x:v>2689.689453125</x:v>
      </x:c>
      <x:c r="H16" s="137" t="n">
        <x:v>59.3381233215332</x:v>
      </x:c>
      <x:c r="I16" s="137" t="n">
        <x:v>453.1047913333722</x:v>
      </x:c>
      <x:c r="J16" s="137" t="n">
        <x:v>1001.1135580750455</x:v>
      </x:c>
      <x:c r="K16" s="136" t="str">
        <x:v>map-1</x:v>
      </x:c>
      <x:c r="L16" s="136" t="str">
        <x:v>Antietam | Conquest | Smokestacks||Spawn | CSA CQ1_Spawnpoint_CSA_Cavalry_0 [map-1/011]</x:v>
      </x:c>
      <x:c r="M16" s="134" t="str">
        <x:f>IF(ROW(A11)&lt;=COUNTIF($A$6:$A$2148,'Calculator'!$B$9),INDEX($B$6:$B$2148,SUMIF($T$6:$T$104,'Calculator'!$B$9,$AA$6:$AA$104)+ROW(A11)-1),"")</x:f>
        <x:v>Spawn | CSA CQ1_Spawnpoint_CSA_Cavalry_0 [map-1/011]</x:v>
      </x:c>
      <x:c r="N16" s="134" t="str">
        <x:f>IF(ROW(A11)&lt;=COUNTIF($A$6:$A$2148,'Calculator'!$B$9),INDEX($C$6:$C$2148,SUMIF($T$6:$T$104,'Calculator'!$B$9,$AA$6:$AA$104)+ROW(A11)-1),"")</x:f>
        <x:v>spawn</x:v>
      </x:c>
      <x:c r="O16" s="134" t="str">
        <x:f>IF(ROW(A11)&lt;=COUNTIF($A$6:$A$2148,'Calculator'!$B$9),INDEX($D$6:$D$2148,SUMIF($T$6:$T$104,'Calculator'!$B$9,$AA$6:$AA$104)+ROW(A11)-1),"")</x:f>
        <x:v>CSA</x:v>
      </x:c>
      <x:c r="P16" s="135" t="n">
        <x:f>IF(ROW(A11)&lt;=COUNTIF($A$6:$A$2148,'Calculator'!$B$9),INDEX($F$6:$F$2148,SUMIF($T$6:$T$104,'Calculator'!$B$9,$AA$6:$AA$104)+ROW(A11)-1),"")</x:f>
        <x:v>1132.9976806640625</x:v>
      </x:c>
      <x:c r="Q16" s="135" t="n">
        <x:f>IF(ROW(A11)&lt;=COUNTIF($A$6:$A$2148,'Calculator'!$B$9),INDEX($G$6:$G$2148,SUMIF($T$6:$T$104,'Calculator'!$B$9,$AA$6:$AA$104)+ROW(A11)-1),"")</x:f>
        <x:v>2689.689453125</x:v>
      </x:c>
      <x:c r="R16" s="135" t="n">
        <x:f>IF(ROW(A11)&lt;=COUNTIF($A$6:$A$2148,'Calculator'!$B$9),INDEX($H$6:$H$2148,SUMIF($T$6:$T$104,'Calculator'!$B$9,$AA$6:$AA$104)+ROW(A11)-1),"")</x:f>
        <x:v>59.3381233215332</x:v>
      </x:c>
      <x:c r="S16" s="35"/>
      <x:c r="T16" s="136" t="str">
        <x:v>Antietam | Contention | Limestone Bridge</x:v>
      </x:c>
      <x:c r="U16" s="136" t="str">
        <x:v>map-11</x:v>
      </x:c>
      <x:c r="V16" s="136" t="str">
        <x:v>Antietam</x:v>
      </x:c>
      <x:c r="W16" s="136" t="str">
        <x:v>Contention</x:v>
      </x:c>
      <x:c r="X16" s="136" t="str">
        <x:v>Limestone Bridge</x:v>
      </x:c>
      <x:c r="Y16" s="136" t="str">
        <x:v>Conquest_5</x:v>
      </x:c>
      <x:c r="Z16" s="136" t="n">
        <x:v>23</x:v>
      </x:c>
      <x:c r="AA16" s="136" t="n">
        <x:v>219</x:v>
      </x:c>
    </x:row>
    <x:row r="17">
      <x:c r="A17" s="136" t="str">
        <x:v>Antietam | Conquest | Smokestacks</x:v>
      </x:c>
      <x:c r="B17" s="136" t="str">
        <x:v>Spawn | CSA CQ1_Spawnpoint_CSA_Infantry_0 [map-1/012]</x:v>
      </x:c>
      <x:c r="C17" s="136" t="str">
        <x:v>spawn</x:v>
      </x:c>
      <x:c r="D17" s="136" t="str">
        <x:v>CSA</x:v>
      </x:c>
      <x:c r="E17" s="136" t="str">
        <x:v>CQ1_Spawnpoint_CSA_Infantry_0</x:v>
      </x:c>
      <x:c r="F17" s="137" t="n">
        <x:v>1295.4146728515625</x:v>
      </x:c>
      <x:c r="G17" s="137" t="n">
        <x:v>2623.69140625</x:v>
      </x:c>
      <x:c r="H17" s="137" t="n">
        <x:v>63.075408935546875</x:v>
      </x:c>
      <x:c r="I17" s="137" t="n">
        <x:v>667.7470306720988</x:v>
      </x:c>
      <x:c r="J17" s="137" t="n">
        <x:v>873.8850781700557</x:v>
      </x:c>
      <x:c r="K17" s="136" t="str">
        <x:v>map-1</x:v>
      </x:c>
      <x:c r="L17" s="136" t="str">
        <x:v>Antietam | Conquest | Smokestacks||Spawn | CSA CQ1_Spawnpoint_CSA_Infantry_0 [map-1/012]</x:v>
      </x:c>
      <x:c r="M17" s="134" t="str">
        <x:f>IF(ROW(A12)&lt;=COUNTIF($A$6:$A$2148,'Calculator'!$B$9),INDEX($B$6:$B$2148,SUMIF($T$6:$T$104,'Calculator'!$B$9,$AA$6:$AA$104)+ROW(A12)-1),"")</x:f>
        <x:v>Spawn | CSA CQ1_Spawnpoint_CSA_Infantry_0 [map-1/012]</x:v>
      </x:c>
      <x:c r="N17" s="134" t="str">
        <x:f>IF(ROW(A12)&lt;=COUNTIF($A$6:$A$2148,'Calculator'!$B$9),INDEX($C$6:$C$2148,SUMIF($T$6:$T$104,'Calculator'!$B$9,$AA$6:$AA$104)+ROW(A12)-1),"")</x:f>
        <x:v>spawn</x:v>
      </x:c>
      <x:c r="O17" s="134" t="str">
        <x:f>IF(ROW(A12)&lt;=COUNTIF($A$6:$A$2148,'Calculator'!$B$9),INDEX($D$6:$D$2148,SUMIF($T$6:$T$104,'Calculator'!$B$9,$AA$6:$AA$104)+ROW(A12)-1),"")</x:f>
        <x:v>CSA</x:v>
      </x:c>
      <x:c r="P17" s="135" t="n">
        <x:f>IF(ROW(A12)&lt;=COUNTIF($A$6:$A$2148,'Calculator'!$B$9),INDEX($F$6:$F$2148,SUMIF($T$6:$T$104,'Calculator'!$B$9,$AA$6:$AA$104)+ROW(A12)-1),"")</x:f>
        <x:v>1295.4146728515625</x:v>
      </x:c>
      <x:c r="Q17" s="135" t="n">
        <x:f>IF(ROW(A12)&lt;=COUNTIF($A$6:$A$2148,'Calculator'!$B$9),INDEX($G$6:$G$2148,SUMIF($T$6:$T$104,'Calculator'!$B$9,$AA$6:$AA$104)+ROW(A12)-1),"")</x:f>
        <x:v>2623.69140625</x:v>
      </x:c>
      <x:c r="R17" s="135" t="n">
        <x:f>IF(ROW(A12)&lt;=COUNTIF($A$6:$A$2148,'Calculator'!$B$9),INDEX($H$6:$H$2148,SUMIF($T$6:$T$104,'Calculator'!$B$9,$AA$6:$AA$104)+ROW(A12)-1),"")</x:f>
        <x:v>63.075408935546875</x:v>
      </x:c>
      <x:c r="S17" s="35"/>
      <x:c r="T17" s="136" t="str">
        <x:v>Antietam | Contention | Waterways</x:v>
      </x:c>
      <x:c r="U17" s="136" t="str">
        <x:v>map-12</x:v>
      </x:c>
      <x:c r="V17" s="136" t="str">
        <x:v>Antietam</x:v>
      </x:c>
      <x:c r="W17" s="136" t="str">
        <x:v>Contention</x:v>
      </x:c>
      <x:c r="X17" s="136" t="str">
        <x:v>Waterways</x:v>
      </x:c>
      <x:c r="Y17" s="136" t="str">
        <x:v>Conquest_6</x:v>
      </x:c>
      <x:c r="Z17" s="136" t="n">
        <x:v>24</x:v>
      </x:c>
      <x:c r="AA17" s="136" t="n">
        <x:v>242</x:v>
      </x:c>
    </x:row>
    <x:row r="18">
      <x:c r="A18" s="136" t="str">
        <x:v>Antietam | Conquest | Smokestacks</x:v>
      </x:c>
      <x:c r="B18" s="136" t="str">
        <x:v>Artillery | CSA CQ1_Spawnpoint_CSA_Artillery_Staging [map-1/013]</x:v>
      </x:c>
      <x:c r="C18" s="136" t="str">
        <x:v>battery</x:v>
      </x:c>
      <x:c r="D18" s="136" t="str">
        <x:v>CSA</x:v>
      </x:c>
      <x:c r="E18" s="136" t="str">
        <x:v>CQ1_Spawnpoint_CSA_Artillery_Staging</x:v>
      </x:c>
      <x:c r="F18" s="137" t="n">
        <x:v>1258.6995849609375</x:v>
      </x:c>
      <x:c r="G18" s="137" t="n">
        <x:v>2587.535888671875</x:v>
      </x:c>
      <x:c r="H18" s="137" t="n">
        <x:v>62.91508102416992</x:v>
      </x:c>
      <x:c r="I18" s="137" t="n">
        <x:v>677.0624993129692</x:v>
      </x:c>
      <x:c r="J18" s="137" t="n">
        <x:v>946.6416486750504</x:v>
      </x:c>
      <x:c r="K18" s="136" t="str">
        <x:v>map-1</x:v>
      </x:c>
      <x:c r="L18" s="136" t="str">
        <x:v>Antietam | Conquest | Smokestacks||Artillery | CSA CQ1_Spawnpoint_CSA_Artillery_Staging [map-1/013]</x:v>
      </x:c>
      <x:c r="M18" s="134" t="str">
        <x:f>IF(ROW(A13)&lt;=COUNTIF($A$6:$A$2148,'Calculator'!$B$9),INDEX($B$6:$B$2148,SUMIF($T$6:$T$104,'Calculator'!$B$9,$AA$6:$AA$104)+ROW(A13)-1),"")</x:f>
        <x:v>Artillery | CSA CQ1_Spawnpoint_CSA_Artillery_Staging [map-1/013]</x:v>
      </x:c>
      <x:c r="N18" s="134" t="str">
        <x:f>IF(ROW(A13)&lt;=COUNTIF($A$6:$A$2148,'Calculator'!$B$9),INDEX($C$6:$C$2148,SUMIF($T$6:$T$104,'Calculator'!$B$9,$AA$6:$AA$104)+ROW(A13)-1),"")</x:f>
        <x:v>battery</x:v>
      </x:c>
      <x:c r="O18" s="134" t="str">
        <x:f>IF(ROW(A13)&lt;=COUNTIF($A$6:$A$2148,'Calculator'!$B$9),INDEX($D$6:$D$2148,SUMIF($T$6:$T$104,'Calculator'!$B$9,$AA$6:$AA$104)+ROW(A13)-1),"")</x:f>
        <x:v>CSA</x:v>
      </x:c>
      <x:c r="P18" s="135" t="n">
        <x:f>IF(ROW(A13)&lt;=COUNTIF($A$6:$A$2148,'Calculator'!$B$9),INDEX($F$6:$F$2148,SUMIF($T$6:$T$104,'Calculator'!$B$9,$AA$6:$AA$104)+ROW(A13)-1),"")</x:f>
        <x:v>1258.6995849609375</x:v>
      </x:c>
      <x:c r="Q18" s="135" t="n">
        <x:f>IF(ROW(A13)&lt;=COUNTIF($A$6:$A$2148,'Calculator'!$B$9),INDEX($G$6:$G$2148,SUMIF($T$6:$T$104,'Calculator'!$B$9,$AA$6:$AA$104)+ROW(A13)-1),"")</x:f>
        <x:v>2587.535888671875</x:v>
      </x:c>
      <x:c r="R18" s="135" t="n">
        <x:f>IF(ROW(A13)&lt;=COUNTIF($A$6:$A$2148,'Calculator'!$B$9),INDEX($H$6:$H$2148,SUMIF($T$6:$T$104,'Calculator'!$B$9,$AA$6:$AA$104)+ROW(A13)-1),"")</x:f>
        <x:v>62.91508102416992</x:v>
      </x:c>
      <x:c r="S18" s="35"/>
      <x:c r="T18" s="136" t="str">
        <x:v>Antietam | Onslaught | Antietam (Onslaught)</x:v>
      </x:c>
      <x:c r="U18" s="136" t="str">
        <x:v>map-13</x:v>
      </x:c>
      <x:c r="V18" s="136" t="str">
        <x:v>Antietam</x:v>
      </x:c>
      <x:c r="W18" s="136" t="str">
        <x:v>Onslaught</x:v>
      </x:c>
      <x:c r="X18" s="136" t="str">
        <x:v>Antietam (Onslaught)</x:v>
      </x:c>
      <x:c r="Y18" s="136" t="str">
        <x:v>LTMOnslaught</x:v>
      </x:c>
      <x:c r="Z18" s="136" t="n">
        <x:v>3</x:v>
      </x:c>
      <x:c r="AA18" s="136" t="n">
        <x:v>266</x:v>
      </x:c>
    </x:row>
    <x:row r="19">
      <x:c r="A19" s="136" t="str">
        <x:v>Antietam | Conquest | Smokestacks</x:v>
      </x:c>
      <x:c r="B19" s="136" t="str">
        <x:v>Gun | 12-pounder Napoleon (CSA) · Entity-1617 [map-1/014]</x:v>
      </x:c>
      <x:c r="C19" s="136" t="str">
        <x:v>gun_spawn</x:v>
      </x:c>
      <x:c r="D19" s="136" t="str"/>
      <x:c r="E19" s="136" t="str">
        <x:v>12-pounder Napoleon (CSA) · Entity-1617</x:v>
      </x:c>
      <x:c r="F19" s="137" t="n">
        <x:v>1288.2528076171875</x:v>
      </x:c>
      <x:c r="G19" s="137" t="n">
        <x:v>1972.53271484375</x:v>
      </x:c>
      <x:c r="H19" s="137" t="n">
        <x:v>63.267364501953125</x:v>
      </x:c>
      <x:c r="I19" s="137" t="n">
        <x:v>1398.9415686786513</x:v>
      </x:c>
      <x:c r="J19" s="137" t="n">
        <x:v>1442.9138495843974</x:v>
      </x:c>
      <x:c r="K19" s="136" t="str">
        <x:v>map-1</x:v>
      </x:c>
      <x:c r="L19" s="136" t="str">
        <x:v>Antietam | Conquest | Smokestacks||Gun | 12-pounder Napoleon (CSA) · Entity-1617 [map-1/014]</x:v>
      </x:c>
      <x:c r="M19" s="134" t="str">
        <x:f>IF(ROW(A14)&lt;=COUNTIF($A$6:$A$2148,'Calculator'!$B$9),INDEX($B$6:$B$2148,SUMIF($T$6:$T$104,'Calculator'!$B$9,$AA$6:$AA$104)+ROW(A14)-1),"")</x:f>
        <x:v>Gun | 12-pounder Napoleon (CSA) · Entity-1617 [map-1/014]</x:v>
      </x:c>
      <x:c r="N19" s="134" t="str">
        <x:f>IF(ROW(A14)&lt;=COUNTIF($A$6:$A$2148,'Calculator'!$B$9),INDEX($C$6:$C$2148,SUMIF($T$6:$T$104,'Calculator'!$B$9,$AA$6:$AA$104)+ROW(A14)-1),"")</x:f>
        <x:v>gun_spawn</x:v>
      </x:c>
      <x:c r="O19" s="134" t="str">
        <x:f>IF(ROW(A14)&lt;=COUNTIF($A$6:$A$2148,'Calculator'!$B$9),INDEX($D$6:$D$2148,SUMIF($T$6:$T$104,'Calculator'!$B$9,$AA$6:$AA$104)+ROW(A14)-1),"")</x:f>
      </x:c>
      <x:c r="P19" s="135" t="n">
        <x:f>IF(ROW(A14)&lt;=COUNTIF($A$6:$A$2148,'Calculator'!$B$9),INDEX($F$6:$F$2148,SUMIF($T$6:$T$104,'Calculator'!$B$9,$AA$6:$AA$104)+ROW(A14)-1),"")</x:f>
        <x:v>1288.2528076171875</x:v>
      </x:c>
      <x:c r="Q19" s="135" t="n">
        <x:f>IF(ROW(A14)&lt;=COUNTIF($A$6:$A$2148,'Calculator'!$B$9),INDEX($G$6:$G$2148,SUMIF($T$6:$T$104,'Calculator'!$B$9,$AA$6:$AA$104)+ROW(A14)-1),"")</x:f>
        <x:v>1972.53271484375</x:v>
      </x:c>
      <x:c r="R19" s="135" t="n">
        <x:f>IF(ROW(A14)&lt;=COUNTIF($A$6:$A$2148,'Calculator'!$B$9),INDEX($H$6:$H$2148,SUMIF($T$6:$T$104,'Calculator'!$B$9,$AA$6:$AA$104)+ROW(A14)-1),"")</x:f>
        <x:v>63.267364501953125</x:v>
      </x:c>
      <x:c r="S19" s="35"/>
      <x:c r="T19" s="136" t="str">
        <x:v>Antietam | Skirmish | East Woods Skirmish</x:v>
      </x:c>
      <x:c r="U19" s="136" t="str">
        <x:v>map-14</x:v>
      </x:c>
      <x:c r="V19" s="136" t="str">
        <x:v>Antietam</x:v>
      </x:c>
      <x:c r="W19" s="136" t="str">
        <x:v>Skirmish</x:v>
      </x:c>
      <x:c r="X19" s="136" t="str">
        <x:v>East Woods Skirmish</x:v>
      </x:c>
      <x:c r="Y19" s="136" t="str">
        <x:v>Skirmish_Evening_East_Woods</x:v>
      </x:c>
      <x:c r="Z19" s="136" t="n">
        <x:v>18</x:v>
      </x:c>
      <x:c r="AA19" s="136" t="n">
        <x:v>269</x:v>
      </x:c>
    </x:row>
    <x:row r="20">
      <x:c r="A20" s="136" t="str">
        <x:v>Antietam | Conquest | Smokestacks</x:v>
      </x:c>
      <x:c r="B20" s="136" t="str">
        <x:v>Gun | 3-inch Ordnance · Entity-1626 [map-1/015]</x:v>
      </x:c>
      <x:c r="C20" s="136" t="str">
        <x:v>gun_spawn</x:v>
      </x:c>
      <x:c r="D20" s="136" t="str"/>
      <x:c r="E20" s="136" t="str">
        <x:v>3-inch Ordnance · Entity-1626</x:v>
      </x:c>
      <x:c r="F20" s="137" t="n">
        <x:v>1250.5130615234375</x:v>
      </x:c>
      <x:c r="G20" s="137" t="n">
        <x:v>1958.68896484375</x:v>
      </x:c>
      <x:c r="H20" s="137" t="n">
        <x:v>62.40275955200195</x:v>
      </x:c>
      <x:c r="I20" s="137" t="n">
        <x:v>1382.108829684755</x:v>
      </x:c>
      <x:c r="J20" s="137" t="n">
        <x:v>1497.612263868855</x:v>
      </x:c>
      <x:c r="K20" s="136" t="str">
        <x:v>map-1</x:v>
      </x:c>
      <x:c r="L20" s="136" t="str">
        <x:v>Antietam | Conquest | Smokestacks||Gun | 3-inch Ordnance · Entity-1626 [map-1/015]</x:v>
      </x:c>
      <x:c r="M20" s="134" t="str">
        <x:f>IF(ROW(A15)&lt;=COUNTIF($A$6:$A$2148,'Calculator'!$B$9),INDEX($B$6:$B$2148,SUMIF($T$6:$T$104,'Calculator'!$B$9,$AA$6:$AA$104)+ROW(A15)-1),"")</x:f>
        <x:v>Gun | 3-inch Ordnance · Entity-1626 [map-1/015]</x:v>
      </x:c>
      <x:c r="N20" s="134" t="str">
        <x:f>IF(ROW(A15)&lt;=COUNTIF($A$6:$A$2148,'Calculator'!$B$9),INDEX($C$6:$C$2148,SUMIF($T$6:$T$104,'Calculator'!$B$9,$AA$6:$AA$104)+ROW(A15)-1),"")</x:f>
        <x:v>gun_spawn</x:v>
      </x:c>
      <x:c r="O20" s="134" t="str">
        <x:f>IF(ROW(A15)&lt;=COUNTIF($A$6:$A$2148,'Calculator'!$B$9),INDEX($D$6:$D$2148,SUMIF($T$6:$T$104,'Calculator'!$B$9,$AA$6:$AA$104)+ROW(A15)-1),"")</x:f>
      </x:c>
      <x:c r="P20" s="135" t="n">
        <x:f>IF(ROW(A15)&lt;=COUNTIF($A$6:$A$2148,'Calculator'!$B$9),INDEX($F$6:$F$2148,SUMIF($T$6:$T$104,'Calculator'!$B$9,$AA$6:$AA$104)+ROW(A15)-1),"")</x:f>
        <x:v>1250.5130615234375</x:v>
      </x:c>
      <x:c r="Q20" s="135" t="n">
        <x:f>IF(ROW(A15)&lt;=COUNTIF($A$6:$A$2148,'Calculator'!$B$9),INDEX($G$6:$G$2148,SUMIF($T$6:$T$104,'Calculator'!$B$9,$AA$6:$AA$104)+ROW(A15)-1),"")</x:f>
        <x:v>1958.68896484375</x:v>
      </x:c>
      <x:c r="R20" s="135" t="n">
        <x:f>IF(ROW(A15)&lt;=COUNTIF($A$6:$A$2148,'Calculator'!$B$9),INDEX($H$6:$H$2148,SUMIF($T$6:$T$104,'Calculator'!$B$9,$AA$6:$AA$104)+ROW(A15)-1),"")</x:f>
        <x:v>62.40275955200195</x:v>
      </x:c>
      <x:c r="S20" s="35"/>
      <x:c r="T20" s="136" t="str">
        <x:v>Antietam | Skirmish | Hooker's Push</x:v>
      </x:c>
      <x:c r="U20" s="136" t="str">
        <x:v>map-15</x:v>
      </x:c>
      <x:c r="V20" s="136" t="str">
        <x:v>Antietam</x:v>
      </x:c>
      <x:c r="W20" s="136" t="str">
        <x:v>Skirmish</x:v>
      </x:c>
      <x:c r="X20" s="136" t="str">
        <x:v>Hooker's Push</x:v>
      </x:c>
      <x:c r="Y20" s="136" t="str">
        <x:v>Skirmish_Hookers_Push</x:v>
      </x:c>
      <x:c r="Z20" s="136" t="n">
        <x:v>41</x:v>
      </x:c>
      <x:c r="AA20" s="136" t="n">
        <x:v>287</x:v>
      </x:c>
    </x:row>
    <x:row r="21">
      <x:c r="A21" s="136" t="str">
        <x:v>Antietam | Conquest | Smokestacks</x:v>
      </x:c>
      <x:c r="B21" s="136" t="str">
        <x:v>Gun | 10-pounder Parrott · Entity-1606 [map-1/016]</x:v>
      </x:c>
      <x:c r="C21" s="136" t="str">
        <x:v>gun_spawn</x:v>
      </x:c>
      <x:c r="D21" s="136" t="str"/>
      <x:c r="E21" s="136" t="str">
        <x:v>10-pounder Parrott · Entity-1606</x:v>
      </x:c>
      <x:c r="F21" s="137" t="n">
        <x:v>1056.94140625</x:v>
      </x:c>
      <x:c r="G21" s="137" t="n">
        <x:v>2283.4951171875</x:v>
      </x:c>
      <x:c r="H21" s="137" t="n">
        <x:v>63.35283660888672</x:v>
      </x:c>
      <x:c r="I21" s="137" t="n">
        <x:v>847.5587898327257</x:v>
      </x:c>
      <x:c r="J21" s="137" t="n">
        <x:v>1437.211971278696</x:v>
      </x:c>
      <x:c r="K21" s="136" t="str">
        <x:v>map-1</x:v>
      </x:c>
      <x:c r="L21" s="136" t="str">
        <x:v>Antietam | Conquest | Smokestacks||Gun | 10-pounder Parrott · Entity-1606 [map-1/016]</x:v>
      </x:c>
      <x:c r="M21" s="134" t="str">
        <x:f>IF(ROW(A16)&lt;=COUNTIF($A$6:$A$2148,'Calculator'!$B$9),INDEX($B$6:$B$2148,SUMIF($T$6:$T$104,'Calculator'!$B$9,$AA$6:$AA$104)+ROW(A16)-1),"")</x:f>
        <x:v>Gun | 10-pounder Parrott · Entity-1606 [map-1/016]</x:v>
      </x:c>
      <x:c r="N21" s="134" t="str">
        <x:f>IF(ROW(A16)&lt;=COUNTIF($A$6:$A$2148,'Calculator'!$B$9),INDEX($C$6:$C$2148,SUMIF($T$6:$T$104,'Calculator'!$B$9,$AA$6:$AA$104)+ROW(A16)-1),"")</x:f>
        <x:v>gun_spawn</x:v>
      </x:c>
      <x:c r="O21" s="134" t="str">
        <x:f>IF(ROW(A16)&lt;=COUNTIF($A$6:$A$2148,'Calculator'!$B$9),INDEX($D$6:$D$2148,SUMIF($T$6:$T$104,'Calculator'!$B$9,$AA$6:$AA$104)+ROW(A16)-1),"")</x:f>
      </x:c>
      <x:c r="P21" s="135" t="n">
        <x:f>IF(ROW(A16)&lt;=COUNTIF($A$6:$A$2148,'Calculator'!$B$9),INDEX($F$6:$F$2148,SUMIF($T$6:$T$104,'Calculator'!$B$9,$AA$6:$AA$104)+ROW(A16)-1),"")</x:f>
        <x:v>1056.94140625</x:v>
      </x:c>
      <x:c r="Q21" s="135" t="n">
        <x:f>IF(ROW(A16)&lt;=COUNTIF($A$6:$A$2148,'Calculator'!$B$9),INDEX($G$6:$G$2148,SUMIF($T$6:$T$104,'Calculator'!$B$9,$AA$6:$AA$104)+ROW(A16)-1),"")</x:f>
        <x:v>2283.4951171875</x:v>
      </x:c>
      <x:c r="R21" s="135" t="n">
        <x:f>IF(ROW(A16)&lt;=COUNTIF($A$6:$A$2148,'Calculator'!$B$9),INDEX($H$6:$H$2148,SUMIF($T$6:$T$104,'Calculator'!$B$9,$AA$6:$AA$104)+ROW(A16)-1),"")</x:f>
        <x:v>63.35283660888672</x:v>
      </x:c>
      <x:c r="S21" s="35"/>
      <x:c r="T21" s="136" t="str">
        <x:v>Antietam | Skirmish | Hagerstown Turnpike</x:v>
      </x:c>
      <x:c r="U21" s="136" t="str">
        <x:v>map-16</x:v>
      </x:c>
      <x:c r="V21" s="136" t="str">
        <x:v>Antietam</x:v>
      </x:c>
      <x:c r="W21" s="136" t="str">
        <x:v>Skirmish</x:v>
      </x:c>
      <x:c r="X21" s="136" t="str">
        <x:v>Hagerstown Turnpike</x:v>
      </x:c>
      <x:c r="Y21" s="136" t="str">
        <x:v>Skirmish_Hagerstown_Turnpike</x:v>
      </x:c>
      <x:c r="Z21" s="136" t="n">
        <x:v>26</x:v>
      </x:c>
      <x:c r="AA21" s="136" t="n">
        <x:v>328</x:v>
      </x:c>
    </x:row>
    <x:row r="22">
      <x:c r="A22" s="136" t="str">
        <x:v>Antietam | Conquest | Smokestacks</x:v>
      </x:c>
      <x:c r="B22" s="136" t="str">
        <x:v>Gun | 3-inch Ordnance · Entity-1622 [map-1/017]</x:v>
      </x:c>
      <x:c r="C22" s="136" t="str">
        <x:v>gun_spawn</x:v>
      </x:c>
      <x:c r="D22" s="136" t="str"/>
      <x:c r="E22" s="136" t="str">
        <x:v>3-inch Ordnance · Entity-1622</x:v>
      </x:c>
      <x:c r="F22" s="137" t="n">
        <x:v>1264.8319091796875</x:v>
      </x:c>
      <x:c r="G22" s="137" t="n">
        <x:v>1963.3388671875</x:v>
      </x:c>
      <x:c r="H22" s="137" t="n">
        <x:v>62.91366195678711</x:v>
      </x:c>
      <x:c r="I22" s="137" t="n">
        <x:v>1389.1776737395826</x:v>
      </x:c>
      <x:c r="J22" s="137" t="n">
        <x:v>1477.3781705631907</x:v>
      </x:c>
      <x:c r="K22" s="136" t="str">
        <x:v>map-1</x:v>
      </x:c>
      <x:c r="L22" s="136" t="str">
        <x:v>Antietam | Conquest | Smokestacks||Gun | 3-inch Ordnance · Entity-1622 [map-1/017]</x:v>
      </x:c>
      <x:c r="M22" s="134" t="str">
        <x:f>IF(ROW(A17)&lt;=COUNTIF($A$6:$A$2148,'Calculator'!$B$9),INDEX($B$6:$B$2148,SUMIF($T$6:$T$104,'Calculator'!$B$9,$AA$6:$AA$104)+ROW(A17)-1),"")</x:f>
        <x:v>Gun | 3-inch Ordnance · Entity-1622 [map-1/017]</x:v>
      </x:c>
      <x:c r="N22" s="134" t="str">
        <x:f>IF(ROW(A17)&lt;=COUNTIF($A$6:$A$2148,'Calculator'!$B$9),INDEX($C$6:$C$2148,SUMIF($T$6:$T$104,'Calculator'!$B$9,$AA$6:$AA$104)+ROW(A17)-1),"")</x:f>
        <x:v>gun_spawn</x:v>
      </x:c>
      <x:c r="O22" s="134" t="str">
        <x:f>IF(ROW(A17)&lt;=COUNTIF($A$6:$A$2148,'Calculator'!$B$9),INDEX($D$6:$D$2148,SUMIF($T$6:$T$104,'Calculator'!$B$9,$AA$6:$AA$104)+ROW(A17)-1),"")</x:f>
      </x:c>
      <x:c r="P22" s="135" t="n">
        <x:f>IF(ROW(A17)&lt;=COUNTIF($A$6:$A$2148,'Calculator'!$B$9),INDEX($F$6:$F$2148,SUMIF($T$6:$T$104,'Calculator'!$B$9,$AA$6:$AA$104)+ROW(A17)-1),"")</x:f>
        <x:v>1264.8319091796875</x:v>
      </x:c>
      <x:c r="Q22" s="135" t="n">
        <x:f>IF(ROW(A17)&lt;=COUNTIF($A$6:$A$2148,'Calculator'!$B$9),INDEX($G$6:$G$2148,SUMIF($T$6:$T$104,'Calculator'!$B$9,$AA$6:$AA$104)+ROW(A17)-1),"")</x:f>
        <x:v>1963.3388671875</x:v>
      </x:c>
      <x:c r="R22" s="135" t="n">
        <x:f>IF(ROW(A17)&lt;=COUNTIF($A$6:$A$2148,'Calculator'!$B$9),INDEX($H$6:$H$2148,SUMIF($T$6:$T$104,'Calculator'!$B$9,$AA$6:$AA$104)+ROW(A17)-1),"")</x:f>
        <x:v>62.91366195678711</x:v>
      </x:c>
      <x:c r="S22" s="35"/>
      <x:c r="T22" s="136" t="str">
        <x:v>Antietam | Skirmish | Miller's Cornfield</x:v>
      </x:c>
      <x:c r="U22" s="136" t="str">
        <x:v>map-17</x:v>
      </x:c>
      <x:c r="V22" s="136" t="str">
        <x:v>Antietam</x:v>
      </x:c>
      <x:c r="W22" s="136" t="str">
        <x:v>Skirmish</x:v>
      </x:c>
      <x:c r="X22" s="136" t="str">
        <x:v>Miller's Cornfield</x:v>
      </x:c>
      <x:c r="Y22" s="136" t="str">
        <x:v>Skirmish_Millers_Cornfield_Hood_Push</x:v>
      </x:c>
      <x:c r="Z22" s="136" t="n">
        <x:v>27</x:v>
      </x:c>
      <x:c r="AA22" s="136" t="n">
        <x:v>354</x:v>
      </x:c>
    </x:row>
    <x:row r="23">
      <x:c r="A23" s="136" t="str">
        <x:v>Antietam | Conquest | Smokestacks</x:v>
      </x:c>
      <x:c r="B23" s="136" t="str">
        <x:v>Gun | 12-pounder Napoleon (USA) · Entity-1609 [map-1/018]</x:v>
      </x:c>
      <x:c r="C23" s="136" t="str">
        <x:v>gun_spawn</x:v>
      </x:c>
      <x:c r="D23" s="136" t="str"/>
      <x:c r="E23" s="136" t="str">
        <x:v>12-pounder Napoleon (USA) · Entity-1609</x:v>
      </x:c>
      <x:c r="F23" s="137" t="n">
        <x:v>1047.1380615234375</x:v>
      </x:c>
      <x:c r="G23" s="137" t="n">
        <x:v>2257.974365234375</x:v>
      </x:c>
      <x:c r="H23" s="137" t="n">
        <x:v>62.706844329833984</x:v>
      </x:c>
      <x:c r="I23" s="137" t="n">
        <x:v>868.0135091338599</x:v>
      </x:c>
      <x:c r="J23" s="137" t="n">
        <x:v>1470.3065656356437</x:v>
      </x:c>
      <x:c r="K23" s="136" t="str">
        <x:v>map-1</x:v>
      </x:c>
      <x:c r="L23" s="136" t="str">
        <x:v>Antietam | Conquest | Smokestacks||Gun | 12-pounder Napoleon (USA) · Entity-1609 [map-1/018]</x:v>
      </x:c>
      <x:c r="M23" s="134" t="str">
        <x:f>IF(ROW(A18)&lt;=COUNTIF($A$6:$A$2148,'Calculator'!$B$9),INDEX($B$6:$B$2148,SUMIF($T$6:$T$104,'Calculator'!$B$9,$AA$6:$AA$104)+ROW(A18)-1),"")</x:f>
        <x:v>Gun | 12-pounder Napoleon (USA) · Entity-1609 [map-1/018]</x:v>
      </x:c>
      <x:c r="N23" s="134" t="str">
        <x:f>IF(ROW(A18)&lt;=COUNTIF($A$6:$A$2148,'Calculator'!$B$9),INDEX($C$6:$C$2148,SUMIF($T$6:$T$104,'Calculator'!$B$9,$AA$6:$AA$104)+ROW(A18)-1),"")</x:f>
        <x:v>gun_spawn</x:v>
      </x:c>
      <x:c r="O23" s="134" t="str">
        <x:f>IF(ROW(A18)&lt;=COUNTIF($A$6:$A$2148,'Calculator'!$B$9),INDEX($D$6:$D$2148,SUMIF($T$6:$T$104,'Calculator'!$B$9,$AA$6:$AA$104)+ROW(A18)-1),"")</x:f>
      </x:c>
      <x:c r="P23" s="135" t="n">
        <x:f>IF(ROW(A18)&lt;=COUNTIF($A$6:$A$2148,'Calculator'!$B$9),INDEX($F$6:$F$2148,SUMIF($T$6:$T$104,'Calculator'!$B$9,$AA$6:$AA$104)+ROW(A18)-1),"")</x:f>
        <x:v>1047.1380615234375</x:v>
      </x:c>
      <x:c r="Q23" s="135" t="n">
        <x:f>IF(ROW(A18)&lt;=COUNTIF($A$6:$A$2148,'Calculator'!$B$9),INDEX($G$6:$G$2148,SUMIF($T$6:$T$104,'Calculator'!$B$9,$AA$6:$AA$104)+ROW(A18)-1),"")</x:f>
        <x:v>2257.974365234375</x:v>
      </x:c>
      <x:c r="R23" s="135" t="n">
        <x:f>IF(ROW(A18)&lt;=COUNTIF($A$6:$A$2148,'Calculator'!$B$9),INDEX($H$6:$H$2148,SUMIF($T$6:$T$104,'Calculator'!$B$9,$AA$6:$AA$104)+ROW(A18)-1),"")</x:f>
        <x:v>62.706844329833984</x:v>
      </x:c>
      <x:c r="S23" s="35"/>
      <x:c r="T23" s="136" t="str">
        <x:v>Antietam | Skirmish | East Woods</x:v>
      </x:c>
      <x:c r="U23" s="136" t="str">
        <x:v>map-18</x:v>
      </x:c>
      <x:c r="V23" s="136" t="str">
        <x:v>Antietam</x:v>
      </x:c>
      <x:c r="W23" s="136" t="str">
        <x:v>Skirmish</x:v>
      </x:c>
      <x:c r="X23" s="136" t="str">
        <x:v>East Woods</x:v>
      </x:c>
      <x:c r="Y23" s="136" t="str">
        <x:v>Skirmish_East_Woods_Hood_Push</x:v>
      </x:c>
      <x:c r="Z23" s="136" t="n">
        <x:v>11</x:v>
      </x:c>
      <x:c r="AA23" s="136" t="n">
        <x:v>381</x:v>
      </x:c>
    </x:row>
    <x:row r="24">
      <x:c r="A24" s="136" t="str">
        <x:v>Antietam | Conquest | Smokestacks</x:v>
      </x:c>
      <x:c r="B24" s="136" t="str">
        <x:v>Gun | 10-pounder Parrott · Entity-1604 [map-1/019]</x:v>
      </x:c>
      <x:c r="C24" s="136" t="str">
        <x:v>gun_spawn</x:v>
      </x:c>
      <x:c r="D24" s="136" t="str"/>
      <x:c r="E24" s="136" t="str">
        <x:v>10-pounder Parrott · Entity-1604</x:v>
      </x:c>
      <x:c r="F24" s="137" t="n">
        <x:v>1062.8499755859375</x:v>
      </x:c>
      <x:c r="G24" s="137" t="n">
        <x:v>2298.59814453125</x:v>
      </x:c>
      <x:c r="H24" s="137" t="n">
        <x:v>63.37196731567383</x:v>
      </x:c>
      <x:c r="I24" s="137" t="n">
        <x:v>835.5459882113383</x:v>
      </x:c>
      <x:c r="J24" s="137" t="n">
        <x:v>1417.505508197064</x:v>
      </x:c>
      <x:c r="K24" s="136" t="str">
        <x:v>map-1</x:v>
      </x:c>
      <x:c r="L24" s="136" t="str">
        <x:v>Antietam | Conquest | Smokestacks||Gun | 10-pounder Parrott · Entity-1604 [map-1/019]</x:v>
      </x:c>
      <x:c r="M24" s="134" t="str">
        <x:f>IF(ROW(A19)&lt;=COUNTIF($A$6:$A$2148,'Calculator'!$B$9),INDEX($B$6:$B$2148,SUMIF($T$6:$T$104,'Calculator'!$B$9,$AA$6:$AA$104)+ROW(A19)-1),"")</x:f>
        <x:v>Gun | 10-pounder Parrott · Entity-1604 [map-1/019]</x:v>
      </x:c>
      <x:c r="N24" s="134" t="str">
        <x:f>IF(ROW(A19)&lt;=COUNTIF($A$6:$A$2148,'Calculator'!$B$9),INDEX($C$6:$C$2148,SUMIF($T$6:$T$104,'Calculator'!$B$9,$AA$6:$AA$104)+ROW(A19)-1),"")</x:f>
        <x:v>gun_spawn</x:v>
      </x:c>
      <x:c r="O24" s="134" t="str">
        <x:f>IF(ROW(A19)&lt;=COUNTIF($A$6:$A$2148,'Calculator'!$B$9),INDEX($D$6:$D$2148,SUMIF($T$6:$T$104,'Calculator'!$B$9,$AA$6:$AA$104)+ROW(A19)-1),"")</x:f>
      </x:c>
      <x:c r="P24" s="135" t="n">
        <x:f>IF(ROW(A19)&lt;=COUNTIF($A$6:$A$2148,'Calculator'!$B$9),INDEX($F$6:$F$2148,SUMIF($T$6:$T$104,'Calculator'!$B$9,$AA$6:$AA$104)+ROW(A19)-1),"")</x:f>
        <x:v>1062.8499755859375</x:v>
      </x:c>
      <x:c r="Q24" s="135" t="n">
        <x:f>IF(ROW(A19)&lt;=COUNTIF($A$6:$A$2148,'Calculator'!$B$9),INDEX($G$6:$G$2148,SUMIF($T$6:$T$104,'Calculator'!$B$9,$AA$6:$AA$104)+ROW(A19)-1),"")</x:f>
        <x:v>2298.59814453125</x:v>
      </x:c>
      <x:c r="R24" s="135" t="n">
        <x:f>IF(ROW(A19)&lt;=COUNTIF($A$6:$A$2148,'Calculator'!$B$9),INDEX($H$6:$H$2148,SUMIF($T$6:$T$104,'Calculator'!$B$9,$AA$6:$AA$104)+ROW(A19)-1),"")</x:f>
        <x:v>63.37196731567383</x:v>
      </x:c>
      <x:c r="S24" s="35"/>
      <x:c r="T24" s="136" t="str">
        <x:v>Antietam | Skirmish | Nicodemus Hill</x:v>
      </x:c>
      <x:c r="U24" s="136" t="str">
        <x:v>map-19</x:v>
      </x:c>
      <x:c r="V24" s="136" t="str">
        <x:v>Antietam</x:v>
      </x:c>
      <x:c r="W24" s="136" t="str">
        <x:v>Skirmish</x:v>
      </x:c>
      <x:c r="X24" s="136" t="str">
        <x:v>Nicodemus Hill</x:v>
      </x:c>
      <x:c r="Y24" s="136" t="str">
        <x:v>Skirmish_Nicodemus_Hill</x:v>
      </x:c>
      <x:c r="Z24" s="136" t="n">
        <x:v>47</x:v>
      </x:c>
      <x:c r="AA24" s="136" t="n">
        <x:v>392</x:v>
      </x:c>
    </x:row>
    <x:row r="25">
      <x:c r="A25" s="136" t="str">
        <x:v>Antietam | Conquest | Smokestacks</x:v>
      </x:c>
      <x:c r="B25" s="136" t="str">
        <x:v>Gun | 12-pounder Napoleon (USA) · Entity-1608 [map-1/020]</x:v>
      </x:c>
      <x:c r="C25" s="136" t="str">
        <x:v>gun_spawn</x:v>
      </x:c>
      <x:c r="D25" s="136" t="str"/>
      <x:c r="E25" s="136" t="str">
        <x:v>12-pounder Napoleon (USA) · Entity-1608</x:v>
      </x:c>
      <x:c r="F25" s="137" t="n">
        <x:v>1050.7960205078125</x:v>
      </x:c>
      <x:c r="G25" s="137" t="n">
        <x:v>2266.920166015625</x:v>
      </x:c>
      <x:c r="H25" s="137" t="n">
        <x:v>63.04673767089844</x:v>
      </x:c>
      <x:c r="I25" s="137" t="n">
        <x:v>861.0343842920288</x:v>
      </x:c>
      <x:c r="J25" s="137" t="n">
        <x:v>1458.4547597431751</x:v>
      </x:c>
      <x:c r="K25" s="136" t="str">
        <x:v>map-1</x:v>
      </x:c>
      <x:c r="L25" s="136" t="str">
        <x:v>Antietam | Conquest | Smokestacks||Gun | 12-pounder Napoleon (USA) · Entity-1608 [map-1/020]</x:v>
      </x:c>
      <x:c r="M25" s="134" t="str">
        <x:f>IF(ROW(A20)&lt;=COUNTIF($A$6:$A$2148,'Calculator'!$B$9),INDEX($B$6:$B$2148,SUMIF($T$6:$T$104,'Calculator'!$B$9,$AA$6:$AA$104)+ROW(A20)-1),"")</x:f>
        <x:v>Gun | 12-pounder Napoleon (USA) · Entity-1608 [map-1/020]</x:v>
      </x:c>
      <x:c r="N25" s="134" t="str">
        <x:f>IF(ROW(A20)&lt;=COUNTIF($A$6:$A$2148,'Calculator'!$B$9),INDEX($C$6:$C$2148,SUMIF($T$6:$T$104,'Calculator'!$B$9,$AA$6:$AA$104)+ROW(A20)-1),"")</x:f>
        <x:v>gun_spawn</x:v>
      </x:c>
      <x:c r="O25" s="134" t="str">
        <x:f>IF(ROW(A20)&lt;=COUNTIF($A$6:$A$2148,'Calculator'!$B$9),INDEX($D$6:$D$2148,SUMIF($T$6:$T$104,'Calculator'!$B$9,$AA$6:$AA$104)+ROW(A20)-1),"")</x:f>
      </x:c>
      <x:c r="P25" s="135" t="n">
        <x:f>IF(ROW(A20)&lt;=COUNTIF($A$6:$A$2148,'Calculator'!$B$9),INDEX($F$6:$F$2148,SUMIF($T$6:$T$104,'Calculator'!$B$9,$AA$6:$AA$104)+ROW(A20)-1),"")</x:f>
        <x:v>1050.7960205078125</x:v>
      </x:c>
      <x:c r="Q25" s="135" t="n">
        <x:f>IF(ROW(A20)&lt;=COUNTIF($A$6:$A$2148,'Calculator'!$B$9),INDEX($G$6:$G$2148,SUMIF($T$6:$T$104,'Calculator'!$B$9,$AA$6:$AA$104)+ROW(A20)-1),"")</x:f>
        <x:v>2266.920166015625</x:v>
      </x:c>
      <x:c r="R25" s="135" t="n">
        <x:f>IF(ROW(A20)&lt;=COUNTIF($A$6:$A$2148,'Calculator'!$B$9),INDEX($H$6:$H$2148,SUMIF($T$6:$T$104,'Calculator'!$B$9,$AA$6:$AA$104)+ROW(A20)-1),"")</x:f>
        <x:v>63.04673767089844</x:v>
      </x:c>
      <x:c r="S25" s="35"/>
      <x:c r="T25" s="136" t="str">
        <x:v>Antietam | Skirmish | Bloody Lane</x:v>
      </x:c>
      <x:c r="U25" s="136" t="str">
        <x:v>map-20</x:v>
      </x:c>
      <x:c r="V25" s="136" t="str">
        <x:v>Antietam</x:v>
      </x:c>
      <x:c r="W25" s="136" t="str">
        <x:v>Skirmish</x:v>
      </x:c>
      <x:c r="X25" s="136" t="str">
        <x:v>Bloody Lane</x:v>
      </x:c>
      <x:c r="Y25" s="136" t="str">
        <x:v>Skirmish_Roulette_Bloody_Lane</x:v>
      </x:c>
      <x:c r="Z25" s="136" t="n">
        <x:v>19</x:v>
      </x:c>
      <x:c r="AA25" s="136" t="n">
        <x:v>439</x:v>
      </x:c>
    </x:row>
    <x:row r="26">
      <x:c r="A26" s="136" t="str">
        <x:v>Antietam | Conquest | Smokestacks</x:v>
      </x:c>
      <x:c r="B26" s="136" t="str">
        <x:v>Gun | 12-pounder Napoleon (USA) · Entity-1621 [map-1/021]</x:v>
      </x:c>
      <x:c r="C26" s="136" t="str">
        <x:v>gun_spawn</x:v>
      </x:c>
      <x:c r="D26" s="136" t="str"/>
      <x:c r="E26" s="136" t="str">
        <x:v>12-pounder Napoleon (USA) · Entity-1621</x:v>
      </x:c>
      <x:c r="F26" s="137" t="n">
        <x:v>1271.0360107421875</x:v>
      </x:c>
      <x:c r="G26" s="137" t="n">
        <x:v>1966.1629638671875</x:v>
      </x:c>
      <x:c r="H26" s="137" t="n">
        <x:v>63.1087646484375</x:v>
      </x:c>
      <x:c r="I26" s="137" t="n">
        <x:v>1391.323949890003</x:v>
      </x:c>
      <x:c r="J26" s="137" t="n">
        <x:v>1467.9138967843867</x:v>
      </x:c>
      <x:c r="K26" s="136" t="str">
        <x:v>map-1</x:v>
      </x:c>
      <x:c r="L26" s="136" t="str">
        <x:v>Antietam | Conquest | Smokestacks||Gun | 12-pounder Napoleon (USA) · Entity-1621 [map-1/021]</x:v>
      </x:c>
      <x:c r="M26" s="134" t="str">
        <x:f>IF(ROW(A21)&lt;=COUNTIF($A$6:$A$2148,'Calculator'!$B$9),INDEX($B$6:$B$2148,SUMIF($T$6:$T$104,'Calculator'!$B$9,$AA$6:$AA$104)+ROW(A21)-1),"")</x:f>
        <x:v>Gun | 12-pounder Napoleon (USA) · Entity-1621 [map-1/021]</x:v>
      </x:c>
      <x:c r="N26" s="134" t="str">
        <x:f>IF(ROW(A21)&lt;=COUNTIF($A$6:$A$2148,'Calculator'!$B$9),INDEX($C$6:$C$2148,SUMIF($T$6:$T$104,'Calculator'!$B$9,$AA$6:$AA$104)+ROW(A21)-1),"")</x:f>
        <x:v>gun_spawn</x:v>
      </x:c>
      <x:c r="O26" s="134" t="str">
        <x:f>IF(ROW(A21)&lt;=COUNTIF($A$6:$A$2148,'Calculator'!$B$9),INDEX($D$6:$D$2148,SUMIF($T$6:$T$104,'Calculator'!$B$9,$AA$6:$AA$104)+ROW(A21)-1),"")</x:f>
      </x:c>
      <x:c r="P26" s="135" t="n">
        <x:f>IF(ROW(A21)&lt;=COUNTIF($A$6:$A$2148,'Calculator'!$B$9),INDEX($F$6:$F$2148,SUMIF($T$6:$T$104,'Calculator'!$B$9,$AA$6:$AA$104)+ROW(A21)-1),"")</x:f>
        <x:v>1271.0360107421875</x:v>
      </x:c>
      <x:c r="Q26" s="135" t="n">
        <x:f>IF(ROW(A21)&lt;=COUNTIF($A$6:$A$2148,'Calculator'!$B$9),INDEX($G$6:$G$2148,SUMIF($T$6:$T$104,'Calculator'!$B$9,$AA$6:$AA$104)+ROW(A21)-1),"")</x:f>
        <x:v>1966.1629638671875</x:v>
      </x:c>
      <x:c r="R26" s="135" t="n">
        <x:f>IF(ROW(A21)&lt;=COUNTIF($A$6:$A$2148,'Calculator'!$B$9),INDEX($H$6:$H$2148,SUMIF($T$6:$T$104,'Calculator'!$B$9,$AA$6:$AA$104)+ROW(A21)-1),"")</x:f>
        <x:v>63.1087646484375</x:v>
      </x:c>
      <x:c r="S26" s="35"/>
      <x:c r="T26" s="136" t="str">
        <x:v>Antietam | Skirmish | Pry Ford</x:v>
      </x:c>
      <x:c r="U26" s="136" t="str">
        <x:v>map-21</x:v>
      </x:c>
      <x:c r="V26" s="136" t="str">
        <x:v>Antietam</x:v>
      </x:c>
      <x:c r="W26" s="136" t="str">
        <x:v>Skirmish</x:v>
      </x:c>
      <x:c r="X26" s="136" t="str">
        <x:v>Pry Ford</x:v>
      </x:c>
      <x:c r="Y26" s="136" t="str">
        <x:v>Skirmish_Pry_Ford</x:v>
      </x:c>
      <x:c r="Z26" s="136" t="n">
        <x:v>29</x:v>
      </x:c>
      <x:c r="AA26" s="136" t="n">
        <x:v>458</x:v>
      </x:c>
    </x:row>
    <x:row r="27">
      <x:c r="A27" s="136" t="str">
        <x:v>Antietam | Conquest | Smokestacks</x:v>
      </x:c>
      <x:c r="B27" s="136" t="str">
        <x:v>Gun | 10-pounder Parrott · Entity-1605 [map-1/022]</x:v>
      </x:c>
      <x:c r="C27" s="136" t="str">
        <x:v>gun_spawn</x:v>
      </x:c>
      <x:c r="D27" s="136" t="str"/>
      <x:c r="E27" s="136" t="str">
        <x:v>10-pounder Parrott · Entity-1605</x:v>
      </x:c>
      <x:c r="F27" s="137" t="n">
        <x:v>1059.5897216796875</x:v>
      </x:c>
      <x:c r="G27" s="137" t="n">
        <x:v>2290.405517578125</x:v>
      </x:c>
      <x:c r="H27" s="137" t="n">
        <x:v>63.37594223022461</x:v>
      </x:c>
      <x:c r="I27" s="137" t="n">
        <x:v>842.0148139485018</x:v>
      </x:c>
      <x:c r="J27" s="137" t="n">
        <x:v>1428.2577765166156</x:v>
      </x:c>
      <x:c r="K27" s="136" t="str">
        <x:v>map-1</x:v>
      </x:c>
      <x:c r="L27" s="136" t="str">
        <x:v>Antietam | Conquest | Smokestacks||Gun | 10-pounder Parrott · Entity-1605 [map-1/022]</x:v>
      </x:c>
      <x:c r="M27" s="134" t="str">
        <x:f>IF(ROW(A22)&lt;=COUNTIF($A$6:$A$2148,'Calculator'!$B$9),INDEX($B$6:$B$2148,SUMIF($T$6:$T$104,'Calculator'!$B$9,$AA$6:$AA$104)+ROW(A22)-1),"")</x:f>
        <x:v>Gun | 10-pounder Parrott · Entity-1605 [map-1/022]</x:v>
      </x:c>
      <x:c r="N27" s="134" t="str">
        <x:f>IF(ROW(A22)&lt;=COUNTIF($A$6:$A$2148,'Calculator'!$B$9),INDEX($C$6:$C$2148,SUMIF($T$6:$T$104,'Calculator'!$B$9,$AA$6:$AA$104)+ROW(A22)-1),"")</x:f>
        <x:v>gun_spawn</x:v>
      </x:c>
      <x:c r="O27" s="134" t="str">
        <x:f>IF(ROW(A22)&lt;=COUNTIF($A$6:$A$2148,'Calculator'!$B$9),INDEX($D$6:$D$2148,SUMIF($T$6:$T$104,'Calculator'!$B$9,$AA$6:$AA$104)+ROW(A22)-1),"")</x:f>
      </x:c>
      <x:c r="P27" s="135" t="n">
        <x:f>IF(ROW(A22)&lt;=COUNTIF($A$6:$A$2148,'Calculator'!$B$9),INDEX($F$6:$F$2148,SUMIF($T$6:$T$104,'Calculator'!$B$9,$AA$6:$AA$104)+ROW(A22)-1),"")</x:f>
        <x:v>1059.5897216796875</x:v>
      </x:c>
      <x:c r="Q27" s="135" t="n">
        <x:f>IF(ROW(A22)&lt;=COUNTIF($A$6:$A$2148,'Calculator'!$B$9),INDEX($G$6:$G$2148,SUMIF($T$6:$T$104,'Calculator'!$B$9,$AA$6:$AA$104)+ROW(A22)-1),"")</x:f>
        <x:v>2290.405517578125</x:v>
      </x:c>
      <x:c r="R27" s="135" t="n">
        <x:f>IF(ROW(A22)&lt;=COUNTIF($A$6:$A$2148,'Calculator'!$B$9),INDEX($H$6:$H$2148,SUMIF($T$6:$T$104,'Calculator'!$B$9,$AA$6:$AA$104)+ROW(A22)-1),"")</x:f>
        <x:v>63.37594223022461</x:v>
      </x:c>
      <x:c r="S27" s="35"/>
      <x:c r="T27" s="136" t="str">
        <x:v>Antietam | Skirmish | Pry Grist Mill</x:v>
      </x:c>
      <x:c r="U27" s="136" t="str">
        <x:v>map-22</x:v>
      </x:c>
      <x:c r="V27" s="136" t="str">
        <x:v>Antietam</x:v>
      </x:c>
      <x:c r="W27" s="136" t="str">
        <x:v>Skirmish</x:v>
      </x:c>
      <x:c r="X27" s="136" t="str">
        <x:v>Pry Grist Mill</x:v>
      </x:c>
      <x:c r="Y27" s="136" t="str">
        <x:v>Skirmish_Pry_Grist_Mill</x:v>
      </x:c>
      <x:c r="Z27" s="136" t="n">
        <x:v>9</x:v>
      </x:c>
      <x:c r="AA27" s="136" t="n">
        <x:v>487</x:v>
      </x:c>
    </x:row>
    <x:row r="28">
      <x:c r="A28" s="136" t="str">
        <x:v>Antietam | Conquest | Smokestacks</x:v>
      </x:c>
      <x:c r="B28" s="136" t="str">
        <x:v>Gun | 12-pounder Napoleon (CSA) · Entity-1618 [map-1/023]</x:v>
      </x:c>
      <x:c r="C28" s="136" t="str">
        <x:v>gun_spawn</x:v>
      </x:c>
      <x:c r="D28" s="136" t="str"/>
      <x:c r="E28" s="136" t="str">
        <x:v>12-pounder Napoleon (CSA) · Entity-1618</x:v>
      </x:c>
      <x:c r="F28" s="137" t="n">
        <x:v>1278.942138671875</x:v>
      </x:c>
      <x:c r="G28" s="137" t="n">
        <x:v>1969.097412109375</x:v>
      </x:c>
      <x:c r="H28" s="137" t="n">
        <x:v>63.320281982421875</x:v>
      </x:c>
      <x:c r="I28" s="137" t="n">
        <x:v>1394.811400224385</x:v>
      </x:c>
      <x:c r="J28" s="137" t="n">
        <x:v>1456.425529305915</x:v>
      </x:c>
      <x:c r="K28" s="136" t="str">
        <x:v>map-1</x:v>
      </x:c>
      <x:c r="L28" s="136" t="str">
        <x:v>Antietam | Conquest | Smokestacks||Gun | 12-pounder Napoleon (CSA) · Entity-1618 [map-1/023]</x:v>
      </x:c>
      <x:c r="M28" s="134" t="str">
        <x:f>IF(ROW(A23)&lt;=COUNTIF($A$6:$A$2148,'Calculator'!$B$9),INDEX($B$6:$B$2148,SUMIF($T$6:$T$104,'Calculator'!$B$9,$AA$6:$AA$104)+ROW(A23)-1),"")</x:f>
        <x:v>Gun | 12-pounder Napoleon (CSA) · Entity-1618 [map-1/023]</x:v>
      </x:c>
      <x:c r="N28" s="134" t="str">
        <x:f>IF(ROW(A23)&lt;=COUNTIF($A$6:$A$2148,'Calculator'!$B$9),INDEX($C$6:$C$2148,SUMIF($T$6:$T$104,'Calculator'!$B$9,$AA$6:$AA$104)+ROW(A23)-1),"")</x:f>
        <x:v>gun_spawn</x:v>
      </x:c>
      <x:c r="O28" s="134" t="str">
        <x:f>IF(ROW(A23)&lt;=COUNTIF($A$6:$A$2148,'Calculator'!$B$9),INDEX($D$6:$D$2148,SUMIF($T$6:$T$104,'Calculator'!$B$9,$AA$6:$AA$104)+ROW(A23)-1),"")</x:f>
      </x:c>
      <x:c r="P28" s="135" t="n">
        <x:f>IF(ROW(A23)&lt;=COUNTIF($A$6:$A$2148,'Calculator'!$B$9),INDEX($F$6:$F$2148,SUMIF($T$6:$T$104,'Calculator'!$B$9,$AA$6:$AA$104)+ROW(A23)-1),"")</x:f>
        <x:v>1278.942138671875</x:v>
      </x:c>
      <x:c r="Q28" s="135" t="n">
        <x:f>IF(ROW(A23)&lt;=COUNTIF($A$6:$A$2148,'Calculator'!$B$9),INDEX($G$6:$G$2148,SUMIF($T$6:$T$104,'Calculator'!$B$9,$AA$6:$AA$104)+ROW(A23)-1),"")</x:f>
        <x:v>1969.097412109375</x:v>
      </x:c>
      <x:c r="R28" s="135" t="n">
        <x:f>IF(ROW(A23)&lt;=COUNTIF($A$6:$A$2148,'Calculator'!$B$9),INDEX($H$6:$H$2148,SUMIF($T$6:$T$104,'Calculator'!$B$9,$AA$6:$AA$104)+ROW(A23)-1),"")</x:f>
        <x:v>63.320281982421875</x:v>
      </x:c>
      <x:c r="S28" s="35"/>
      <x:c r="T28" s="136" t="str">
        <x:v>Antietam | Skirmish | Pry House</x:v>
      </x:c>
      <x:c r="U28" s="136" t="str">
        <x:v>map-23</x:v>
      </x:c>
      <x:c r="V28" s="136" t="str">
        <x:v>Antietam</x:v>
      </x:c>
      <x:c r="W28" s="136" t="str">
        <x:v>Skirmish</x:v>
      </x:c>
      <x:c r="X28" s="136" t="str">
        <x:v>Pry House</x:v>
      </x:c>
      <x:c r="Y28" s="136" t="str">
        <x:v>Skirmish_Pry_House</x:v>
      </x:c>
      <x:c r="Z28" s="136" t="n">
        <x:v>25</x:v>
      </x:c>
      <x:c r="AA28" s="136" t="n">
        <x:v>496</x:v>
      </x:c>
    </x:row>
    <x:row r="29">
      <x:c r="A29" s="136" t="str">
        <x:v>Antietam | Conquest | Smokestacks</x:v>
      </x:c>
      <x:c r="B29" s="136" t="str">
        <x:v>Gun | 3-inch Ordnance · Entity-1625 [map-1/024]</x:v>
      </x:c>
      <x:c r="C29" s="136" t="str">
        <x:v>gun_spawn</x:v>
      </x:c>
      <x:c r="D29" s="136" t="str"/>
      <x:c r="E29" s="136" t="str">
        <x:v>3-inch Ordnance · Entity-1625</x:v>
      </x:c>
      <x:c r="F29" s="137" t="n">
        <x:v>1257.568603515625</x:v>
      </x:c>
      <x:c r="G29" s="137" t="n">
        <x:v>1960.8155517578125</x:v>
      </x:c>
      <x:c r="H29" s="137" t="n">
        <x:v>62.66165542602539</x:v>
      </x:c>
      <x:c r="I29" s="137" t="n">
        <x:v>1385.7783924854216</x:v>
      </x:c>
      <x:c r="J29" s="137" t="n">
        <x:v>1487.7838264856473</x:v>
      </x:c>
      <x:c r="K29" s="136" t="str">
        <x:v>map-1</x:v>
      </x:c>
      <x:c r="L29" s="136" t="str">
        <x:v>Antietam | Conquest | Smokestacks||Gun | 3-inch Ordnance · Entity-1625 [map-1/024]</x:v>
      </x:c>
      <x:c r="M29" s="134" t="str">
        <x:f>IF(ROW(A24)&lt;=COUNTIF($A$6:$A$2148,'Calculator'!$B$9),INDEX($B$6:$B$2148,SUMIF($T$6:$T$104,'Calculator'!$B$9,$AA$6:$AA$104)+ROW(A24)-1),"")</x:f>
        <x:v>Gun | 3-inch Ordnance · Entity-1625 [map-1/024]</x:v>
      </x:c>
      <x:c r="N29" s="134" t="str">
        <x:f>IF(ROW(A24)&lt;=COUNTIF($A$6:$A$2148,'Calculator'!$B$9),INDEX($C$6:$C$2148,SUMIF($T$6:$T$104,'Calculator'!$B$9,$AA$6:$AA$104)+ROW(A24)-1),"")</x:f>
        <x:v>gun_spawn</x:v>
      </x:c>
      <x:c r="O29" s="134" t="str">
        <x:f>IF(ROW(A24)&lt;=COUNTIF($A$6:$A$2148,'Calculator'!$B$9),INDEX($D$6:$D$2148,SUMIF($T$6:$T$104,'Calculator'!$B$9,$AA$6:$AA$104)+ROW(A24)-1),"")</x:f>
      </x:c>
      <x:c r="P29" s="135" t="n">
        <x:f>IF(ROW(A24)&lt;=COUNTIF($A$6:$A$2148,'Calculator'!$B$9),INDEX($F$6:$F$2148,SUMIF($T$6:$T$104,'Calculator'!$B$9,$AA$6:$AA$104)+ROW(A24)-1),"")</x:f>
        <x:v>1257.568603515625</x:v>
      </x:c>
      <x:c r="Q29" s="135" t="n">
        <x:f>IF(ROW(A24)&lt;=COUNTIF($A$6:$A$2148,'Calculator'!$B$9),INDEX($G$6:$G$2148,SUMIF($T$6:$T$104,'Calculator'!$B$9,$AA$6:$AA$104)+ROW(A24)-1),"")</x:f>
        <x:v>1960.8155517578125</x:v>
      </x:c>
      <x:c r="R29" s="135" t="n">
        <x:f>IF(ROW(A24)&lt;=COUNTIF($A$6:$A$2148,'Calculator'!$B$9),INDEX($H$6:$H$2148,SUMIF($T$6:$T$104,'Calculator'!$B$9,$AA$6:$AA$104)+ROW(A24)-1),"")</x:f>
        <x:v>62.66165542602539</x:v>
      </x:c>
      <x:c r="S29" s="35"/>
      <x:c r="T29" s="136" t="str">
        <x:v>Antietam | Skirmish | West Woods</x:v>
      </x:c>
      <x:c r="U29" s="136" t="str">
        <x:v>map-24</x:v>
      </x:c>
      <x:c r="V29" s="136" t="str">
        <x:v>Antietam</x:v>
      </x:c>
      <x:c r="W29" s="136" t="str">
        <x:v>Skirmish</x:v>
      </x:c>
      <x:c r="X29" s="136" t="str">
        <x:v>West Woods</x:v>
      </x:c>
      <x:c r="Y29" s="136" t="str">
        <x:v>Skirmish_West_Woods</x:v>
      </x:c>
      <x:c r="Z29" s="136" t="n">
        <x:v>13</x:v>
      </x:c>
      <x:c r="AA29" s="136" t="n">
        <x:v>521</x:v>
      </x:c>
    </x:row>
    <x:row r="30">
      <x:c r="A30" s="136" t="str">
        <x:v>Antietam | Conquest | Smokestacks</x:v>
      </x:c>
      <x:c r="B30" s="136" t="str">
        <x:v>Gun | 12-pounder Napoleon (USA) · Entity-1607 [map-1/025]</x:v>
      </x:c>
      <x:c r="C30" s="136" t="str">
        <x:v>gun_spawn</x:v>
      </x:c>
      <x:c r="D30" s="136" t="str"/>
      <x:c r="E30" s="136" t="str">
        <x:v>12-pounder Napoleon (USA) · Entity-1607</x:v>
      </x:c>
      <x:c r="F30" s="137" t="n">
        <x:v>1054.104248046875</x:v>
      </x:c>
      <x:c r="G30" s="137" t="n">
        <x:v>2275.8359375</x:v>
      </x:c>
      <x:c r="H30" s="137" t="n">
        <x:v>63.286869049072266</x:v>
      </x:c>
      <x:c r="I30" s="137" t="n">
        <x:v>853.7880036501126</x:v>
      </x:c>
      <x:c r="J30" s="137" t="n">
        <x:v>1447.0251985652965</x:v>
      </x:c>
      <x:c r="K30" s="136" t="str">
        <x:v>map-1</x:v>
      </x:c>
      <x:c r="L30" s="136" t="str">
        <x:v>Antietam | Conquest | Smokestacks||Gun | 12-pounder Napoleon (USA) · Entity-1607 [map-1/025]</x:v>
      </x:c>
      <x:c r="M30" s="134" t="str">
        <x:f>IF(ROW(A25)&lt;=COUNTIF($A$6:$A$2148,'Calculator'!$B$9),INDEX($B$6:$B$2148,SUMIF($T$6:$T$104,'Calculator'!$B$9,$AA$6:$AA$104)+ROW(A25)-1),"")</x:f>
        <x:v>Gun | 12-pounder Napoleon (USA) · Entity-1607 [map-1/025]</x:v>
      </x:c>
      <x:c r="N30" s="134" t="str">
        <x:f>IF(ROW(A25)&lt;=COUNTIF($A$6:$A$2148,'Calculator'!$B$9),INDEX($C$6:$C$2148,SUMIF($T$6:$T$104,'Calculator'!$B$9,$AA$6:$AA$104)+ROW(A25)-1),"")</x:f>
        <x:v>gun_spawn</x:v>
      </x:c>
      <x:c r="O30" s="134" t="str">
        <x:f>IF(ROW(A25)&lt;=COUNTIF($A$6:$A$2148,'Calculator'!$B$9),INDEX($D$6:$D$2148,SUMIF($T$6:$T$104,'Calculator'!$B$9,$AA$6:$AA$104)+ROW(A25)-1),"")</x:f>
      </x:c>
      <x:c r="P30" s="135" t="n">
        <x:f>IF(ROW(A25)&lt;=COUNTIF($A$6:$A$2148,'Calculator'!$B$9),INDEX($F$6:$F$2148,SUMIF($T$6:$T$104,'Calculator'!$B$9,$AA$6:$AA$104)+ROW(A25)-1),"")</x:f>
        <x:v>1054.104248046875</x:v>
      </x:c>
      <x:c r="Q30" s="135" t="n">
        <x:f>IF(ROW(A25)&lt;=COUNTIF($A$6:$A$2148,'Calculator'!$B$9),INDEX($G$6:$G$2148,SUMIF($T$6:$T$104,'Calculator'!$B$9,$AA$6:$AA$104)+ROW(A25)-1),"")</x:f>
        <x:v>2275.8359375</x:v>
      </x:c>
      <x:c r="R30" s="135" t="n">
        <x:f>IF(ROW(A25)&lt;=COUNTIF($A$6:$A$2148,'Calculator'!$B$9),INDEX($H$6:$H$2148,SUMIF($T$6:$T$104,'Calculator'!$B$9,$AA$6:$AA$104)+ROW(A25)-1),"")</x:f>
        <x:v>63.286869049072266</x:v>
      </x:c>
      <x:c r="S30" s="35"/>
      <x:c r="T30" s="136" t="str">
        <x:v>Antietam | Skirmish | Dunker Church</x:v>
      </x:c>
      <x:c r="U30" s="136" t="str">
        <x:v>map-25</x:v>
      </x:c>
      <x:c r="V30" s="136" t="str">
        <x:v>Antietam</x:v>
      </x:c>
      <x:c r="W30" s="136" t="str">
        <x:v>Skirmish</x:v>
      </x:c>
      <x:c r="X30" s="136" t="str">
        <x:v>Dunker Church</x:v>
      </x:c>
      <x:c r="Y30" s="136" t="str">
        <x:v>Skirmish_Dunker_Church</x:v>
      </x:c>
      <x:c r="Z30" s="136" t="n">
        <x:v>33</x:v>
      </x:c>
      <x:c r="AA30" s="136" t="n">
        <x:v>534</x:v>
      </x:c>
    </x:row>
    <x:row r="31">
      <x:c r="A31" s="136" t="str">
        <x:v>Antietam | Conquest | Forest Stream</x:v>
      </x:c>
      <x:c r="B31" s="136" t="str">
        <x:v>Spawn | CSA CQ2_Spawnpoint_CSA_Infantry_2 [map-2/001]</x:v>
      </x:c>
      <x:c r="C31" s="136" t="str">
        <x:v>spawn</x:v>
      </x:c>
      <x:c r="D31" s="136" t="str">
        <x:v>CSA</x:v>
      </x:c>
      <x:c r="E31" s="136" t="str">
        <x:v>CQ2_Spawnpoint_CSA_Infantry_2</x:v>
      </x:c>
      <x:c r="F31" s="137" t="n">
        <x:v>526.0059204101562</x:v>
      </x:c>
      <x:c r="G31" s="137" t="n">
        <x:v>1214.2486572265625</x:v>
      </x:c>
      <x:c r="H31" s="137" t="n">
        <x:v>49.267765045166016</x:v>
      </x:c>
      <x:c r="I31" s="137" t="n">
        <x:v>1547.2435702688633</x:v>
      </x:c>
      <x:c r="J31" s="137" t="n">
        <x:v>1678.8464318684605</x:v>
      </x:c>
      <x:c r="K31" s="136" t="str">
        <x:v>map-2</x:v>
      </x:c>
      <x:c r="L31" s="136" t="str">
        <x:v>Antietam | Conquest | Forest Stream||Spawn | CSA CQ2_Spawnpoint_CSA_Infantry_2 [map-2/001]</x:v>
      </x:c>
      <x:c r="M31" s="134" t="str">
        <x:f>IF(ROW(A26)&lt;=COUNTIF($A$6:$A$2148,'Calculator'!$B$9),INDEX($B$6:$B$2148,SUMIF($T$6:$T$104,'Calculator'!$B$9,$AA$6:$AA$104)+ROW(A26)-1),"")</x:f>
      </x:c>
      <x:c r="N31" s="134" t="str">
        <x:f>IF(ROW(A26)&lt;=COUNTIF($A$6:$A$2148,'Calculator'!$B$9),INDEX($C$6:$C$2148,SUMIF($T$6:$T$104,'Calculator'!$B$9,$AA$6:$AA$104)+ROW(A26)-1),"")</x:f>
      </x:c>
      <x:c r="O31" s="134" t="str">
        <x:f>IF(ROW(A26)&lt;=COUNTIF($A$6:$A$2148,'Calculator'!$B$9),INDEX($D$6:$D$2148,SUMIF($T$6:$T$104,'Calculator'!$B$9,$AA$6:$AA$104)+ROW(A26)-1),"")</x:f>
      </x:c>
      <x:c r="P31" s="135" t="str">
        <x:f>IF(ROW(A26)&lt;=COUNTIF($A$6:$A$2148,'Calculator'!$B$9),INDEX($F$6:$F$2148,SUMIF($T$6:$T$104,'Calculator'!$B$9,$AA$6:$AA$104)+ROW(A26)-1),"")</x:f>
      </x:c>
      <x:c r="Q31" s="135" t="str">
        <x:f>IF(ROW(A26)&lt;=COUNTIF($A$6:$A$2148,'Calculator'!$B$9),INDEX($G$6:$G$2148,SUMIF($T$6:$T$104,'Calculator'!$B$9,$AA$6:$AA$104)+ROW(A26)-1),"")</x:f>
      </x:c>
      <x:c r="R31" s="135" t="str">
        <x:f>IF(ROW(A26)&lt;=COUNTIF($A$6:$A$2148,'Calculator'!$B$9),INDEX($H$6:$H$2148,SUMIF($T$6:$T$104,'Calculator'!$B$9,$AA$6:$AA$104)+ROW(A26)-1),"")</x:f>
      </x:c>
      <x:c r="S31" s="35"/>
      <x:c r="T31" s="136" t="str">
        <x:v>Antietam | Skirmish | Burnside Bridge</x:v>
      </x:c>
      <x:c r="U31" s="136" t="str">
        <x:v>map-26</x:v>
      </x:c>
      <x:c r="V31" s="136" t="str">
        <x:v>Antietam</x:v>
      </x:c>
      <x:c r="W31" s="136" t="str">
        <x:v>Skirmish</x:v>
      </x:c>
      <x:c r="X31" s="136" t="str">
        <x:v>Burnside Bridge</x:v>
      </x:c>
      <x:c r="Y31" s="136" t="str">
        <x:v>Skirmish_Burnside</x:v>
      </x:c>
      <x:c r="Z31" s="136" t="n">
        <x:v>15</x:v>
      </x:c>
      <x:c r="AA31" s="136" t="n">
        <x:v>567</x:v>
      </x:c>
    </x:row>
    <x:row r="32">
      <x:c r="A32" s="136" t="str">
        <x:v>Antietam | Conquest | Forest Stream</x:v>
      </x:c>
      <x:c r="B32" s="136" t="str">
        <x:v>Spawn | CSA CQ2_Spawnpoint_CSA_Infantry_0 [map-2/002]</x:v>
      </x:c>
      <x:c r="C32" s="136" t="str">
        <x:v>spawn</x:v>
      </x:c>
      <x:c r="D32" s="136" t="str">
        <x:v>CSA</x:v>
      </x:c>
      <x:c r="E32" s="136" t="str">
        <x:v>CQ2_Spawnpoint_CSA_Infantry_0</x:v>
      </x:c>
      <x:c r="F32" s="137" t="n">
        <x:v>551.0617065429688</x:v>
      </x:c>
      <x:c r="G32" s="137" t="n">
        <x:v>1196.0472412109375</x:v>
      </x:c>
      <x:c r="H32" s="137" t="n">
        <x:v>49.20278549194336</x:v>
      </x:c>
      <x:c r="I32" s="137" t="n">
        <x:v>1601.4951590991734</x:v>
      </x:c>
      <x:c r="J32" s="137" t="n">
        <x:v>1662.5553189564694</x:v>
      </x:c>
      <x:c r="K32" s="136" t="str">
        <x:v>map-2</x:v>
      </x:c>
      <x:c r="L32" s="136" t="str">
        <x:v>Antietam | Conquest | Forest Stream||Spawn | CSA CQ2_Spawnpoint_CSA_Infantry_0 [map-2/002]</x:v>
      </x:c>
      <x:c r="M32" s="134" t="str">
        <x:f>IF(ROW(A27)&lt;=COUNTIF($A$6:$A$2148,'Calculator'!$B$9),INDEX($B$6:$B$2148,SUMIF($T$6:$T$104,'Calculator'!$B$9,$AA$6:$AA$104)+ROW(A27)-1),"")</x:f>
      </x:c>
      <x:c r="N32" s="134" t="str">
        <x:f>IF(ROW(A27)&lt;=COUNTIF($A$6:$A$2148,'Calculator'!$B$9),INDEX($C$6:$C$2148,SUMIF($T$6:$T$104,'Calculator'!$B$9,$AA$6:$AA$104)+ROW(A27)-1),"")</x:f>
      </x:c>
      <x:c r="O32" s="134" t="str">
        <x:f>IF(ROW(A27)&lt;=COUNTIF($A$6:$A$2148,'Calculator'!$B$9),INDEX($D$6:$D$2148,SUMIF($T$6:$T$104,'Calculator'!$B$9,$AA$6:$AA$104)+ROW(A27)-1),"")</x:f>
      </x:c>
      <x:c r="P32" s="135" t="str">
        <x:f>IF(ROW(A27)&lt;=COUNTIF($A$6:$A$2148,'Calculator'!$B$9),INDEX($F$6:$F$2148,SUMIF($T$6:$T$104,'Calculator'!$B$9,$AA$6:$AA$104)+ROW(A27)-1),"")</x:f>
      </x:c>
      <x:c r="Q32" s="135" t="str">
        <x:f>IF(ROW(A27)&lt;=COUNTIF($A$6:$A$2148,'Calculator'!$B$9),INDEX($G$6:$G$2148,SUMIF($T$6:$T$104,'Calculator'!$B$9,$AA$6:$AA$104)+ROW(A27)-1),"")</x:f>
      </x:c>
      <x:c r="R32" s="135" t="str">
        <x:f>IF(ROW(A27)&lt;=COUNTIF($A$6:$A$2148,'Calculator'!$B$9),INDEX($H$6:$H$2148,SUMIF($T$6:$T$104,'Calculator'!$B$9,$AA$6:$AA$104)+ROW(A27)-1),"")</x:f>
      </x:c>
      <x:c r="S32" s="35"/>
      <x:c r="T32" s="136" t="str">
        <x:v>Antietam | Skirmish | Cooke's Countercharge</x:v>
      </x:c>
      <x:c r="U32" s="136" t="str">
        <x:v>map-27</x:v>
      </x:c>
      <x:c r="V32" s="136" t="str">
        <x:v>Antietam</x:v>
      </x:c>
      <x:c r="W32" s="136" t="str">
        <x:v>Skirmish</x:v>
      </x:c>
      <x:c r="X32" s="136" t="str">
        <x:v>Cooke's Countercharge</x:v>
      </x:c>
      <x:c r="Y32" s="136" t="str">
        <x:v>Skirmish_Cookes_Counterattack</x:v>
      </x:c>
      <x:c r="Z32" s="136" t="n">
        <x:v>21</x:v>
      </x:c>
      <x:c r="AA32" s="136" t="n">
        <x:v>582</x:v>
      </x:c>
    </x:row>
    <x:row r="33">
      <x:c r="A33" s="136" t="str">
        <x:v>Antietam | Conquest | Forest Stream</x:v>
      </x:c>
      <x:c r="B33" s="136" t="str">
        <x:v>Spawn | CSA CQ2_Spawnpoint_CSA_Infantry_1 [map-2/003]</x:v>
      </x:c>
      <x:c r="C33" s="136" t="str">
        <x:v>spawn</x:v>
      </x:c>
      <x:c r="D33" s="136" t="str">
        <x:v>CSA</x:v>
      </x:c>
      <x:c r="E33" s="136" t="str">
        <x:v>CQ2_Spawnpoint_CSA_Infantry_1</x:v>
      </x:c>
      <x:c r="F33" s="137" t="n">
        <x:v>576.2258911132812</x:v>
      </x:c>
      <x:c r="G33" s="137" t="n">
        <x:v>1181.2467041015625</x:v>
      </x:c>
      <x:c r="H33" s="137" t="n">
        <x:v>49.795265197753906</x:v>
      </x:c>
      <x:c r="I33" s="137" t="n">
        <x:v>1650.9169512761814</x:v>
      </x:c>
      <x:c r="J33" s="137" t="n">
        <x:v>1642.344248493038</x:v>
      </x:c>
      <x:c r="K33" s="136" t="str">
        <x:v>map-2</x:v>
      </x:c>
      <x:c r="L33" s="136" t="str">
        <x:v>Antietam | Conquest | Forest Stream||Spawn | CSA CQ2_Spawnpoint_CSA_Infantry_1 [map-2/003]</x:v>
      </x:c>
      <x:c r="M33" s="134" t="str">
        <x:f>IF(ROW(A28)&lt;=COUNTIF($A$6:$A$2148,'Calculator'!$B$9),INDEX($B$6:$B$2148,SUMIF($T$6:$T$104,'Calculator'!$B$9,$AA$6:$AA$104)+ROW(A28)-1),"")</x:f>
      </x:c>
      <x:c r="N33" s="134" t="str">
        <x:f>IF(ROW(A28)&lt;=COUNTIF($A$6:$A$2148,'Calculator'!$B$9),INDEX($C$6:$C$2148,SUMIF($T$6:$T$104,'Calculator'!$B$9,$AA$6:$AA$104)+ROW(A28)-1),"")</x:f>
      </x:c>
      <x:c r="O33" s="134" t="str">
        <x:f>IF(ROW(A28)&lt;=COUNTIF($A$6:$A$2148,'Calculator'!$B$9),INDEX($D$6:$D$2148,SUMIF($T$6:$T$104,'Calculator'!$B$9,$AA$6:$AA$104)+ROW(A28)-1),"")</x:f>
      </x:c>
      <x:c r="P33" s="135" t="str">
        <x:f>IF(ROW(A28)&lt;=COUNTIF($A$6:$A$2148,'Calculator'!$B$9),INDEX($F$6:$F$2148,SUMIF($T$6:$T$104,'Calculator'!$B$9,$AA$6:$AA$104)+ROW(A28)-1),"")</x:f>
      </x:c>
      <x:c r="Q33" s="135" t="str">
        <x:f>IF(ROW(A28)&lt;=COUNTIF($A$6:$A$2148,'Calculator'!$B$9),INDEX($G$6:$G$2148,SUMIF($T$6:$T$104,'Calculator'!$B$9,$AA$6:$AA$104)+ROW(A28)-1),"")</x:f>
      </x:c>
      <x:c r="R33" s="135" t="str">
        <x:f>IF(ROW(A28)&lt;=COUNTIF($A$6:$A$2148,'Calculator'!$B$9),INDEX($H$6:$H$2148,SUMIF($T$6:$T$104,'Calculator'!$B$9,$AA$6:$AA$104)+ROW(A28)-1),"")</x:f>
      </x:c>
      <x:c r="S33" s="35"/>
      <x:c r="T33" s="136" t="str">
        <x:v>Antietam | Skirmish | Otto &amp; Sherrick Farm</x:v>
      </x:c>
      <x:c r="U33" s="136" t="str">
        <x:v>map-28</x:v>
      </x:c>
      <x:c r="V33" s="136" t="str">
        <x:v>Antietam</x:v>
      </x:c>
      <x:c r="W33" s="136" t="str">
        <x:v>Skirmish</x:v>
      </x:c>
      <x:c r="X33" s="136" t="str">
        <x:v>Otto &amp; Sherrick Farm</x:v>
      </x:c>
      <x:c r="Y33" s="136" t="str">
        <x:v>Skirmish_Otto_Sherrick</x:v>
      </x:c>
      <x:c r="Z33" s="136" t="n">
        <x:v>26</x:v>
      </x:c>
      <x:c r="AA33" s="136" t="n">
        <x:v>603</x:v>
      </x:c>
    </x:row>
    <x:row r="34">
      <x:c r="A34" s="136" t="str">
        <x:v>Antietam | Conquest | Forest Stream</x:v>
      </x:c>
      <x:c r="B34" s="136" t="str">
        <x:v>Artillery | CSA CQ2_Spawnpoint_CSA_Artillery_Staging [map-2/004]</x:v>
      </x:c>
      <x:c r="C34" s="136" t="str">
        <x:v>battery</x:v>
      </x:c>
      <x:c r="D34" s="136" t="str">
        <x:v>CSA</x:v>
      </x:c>
      <x:c r="E34" s="136" t="str">
        <x:v>CQ2_Spawnpoint_CSA_Artillery_Staging</x:v>
      </x:c>
      <x:c r="F34" s="137" t="n">
        <x:v>602.40625</x:v>
      </x:c>
      <x:c r="G34" s="137" t="n">
        <x:v>1167.1627197265625</x:v>
      </x:c>
      <x:c r="H34" s="137" t="n">
        <x:v>49.90680694580078</x:v>
      </x:c>
      <x:c r="I34" s="137" t="n">
        <x:v>1700.421661990924</x:v>
      </x:c>
      <x:c r="J34" s="137" t="n">
        <x:v>1619.8631037792356</x:v>
      </x:c>
      <x:c r="K34" s="136" t="str">
        <x:v>map-2</x:v>
      </x:c>
      <x:c r="L34" s="136" t="str">
        <x:v>Antietam | Conquest | Forest Stream||Artillery | CSA CQ2_Spawnpoint_CSA_Artillery_Staging [map-2/004]</x:v>
      </x:c>
      <x:c r="M34" s="134" t="str">
        <x:f>IF(ROW(A29)&lt;=COUNTIF($A$6:$A$2148,'Calculator'!$B$9),INDEX($B$6:$B$2148,SUMIF($T$6:$T$104,'Calculator'!$B$9,$AA$6:$AA$104)+ROW(A29)-1),"")</x:f>
      </x:c>
      <x:c r="N34" s="134" t="str">
        <x:f>IF(ROW(A29)&lt;=COUNTIF($A$6:$A$2148,'Calculator'!$B$9),INDEX($C$6:$C$2148,SUMIF($T$6:$T$104,'Calculator'!$B$9,$AA$6:$AA$104)+ROW(A29)-1),"")</x:f>
      </x:c>
      <x:c r="O34" s="134" t="str">
        <x:f>IF(ROW(A29)&lt;=COUNTIF($A$6:$A$2148,'Calculator'!$B$9),INDEX($D$6:$D$2148,SUMIF($T$6:$T$104,'Calculator'!$B$9,$AA$6:$AA$104)+ROW(A29)-1),"")</x:f>
      </x:c>
      <x:c r="P34" s="135" t="str">
        <x:f>IF(ROW(A29)&lt;=COUNTIF($A$6:$A$2148,'Calculator'!$B$9),INDEX($F$6:$F$2148,SUMIF($T$6:$T$104,'Calculator'!$B$9,$AA$6:$AA$104)+ROW(A29)-1),"")</x:f>
      </x:c>
      <x:c r="Q34" s="135" t="str">
        <x:f>IF(ROW(A29)&lt;=COUNTIF($A$6:$A$2148,'Calculator'!$B$9),INDEX($G$6:$G$2148,SUMIF($T$6:$T$104,'Calculator'!$B$9,$AA$6:$AA$104)+ROW(A29)-1),"")</x:f>
      </x:c>
      <x:c r="R34" s="135" t="str">
        <x:f>IF(ROW(A29)&lt;=COUNTIF($A$6:$A$2148,'Calculator'!$B$9),INDEX($H$6:$H$2148,SUMIF($T$6:$T$104,'Calculator'!$B$9,$AA$6:$AA$104)+ROW(A29)-1),"")</x:f>
      </x:c>
      <x:c r="S34" s="35"/>
      <x:c r="T34" s="136" t="str">
        <x:v>Antietam | Skirmish | Roulette Lane</x:v>
      </x:c>
      <x:c r="U34" s="136" t="str">
        <x:v>map-29</x:v>
      </x:c>
      <x:c r="V34" s="136" t="str">
        <x:v>Antietam</x:v>
      </x:c>
      <x:c r="W34" s="136" t="str">
        <x:v>Skirmish</x:v>
      </x:c>
      <x:c r="X34" s="136" t="str">
        <x:v>Roulette Lane</x:v>
      </x:c>
      <x:c r="Y34" s="136" t="str">
        <x:v>Skirmish_Roulette_Lane</x:v>
      </x:c>
      <x:c r="Z34" s="136" t="n">
        <x:v>21</x:v>
      </x:c>
      <x:c r="AA34" s="136" t="n">
        <x:v>629</x:v>
      </x:c>
    </x:row>
    <x:row r="35">
      <x:c r="A35" s="136" t="str">
        <x:v>Antietam | Conquest | Framing Fencelines</x:v>
      </x:c>
      <x:c r="B35" s="136" t="str">
        <x:v>Spawn | CSA CQ3_Spawnpoint_CSA_Infantry_2 [map-3/001]</x:v>
      </x:c>
      <x:c r="C35" s="136" t="str">
        <x:v>spawn</x:v>
      </x:c>
      <x:c r="D35" s="136" t="str">
        <x:v>CSA</x:v>
      </x:c>
      <x:c r="E35" s="136" t="str">
        <x:v>CQ3_Spawnpoint_CSA_Infantry_2</x:v>
      </x:c>
      <x:c r="F35" s="137" t="n">
        <x:v>926.87744140625</x:v>
      </x:c>
      <x:c r="G35" s="137" t="n">
        <x:v>1316.06689453125</x:v>
      </x:c>
      <x:c r="H35" s="137" t="n">
        <x:v>56.90690994262695</x:v>
      </x:c>
      <x:c r="I35" s="137" t="n">
        <x:v>1496.4433926357128</x:v>
      </x:c>
      <x:c r="J35" s="137" t="n">
        <x:v>1154.8836778926036</x:v>
      </x:c>
      <x:c r="K35" s="136" t="str">
        <x:v>map-3</x:v>
      </x:c>
      <x:c r="L35" s="136" t="str">
        <x:v>Antietam | Conquest | Framing Fencelines||Spawn | CSA CQ3_Spawnpoint_CSA_Infantry_2 [map-3/001]</x:v>
      </x:c>
      <x:c r="M35" s="134" t="str">
        <x:f>IF(ROW(A30)&lt;=COUNTIF($A$6:$A$2148,'Calculator'!$B$9),INDEX($B$6:$B$2148,SUMIF($T$6:$T$104,'Calculator'!$B$9,$AA$6:$AA$104)+ROW(A30)-1),"")</x:f>
      </x:c>
      <x:c r="N35" s="134" t="str">
        <x:f>IF(ROW(A30)&lt;=COUNTIF($A$6:$A$2148,'Calculator'!$B$9),INDEX($C$6:$C$2148,SUMIF($T$6:$T$104,'Calculator'!$B$9,$AA$6:$AA$104)+ROW(A30)-1),"")</x:f>
      </x:c>
      <x:c r="O35" s="134" t="str">
        <x:f>IF(ROW(A30)&lt;=COUNTIF($A$6:$A$2148,'Calculator'!$B$9),INDEX($D$6:$D$2148,SUMIF($T$6:$T$104,'Calculator'!$B$9,$AA$6:$AA$104)+ROW(A30)-1),"")</x:f>
      </x:c>
      <x:c r="P35" s="135" t="str">
        <x:f>IF(ROW(A30)&lt;=COUNTIF($A$6:$A$2148,'Calculator'!$B$9),INDEX($F$6:$F$2148,SUMIF($T$6:$T$104,'Calculator'!$B$9,$AA$6:$AA$104)+ROW(A30)-1),"")</x:f>
      </x:c>
      <x:c r="Q35" s="135" t="str">
        <x:f>IF(ROW(A30)&lt;=COUNTIF($A$6:$A$2148,'Calculator'!$B$9),INDEX($G$6:$G$2148,SUMIF($T$6:$T$104,'Calculator'!$B$9,$AA$6:$AA$104)+ROW(A30)-1),"")</x:f>
      </x:c>
      <x:c r="R35" s="135" t="str">
        <x:f>IF(ROW(A30)&lt;=COUNTIF($A$6:$A$2148,'Calculator'!$B$9),INDEX($H$6:$H$2148,SUMIF($T$6:$T$104,'Calculator'!$B$9,$AA$6:$AA$104)+ROW(A30)-1),"")</x:f>
      </x:c>
      <x:c r="S35" s="35"/>
      <x:c r="T35" s="136" t="str">
        <x:v>Antietam | Skirmish | Piper Farm</x:v>
      </x:c>
      <x:c r="U35" s="136" t="str">
        <x:v>map-30</x:v>
      </x:c>
      <x:c r="V35" s="136" t="str">
        <x:v>Antietam</x:v>
      </x:c>
      <x:c r="W35" s="136" t="str">
        <x:v>Skirmish</x:v>
      </x:c>
      <x:c r="X35" s="136" t="str">
        <x:v>Piper Farm</x:v>
      </x:c>
      <x:c r="Y35" s="136" t="str">
        <x:v>Skirmish_Piper_Farm</x:v>
      </x:c>
      <x:c r="Z35" s="136" t="n">
        <x:v>27</x:v>
      </x:c>
      <x:c r="AA35" s="136" t="n">
        <x:v>650</x:v>
      </x:c>
    </x:row>
    <x:row r="36">
      <x:c r="A36" s="136" t="str">
        <x:v>Antietam | Conquest | Framing Fencelines</x:v>
      </x:c>
      <x:c r="B36" s="136" t="str">
        <x:v>Spawn | CSA CQ3_Spawnpoint_CSA_Infantry_0 [map-3/002]</x:v>
      </x:c>
      <x:c r="C36" s="136" t="str">
        <x:v>spawn</x:v>
      </x:c>
      <x:c r="D36" s="136" t="str">
        <x:v>CSA</x:v>
      </x:c>
      <x:c r="E36" s="136" t="str">
        <x:v>CQ3_Spawnpoint_CSA_Infantry_0</x:v>
      </x:c>
      <x:c r="F36" s="137" t="n">
        <x:v>890.5552368164062</x:v>
      </x:c>
      <x:c r="G36" s="137" t="n">
        <x:v>1323.7996826171875</x:v>
      </x:c>
      <x:c r="H36" s="137" t="n">
        <x:v>60.633392333984375</x:v>
      </x:c>
      <x:c r="I36" s="137" t="n">
        <x:v>1433.553619783235</x:v>
      </x:c>
      <x:c r="J36" s="137" t="n">
        <x:v>1208.9714191118653</x:v>
      </x:c>
      <x:c r="K36" s="136" t="str">
        <x:v>map-3</x:v>
      </x:c>
      <x:c r="L36" s="136" t="str">
        <x:v>Antietam | Conquest | Framing Fencelines||Spawn | CSA CQ3_Spawnpoint_CSA_Infantry_0 [map-3/002]</x:v>
      </x:c>
      <x:c r="M36" s="134" t="str">
        <x:f>IF(ROW(A31)&lt;=COUNTIF($A$6:$A$2148,'Calculator'!$B$9),INDEX($B$6:$B$2148,SUMIF($T$6:$T$104,'Calculator'!$B$9,$AA$6:$AA$104)+ROW(A31)-1),"")</x:f>
      </x:c>
      <x:c r="N36" s="134" t="str">
        <x:f>IF(ROW(A31)&lt;=COUNTIF($A$6:$A$2148,'Calculator'!$B$9),INDEX($C$6:$C$2148,SUMIF($T$6:$T$104,'Calculator'!$B$9,$AA$6:$AA$104)+ROW(A31)-1),"")</x:f>
      </x:c>
      <x:c r="O36" s="134" t="str">
        <x:f>IF(ROW(A31)&lt;=COUNTIF($A$6:$A$2148,'Calculator'!$B$9),INDEX($D$6:$D$2148,SUMIF($T$6:$T$104,'Calculator'!$B$9,$AA$6:$AA$104)+ROW(A31)-1),"")</x:f>
      </x:c>
      <x:c r="P36" s="135" t="str">
        <x:f>IF(ROW(A31)&lt;=COUNTIF($A$6:$A$2148,'Calculator'!$B$9),INDEX($F$6:$F$2148,SUMIF($T$6:$T$104,'Calculator'!$B$9,$AA$6:$AA$104)+ROW(A31)-1),"")</x:f>
      </x:c>
      <x:c r="Q36" s="135" t="str">
        <x:f>IF(ROW(A31)&lt;=COUNTIF($A$6:$A$2148,'Calculator'!$B$9),INDEX($G$6:$G$2148,SUMIF($T$6:$T$104,'Calculator'!$B$9,$AA$6:$AA$104)+ROW(A31)-1),"")</x:f>
      </x:c>
      <x:c r="R36" s="135" t="str">
        <x:f>IF(ROW(A31)&lt;=COUNTIF($A$6:$A$2148,'Calculator'!$B$9),INDEX($H$6:$H$2148,SUMIF($T$6:$T$104,'Calculator'!$B$9,$AA$6:$AA$104)+ROW(A31)-1),"")</x:f>
      </x:c>
      <x:c r="S36" s="35"/>
      <x:c r="T36" s="136" t="str">
        <x:v>Antietam | Skirmish | Hill's Counterattack</x:v>
      </x:c>
      <x:c r="U36" s="136" t="str">
        <x:v>map-31</x:v>
      </x:c>
      <x:c r="V36" s="136" t="str">
        <x:v>Antietam</x:v>
      </x:c>
      <x:c r="W36" s="136" t="str">
        <x:v>Skirmish</x:v>
      </x:c>
      <x:c r="X36" s="136" t="str">
        <x:v>Hill's Counterattack</x:v>
      </x:c>
      <x:c r="Y36" s="136" t="str">
        <x:v>Skirmish_Hills_Counterattack</x:v>
      </x:c>
      <x:c r="Z36" s="136" t="n">
        <x:v>22</x:v>
      </x:c>
      <x:c r="AA36" s="136" t="n">
        <x:v>677</x:v>
      </x:c>
    </x:row>
    <x:row r="37">
      <x:c r="A37" s="136" t="str">
        <x:v>Antietam | Conquest | Framing Fencelines</x:v>
      </x:c>
      <x:c r="B37" s="136" t="str">
        <x:v>Artillery | USA CQ3_Spawnpoint_USA_Artillery_Forward [map-3/003]</x:v>
      </x:c>
      <x:c r="C37" s="136" t="str">
        <x:v>battery</x:v>
      </x:c>
      <x:c r="D37" s="136" t="str">
        <x:v>USA</x:v>
      </x:c>
      <x:c r="E37" s="136" t="str">
        <x:v>CQ3_Spawnpoint_USA_Artillery_Forward</x:v>
      </x:c>
      <x:c r="F37" s="137" t="n">
        <x:v>371.3629455566406</x:v>
      </x:c>
      <x:c r="G37" s="137" t="n">
        <x:v>1651.671142578125</x:v>
      </x:c>
      <x:c r="H37" s="137" t="n">
        <x:v>60.949039459228516</x:v>
      </x:c>
      <x:c r="I37" s="137" t="n">
        <x:v>148.46190029158058</x:v>
      </x:c>
      <x:c r="J37" s="137" t="n">
        <x:v>1688.5329369409553</x:v>
      </x:c>
      <x:c r="K37" s="136" t="str">
        <x:v>map-3</x:v>
      </x:c>
      <x:c r="L37" s="136" t="str">
        <x:v>Antietam | Conquest | Framing Fencelines||Artillery | USA CQ3_Spawnpoint_USA_Artillery_Forward [map-3/003]</x:v>
      </x:c>
      <x:c r="M37" s="134" t="str">
        <x:f>IF(ROW(A32)&lt;=COUNTIF($A$6:$A$2148,'Calculator'!$B$9),INDEX($B$6:$B$2148,SUMIF($T$6:$T$104,'Calculator'!$B$9,$AA$6:$AA$104)+ROW(A32)-1),"")</x:f>
      </x:c>
      <x:c r="N37" s="134" t="str">
        <x:f>IF(ROW(A32)&lt;=COUNTIF($A$6:$A$2148,'Calculator'!$B$9),INDEX($C$6:$C$2148,SUMIF($T$6:$T$104,'Calculator'!$B$9,$AA$6:$AA$104)+ROW(A32)-1),"")</x:f>
      </x:c>
      <x:c r="O37" s="134" t="str">
        <x:f>IF(ROW(A32)&lt;=COUNTIF($A$6:$A$2148,'Calculator'!$B$9),INDEX($D$6:$D$2148,SUMIF($T$6:$T$104,'Calculator'!$B$9,$AA$6:$AA$104)+ROW(A32)-1),"")</x:f>
      </x:c>
      <x:c r="P37" s="135" t="str">
        <x:f>IF(ROW(A32)&lt;=COUNTIF($A$6:$A$2148,'Calculator'!$B$9),INDEX($F$6:$F$2148,SUMIF($T$6:$T$104,'Calculator'!$B$9,$AA$6:$AA$104)+ROW(A32)-1),"")</x:f>
      </x:c>
      <x:c r="Q37" s="135" t="str">
        <x:f>IF(ROW(A32)&lt;=COUNTIF($A$6:$A$2148,'Calculator'!$B$9),INDEX($G$6:$G$2148,SUMIF($T$6:$T$104,'Calculator'!$B$9,$AA$6:$AA$104)+ROW(A32)-1),"")</x:f>
      </x:c>
      <x:c r="R37" s="135" t="str">
        <x:f>IF(ROW(A32)&lt;=COUNTIF($A$6:$A$2148,'Calculator'!$B$9),INDEX($H$6:$H$2148,SUMIF($T$6:$T$104,'Calculator'!$B$9,$AA$6:$AA$104)+ROW(A32)-1),"")</x:f>
      </x:c>
      <x:c r="S37" s="35"/>
      <x:c r="T37" s="136" t="str">
        <x:v>DrillCamp | Conquest | Corn Crib</x:v>
      </x:c>
      <x:c r="U37" s="136" t="str">
        <x:v>map-32</x:v>
      </x:c>
      <x:c r="V37" s="136" t="str">
        <x:v>DrillCamp</x:v>
      </x:c>
      <x:c r="W37" s="136" t="str">
        <x:v>Conquest</x:v>
      </x:c>
      <x:c r="X37" s="136" t="str">
        <x:v>Corn Crib</x:v>
      </x:c>
      <x:c r="Y37" s="136" t="str">
        <x:v>Conquest_1</x:v>
      </x:c>
      <x:c r="Z37" s="136" t="n">
        <x:v>23</x:v>
      </x:c>
      <x:c r="AA37" s="136" t="n">
        <x:v>699</x:v>
      </x:c>
    </x:row>
    <x:row r="38">
      <x:c r="A38" s="136" t="str">
        <x:v>Antietam | Conquest | Framing Fencelines</x:v>
      </x:c>
      <x:c r="B38" s="136" t="str">
        <x:v>Spawn | CSA CQ3_Spawnpoint_CSA_Infantry_1 [map-3/004]</x:v>
      </x:c>
      <x:c r="C38" s="136" t="str">
        <x:v>spawn</x:v>
      </x:c>
      <x:c r="D38" s="136" t="str">
        <x:v>CSA</x:v>
      </x:c>
      <x:c r="E38" s="136" t="str">
        <x:v>CQ3_Spawnpoint_CSA_Infantry_1</x:v>
      </x:c>
      <x:c r="F38" s="137" t="n">
        <x:v>912.737060546875</x:v>
      </x:c>
      <x:c r="G38" s="137" t="n">
        <x:v>1316.22802734375</x:v>
      </x:c>
      <x:c r="H38" s="137" t="n">
        <x:v>57.50151062011719</x:v>
      </x:c>
      <x:c r="I38" s="137" t="n">
        <x:v>1477.0223938916326</x:v>
      </x:c>
      <x:c r="J38" s="137" t="n">
        <x:v>1179.7889459920486</x:v>
      </x:c>
      <x:c r="K38" s="136" t="str">
        <x:v>map-3</x:v>
      </x:c>
      <x:c r="L38" s="136" t="str">
        <x:v>Antietam | Conquest | Framing Fencelines||Spawn | CSA CQ3_Spawnpoint_CSA_Infantry_1 [map-3/004]</x:v>
      </x:c>
      <x:c r="M38" s="134" t="str">
        <x:f>IF(ROW(A33)&lt;=COUNTIF($A$6:$A$2148,'Calculator'!$B$9),INDEX($B$6:$B$2148,SUMIF($T$6:$T$104,'Calculator'!$B$9,$AA$6:$AA$104)+ROW(A33)-1),"")</x:f>
      </x:c>
      <x:c r="N38" s="134" t="str">
        <x:f>IF(ROW(A33)&lt;=COUNTIF($A$6:$A$2148,'Calculator'!$B$9),INDEX($C$6:$C$2148,SUMIF($T$6:$T$104,'Calculator'!$B$9,$AA$6:$AA$104)+ROW(A33)-1),"")</x:f>
      </x:c>
      <x:c r="O38" s="134" t="str">
        <x:f>IF(ROW(A33)&lt;=COUNTIF($A$6:$A$2148,'Calculator'!$B$9),INDEX($D$6:$D$2148,SUMIF($T$6:$T$104,'Calculator'!$B$9,$AA$6:$AA$104)+ROW(A33)-1),"")</x:f>
      </x:c>
      <x:c r="P38" s="135" t="str">
        <x:f>IF(ROW(A33)&lt;=COUNTIF($A$6:$A$2148,'Calculator'!$B$9),INDEX($F$6:$F$2148,SUMIF($T$6:$T$104,'Calculator'!$B$9,$AA$6:$AA$104)+ROW(A33)-1),"")</x:f>
      </x:c>
      <x:c r="Q38" s="135" t="str">
        <x:f>IF(ROW(A33)&lt;=COUNTIF($A$6:$A$2148,'Calculator'!$B$9),INDEX($G$6:$G$2148,SUMIF($T$6:$T$104,'Calculator'!$B$9,$AA$6:$AA$104)+ROW(A33)-1),"")</x:f>
      </x:c>
      <x:c r="R38" s="135" t="str">
        <x:f>IF(ROW(A33)&lt;=COUNTIF($A$6:$A$2148,'Calculator'!$B$9),INDEX($H$6:$H$2148,SUMIF($T$6:$T$104,'Calculator'!$B$9,$AA$6:$AA$104)+ROW(A33)-1),"")</x:f>
      </x:c>
      <x:c r="S38" s="35"/>
      <x:c r="T38" s="136" t="str">
        <x:v>DrillCamp | Conquest | Orchards</x:v>
      </x:c>
      <x:c r="U38" s="136" t="str">
        <x:v>map-33</x:v>
      </x:c>
      <x:c r="V38" s="136" t="str">
        <x:v>DrillCamp</x:v>
      </x:c>
      <x:c r="W38" s="136" t="str">
        <x:v>Conquest</x:v>
      </x:c>
      <x:c r="X38" s="136" t="str">
        <x:v>Orchards</x:v>
      </x:c>
      <x:c r="Y38" s="136" t="str">
        <x:v>Conquest_2</x:v>
      </x:c>
      <x:c r="Z38" s="136" t="n">
        <x:v>25</x:v>
      </x:c>
      <x:c r="AA38" s="136" t="n">
        <x:v>722</x:v>
      </x:c>
    </x:row>
    <x:row r="39">
      <x:c r="A39" s="136" t="str">
        <x:v>Antietam | Conquest | Framing Fencelines</x:v>
      </x:c>
      <x:c r="B39" s="136" t="str">
        <x:v>Artillery | CSA CQ3_Spawnpoint_CSA_Artillery_Forward [map-3/005]</x:v>
      </x:c>
      <x:c r="C39" s="136" t="str">
        <x:v>battery</x:v>
      </x:c>
      <x:c r="D39" s="136" t="str">
        <x:v>CSA</x:v>
      </x:c>
      <x:c r="E39" s="136" t="str">
        <x:v>CQ3_Spawnpoint_CSA_Artillery_Forward</x:v>
      </x:c>
      <x:c r="F39" s="137" t="n">
        <x:v>814.6019897460938</x:v>
      </x:c>
      <x:c r="G39" s="137" t="n">
        <x:v>1451.5107421875</x:v>
      </x:c>
      <x:c r="H39" s="137" t="n">
        <x:v>70.72966766357422</x:v>
      </x:c>
      <x:c r="I39" s="137" t="n">
        <x:v>1103.8723515044808</x:v>
      </x:c>
      <x:c r="J39" s="137" t="n">
        <x:v>1171.4086052735506</x:v>
      </x:c>
      <x:c r="K39" s="136" t="str">
        <x:v>map-3</x:v>
      </x:c>
      <x:c r="L39" s="136" t="str">
        <x:v>Antietam | Conquest | Framing Fencelines||Artillery | CSA CQ3_Spawnpoint_CSA_Artillery_Forward [map-3/005]</x:v>
      </x:c>
      <x:c r="M39" s="134" t="str">
        <x:f>IF(ROW(A34)&lt;=COUNTIF($A$6:$A$2148,'Calculator'!$B$9),INDEX($B$6:$B$2148,SUMIF($T$6:$T$104,'Calculator'!$B$9,$AA$6:$AA$104)+ROW(A34)-1),"")</x:f>
      </x:c>
      <x:c r="N39" s="134" t="str">
        <x:f>IF(ROW(A34)&lt;=COUNTIF($A$6:$A$2148,'Calculator'!$B$9),INDEX($C$6:$C$2148,SUMIF($T$6:$T$104,'Calculator'!$B$9,$AA$6:$AA$104)+ROW(A34)-1),"")</x:f>
      </x:c>
      <x:c r="O39" s="134" t="str">
        <x:f>IF(ROW(A34)&lt;=COUNTIF($A$6:$A$2148,'Calculator'!$B$9),INDEX($D$6:$D$2148,SUMIF($T$6:$T$104,'Calculator'!$B$9,$AA$6:$AA$104)+ROW(A34)-1),"")</x:f>
      </x:c>
      <x:c r="P39" s="135" t="str">
        <x:f>IF(ROW(A34)&lt;=COUNTIF($A$6:$A$2148,'Calculator'!$B$9),INDEX($F$6:$F$2148,SUMIF($T$6:$T$104,'Calculator'!$B$9,$AA$6:$AA$104)+ROW(A34)-1),"")</x:f>
      </x:c>
      <x:c r="Q39" s="135" t="str">
        <x:f>IF(ROW(A34)&lt;=COUNTIF($A$6:$A$2148,'Calculator'!$B$9),INDEX($G$6:$G$2148,SUMIF($T$6:$T$104,'Calculator'!$B$9,$AA$6:$AA$104)+ROW(A34)-1),"")</x:f>
      </x:c>
      <x:c r="R39" s="135" t="str">
        <x:f>IF(ROW(A34)&lt;=COUNTIF($A$6:$A$2148,'Calculator'!$B$9),INDEX($H$6:$H$2148,SUMIF($T$6:$T$104,'Calculator'!$B$9,$AA$6:$AA$104)+ROW(A34)-1),"")</x:f>
      </x:c>
      <x:c r="S39" s="35"/>
      <x:c r="T39" s="136" t="str">
        <x:v>DrillCamp | Conquest | Railroad Cut</x:v>
      </x:c>
      <x:c r="U39" s="136" t="str">
        <x:v>map-34</x:v>
      </x:c>
      <x:c r="V39" s="136" t="str">
        <x:v>DrillCamp</x:v>
      </x:c>
      <x:c r="W39" s="136" t="str">
        <x:v>Conquest</x:v>
      </x:c>
      <x:c r="X39" s="136" t="str">
        <x:v>Railroad Cut</x:v>
      </x:c>
      <x:c r="Y39" s="136" t="str">
        <x:v>Conquest_3</x:v>
      </x:c>
      <x:c r="Z39" s="136" t="n">
        <x:v>23</x:v>
      </x:c>
      <x:c r="AA39" s="136" t="n">
        <x:v>747</x:v>
      </x:c>
    </x:row>
    <x:row r="40">
      <x:c r="A40" s="136" t="str">
        <x:v>Antietam | Conquest | Framing Fencelines</x:v>
      </x:c>
      <x:c r="B40" s="136" t="str">
        <x:v>Objective | Victory_Conquest_3 [map-3/006]</x:v>
      </x:c>
      <x:c r="C40" s="136" t="str">
        <x:v>objective</x:v>
      </x:c>
      <x:c r="D40" s="136" t="str"/>
      <x:c r="E40" s="136" t="str">
        <x:v>Victory_Conquest_3</x:v>
      </x:c>
      <x:c r="F40" s="137" t="n">
        <x:v>944.1259765625</x:v>
      </x:c>
      <x:c r="G40" s="137" t="n">
        <x:v>1587.4041748046875</x:v>
      </x:c>
      <x:c r="H40" s="137" t="n">
        <x:v>64.59215545654297</x:v>
      </x:c>
      <x:c r="I40" s="137" t="n">
        <x:v>1037.7047565585547</x:v>
      </x:c>
      <x:c r="J40" s="137" t="n">
        <x:v>757.7262208181019</x:v>
      </x:c>
      <x:c r="K40" s="136" t="str">
        <x:v>map-3</x:v>
      </x:c>
      <x:c r="L40" s="136" t="str">
        <x:v>Antietam | Conquest | Framing Fencelines||Objective | Victory_Conquest_3 [map-3/006]</x:v>
      </x:c>
      <x:c r="M40" s="134" t="str">
        <x:f>IF(ROW(A35)&lt;=COUNTIF($A$6:$A$2148,'Calculator'!$B$9),INDEX($B$6:$B$2148,SUMIF($T$6:$T$104,'Calculator'!$B$9,$AA$6:$AA$104)+ROW(A35)-1),"")</x:f>
      </x:c>
      <x:c r="N40" s="134" t="str">
        <x:f>IF(ROW(A35)&lt;=COUNTIF($A$6:$A$2148,'Calculator'!$B$9),INDEX($C$6:$C$2148,SUMIF($T$6:$T$104,'Calculator'!$B$9,$AA$6:$AA$104)+ROW(A35)-1),"")</x:f>
      </x:c>
      <x:c r="O40" s="134" t="str">
        <x:f>IF(ROW(A35)&lt;=COUNTIF($A$6:$A$2148,'Calculator'!$B$9),INDEX($D$6:$D$2148,SUMIF($T$6:$T$104,'Calculator'!$B$9,$AA$6:$AA$104)+ROW(A35)-1),"")</x:f>
      </x:c>
      <x:c r="P40" s="135" t="str">
        <x:f>IF(ROW(A35)&lt;=COUNTIF($A$6:$A$2148,'Calculator'!$B$9),INDEX($F$6:$F$2148,SUMIF($T$6:$T$104,'Calculator'!$B$9,$AA$6:$AA$104)+ROW(A35)-1),"")</x:f>
      </x:c>
      <x:c r="Q40" s="135" t="str">
        <x:f>IF(ROW(A35)&lt;=COUNTIF($A$6:$A$2148,'Calculator'!$B$9),INDEX($G$6:$G$2148,SUMIF($T$6:$T$104,'Calculator'!$B$9,$AA$6:$AA$104)+ROW(A35)-1),"")</x:f>
      </x:c>
      <x:c r="R40" s="135" t="str">
        <x:f>IF(ROW(A35)&lt;=COUNTIF($A$6:$A$2148,'Calculator'!$B$9),INDEX($H$6:$H$2148,SUMIF($T$6:$T$104,'Calculator'!$B$9,$AA$6:$AA$104)+ROW(A35)-1),"")</x:f>
      </x:c>
      <x:c r="S40" s="35"/>
      <x:c r="T40" s="136" t="str">
        <x:v>DrillCamp | Conquest | Towering Trunks</x:v>
      </x:c>
      <x:c r="U40" s="136" t="str">
        <x:v>map-35</x:v>
      </x:c>
      <x:c r="V40" s="136" t="str">
        <x:v>DrillCamp</x:v>
      </x:c>
      <x:c r="W40" s="136" t="str">
        <x:v>Conquest</x:v>
      </x:c>
      <x:c r="X40" s="136" t="str">
        <x:v>Towering Trunks</x:v>
      </x:c>
      <x:c r="Y40" s="136" t="str">
        <x:v>Conquest_4</x:v>
      </x:c>
      <x:c r="Z40" s="136" t="n">
        <x:v>21</x:v>
      </x:c>
      <x:c r="AA40" s="136" t="n">
        <x:v>770</x:v>
      </x:c>
    </x:row>
    <x:row r="41">
      <x:c r="A41" s="136" t="str">
        <x:v>Antietam | Conquest | Framing Fencelines</x:v>
      </x:c>
      <x:c r="B41" s="136" t="str">
        <x:v>Spawn | CSA CQ3_Spawnpoint_CSA_Cavalry_0 [map-3/007]</x:v>
      </x:c>
      <x:c r="C41" s="136" t="str">
        <x:v>spawn</x:v>
      </x:c>
      <x:c r="D41" s="136" t="str">
        <x:v>CSA</x:v>
      </x:c>
      <x:c r="E41" s="136" t="str">
        <x:v>CQ3_Spawnpoint_CSA_Cavalry_0</x:v>
      </x:c>
      <x:c r="F41" s="137" t="n">
        <x:v>924.130126953125</x:v>
      </x:c>
      <x:c r="G41" s="137" t="n">
        <x:v>1152.5491943359375</x:v>
      </x:c>
      <x:c r="H41" s="137" t="n">
        <x:v>50.40610885620117</x:v>
      </x:c>
      <x:c r="I41" s="137" t="n">
        <x:v>1783.244229856102</x:v>
      </x:c>
      <x:c r="J41" s="137" t="n">
        <x:v>1380.6384245163445</x:v>
      </x:c>
      <x:c r="K41" s="136" t="str">
        <x:v>map-3</x:v>
      </x:c>
      <x:c r="L41" s="136" t="str">
        <x:v>Antietam | Conquest | Framing Fencelines||Spawn | CSA CQ3_Spawnpoint_CSA_Cavalry_0 [map-3/007]</x:v>
      </x:c>
      <x:c r="M41" s="134" t="str">
        <x:f>IF(ROW(A36)&lt;=COUNTIF($A$6:$A$2148,'Calculator'!$B$9),INDEX($B$6:$B$2148,SUMIF($T$6:$T$104,'Calculator'!$B$9,$AA$6:$AA$104)+ROW(A36)-1),"")</x:f>
      </x:c>
      <x:c r="N41" s="134" t="str">
        <x:f>IF(ROW(A36)&lt;=COUNTIF($A$6:$A$2148,'Calculator'!$B$9),INDEX($C$6:$C$2148,SUMIF($T$6:$T$104,'Calculator'!$B$9,$AA$6:$AA$104)+ROW(A36)-1),"")</x:f>
      </x:c>
      <x:c r="O41" s="134" t="str">
        <x:f>IF(ROW(A36)&lt;=COUNTIF($A$6:$A$2148,'Calculator'!$B$9),INDEX($D$6:$D$2148,SUMIF($T$6:$T$104,'Calculator'!$B$9,$AA$6:$AA$104)+ROW(A36)-1),"")</x:f>
      </x:c>
      <x:c r="P41" s="135" t="str">
        <x:f>IF(ROW(A36)&lt;=COUNTIF($A$6:$A$2148,'Calculator'!$B$9),INDEX($F$6:$F$2148,SUMIF($T$6:$T$104,'Calculator'!$B$9,$AA$6:$AA$104)+ROW(A36)-1),"")</x:f>
      </x:c>
      <x:c r="Q41" s="135" t="str">
        <x:f>IF(ROW(A36)&lt;=COUNTIF($A$6:$A$2148,'Calculator'!$B$9),INDEX($G$6:$G$2148,SUMIF($T$6:$T$104,'Calculator'!$B$9,$AA$6:$AA$104)+ROW(A36)-1),"")</x:f>
      </x:c>
      <x:c r="R41" s="135" t="str">
        <x:f>IF(ROW(A36)&lt;=COUNTIF($A$6:$A$2148,'Calculator'!$B$9),INDEX($H$6:$H$2148,SUMIF($T$6:$T$104,'Calculator'!$B$9,$AA$6:$AA$104)+ROW(A36)-1),"")</x:f>
      </x:c>
      <x:c r="S41" s="35"/>
      <x:c r="T41" s="136" t="str">
        <x:v>DrillCamp | Contention | Corn Crib</x:v>
      </x:c>
      <x:c r="U41" s="136" t="str">
        <x:v>map-36</x:v>
      </x:c>
      <x:c r="V41" s="136" t="str">
        <x:v>DrillCamp</x:v>
      </x:c>
      <x:c r="W41" s="136" t="str">
        <x:v>Contention</x:v>
      </x:c>
      <x:c r="X41" s="136" t="str">
        <x:v>Corn Crib</x:v>
      </x:c>
      <x:c r="Y41" s="136" t="str">
        <x:v>Conquest_1</x:v>
      </x:c>
      <x:c r="Z41" s="136" t="n">
        <x:v>23</x:v>
      </x:c>
      <x:c r="AA41" s="136" t="n">
        <x:v>791</x:v>
      </x:c>
    </x:row>
    <x:row r="42">
      <x:c r="A42" s="136" t="str">
        <x:v>Antietam | Conquest | Framing Fencelines</x:v>
      </x:c>
      <x:c r="B42" s="136" t="str">
        <x:v>Artillery | CSA CQ3_Spawnpoint_CSA_Artillery_Staging [map-3/008]</x:v>
      </x:c>
      <x:c r="C42" s="136" t="str">
        <x:v>battery</x:v>
      </x:c>
      <x:c r="D42" s="136" t="str">
        <x:v>CSA</x:v>
      </x:c>
      <x:c r="E42" s="136" t="str">
        <x:v>CQ3_Spawnpoint_CSA_Artillery_Staging</x:v>
      </x:c>
      <x:c r="F42" s="137" t="n">
        <x:v>865.4881591796875</x:v>
      </x:c>
      <x:c r="G42" s="137" t="n">
        <x:v>1333.303955078125</x:v>
      </x:c>
      <x:c r="H42" s="137" t="n">
        <x:v>61.98637771606445</x:v>
      </x:c>
      <x:c r="I42" s="137" t="n">
        <x:v>1382.7468887360767</x:v>
      </x:c>
      <x:c r="J42" s="137" t="n">
        <x:v>1240.6695551053897</x:v>
      </x:c>
      <x:c r="K42" s="136" t="str">
        <x:v>map-3</x:v>
      </x:c>
      <x:c r="L42" s="136" t="str">
        <x:v>Antietam | Conquest | Framing Fencelines||Artillery | CSA CQ3_Spawnpoint_CSA_Artillery_Staging [map-3/008]</x:v>
      </x:c>
      <x:c r="M42" s="134" t="str">
        <x:f>IF(ROW(A37)&lt;=COUNTIF($A$6:$A$2148,'Calculator'!$B$9),INDEX($B$6:$B$2148,SUMIF($T$6:$T$104,'Calculator'!$B$9,$AA$6:$AA$104)+ROW(A37)-1),"")</x:f>
      </x:c>
      <x:c r="N42" s="134" t="str">
        <x:f>IF(ROW(A37)&lt;=COUNTIF($A$6:$A$2148,'Calculator'!$B$9),INDEX($C$6:$C$2148,SUMIF($T$6:$T$104,'Calculator'!$B$9,$AA$6:$AA$104)+ROW(A37)-1),"")</x:f>
      </x:c>
      <x:c r="O42" s="134" t="str">
        <x:f>IF(ROW(A37)&lt;=COUNTIF($A$6:$A$2148,'Calculator'!$B$9),INDEX($D$6:$D$2148,SUMIF($T$6:$T$104,'Calculator'!$B$9,$AA$6:$AA$104)+ROW(A37)-1),"")</x:f>
      </x:c>
      <x:c r="P42" s="135" t="str">
        <x:f>IF(ROW(A37)&lt;=COUNTIF($A$6:$A$2148,'Calculator'!$B$9),INDEX($F$6:$F$2148,SUMIF($T$6:$T$104,'Calculator'!$B$9,$AA$6:$AA$104)+ROW(A37)-1),"")</x:f>
      </x:c>
      <x:c r="Q42" s="135" t="str">
        <x:f>IF(ROW(A37)&lt;=COUNTIF($A$6:$A$2148,'Calculator'!$B$9),INDEX($G$6:$G$2148,SUMIF($T$6:$T$104,'Calculator'!$B$9,$AA$6:$AA$104)+ROW(A37)-1),"")</x:f>
      </x:c>
      <x:c r="R42" s="135" t="str">
        <x:f>IF(ROW(A37)&lt;=COUNTIF($A$6:$A$2148,'Calculator'!$B$9),INDEX($H$6:$H$2148,SUMIF($T$6:$T$104,'Calculator'!$B$9,$AA$6:$AA$104)+ROW(A37)-1),"")</x:f>
      </x:c>
      <x:c r="S42" s="35"/>
      <x:c r="T42" s="136" t="str">
        <x:v>DrillCamp | Contention | Orchards</x:v>
      </x:c>
      <x:c r="U42" s="136" t="str">
        <x:v>map-37</x:v>
      </x:c>
      <x:c r="V42" s="136" t="str">
        <x:v>DrillCamp</x:v>
      </x:c>
      <x:c r="W42" s="136" t="str">
        <x:v>Contention</x:v>
      </x:c>
      <x:c r="X42" s="136" t="str">
        <x:v>Orchards</x:v>
      </x:c>
      <x:c r="Y42" s="136" t="str">
        <x:v>Conquest_2</x:v>
      </x:c>
      <x:c r="Z42" s="136" t="n">
        <x:v>25</x:v>
      </x:c>
      <x:c r="AA42" s="136" t="n">
        <x:v>814</x:v>
      </x:c>
    </x:row>
    <x:row r="43">
      <x:c r="A43" s="136" t="str">
        <x:v>Antietam | Conquest | Framing Fencelines</x:v>
      </x:c>
      <x:c r="B43" s="136" t="str">
        <x:v>Gun | 3-inch Ordnance · Entity-1655 [map-3/009]</x:v>
      </x:c>
      <x:c r="C43" s="136" t="str">
        <x:v>gun_spawn</x:v>
      </x:c>
      <x:c r="D43" s="136" t="str"/>
      <x:c r="E43" s="136" t="str">
        <x:v>3-inch Ordnance · Entity-1655</x:v>
      </x:c>
      <x:c r="F43" s="137" t="n">
        <x:v>411.8895263671875</x:v>
      </x:c>
      <x:c r="G43" s="137" t="n">
        <x:v>1666.26318359375</x:v>
      </x:c>
      <x:c r="H43" s="137" t="n">
        <x:v>62.64501953125</x:v>
      </x:c>
      <x:c r="I43" s="137" t="n">
        <x:v>177.37696222484055</x:v>
      </x:c>
      <x:c r="J43" s="137" t="n">
        <x:v>1596.8198161106122</x:v>
      </x:c>
      <x:c r="K43" s="136" t="str">
        <x:v>map-3</x:v>
      </x:c>
      <x:c r="L43" s="136" t="str">
        <x:v>Antietam | Conquest | Framing Fencelines||Gun | 3-inch Ordnance · Entity-1655 [map-3/009]</x:v>
      </x:c>
      <x:c r="M43" s="134" t="str">
        <x:f>IF(ROW(A38)&lt;=COUNTIF($A$6:$A$2148,'Calculator'!$B$9),INDEX($B$6:$B$2148,SUMIF($T$6:$T$104,'Calculator'!$B$9,$AA$6:$AA$104)+ROW(A38)-1),"")</x:f>
      </x:c>
      <x:c r="N43" s="134" t="str">
        <x:f>IF(ROW(A38)&lt;=COUNTIF($A$6:$A$2148,'Calculator'!$B$9),INDEX($C$6:$C$2148,SUMIF($T$6:$T$104,'Calculator'!$B$9,$AA$6:$AA$104)+ROW(A38)-1),"")</x:f>
      </x:c>
      <x:c r="O43" s="134" t="str">
        <x:f>IF(ROW(A38)&lt;=COUNTIF($A$6:$A$2148,'Calculator'!$B$9),INDEX($D$6:$D$2148,SUMIF($T$6:$T$104,'Calculator'!$B$9,$AA$6:$AA$104)+ROW(A38)-1),"")</x:f>
      </x:c>
      <x:c r="P43" s="135" t="str">
        <x:f>IF(ROW(A38)&lt;=COUNTIF($A$6:$A$2148,'Calculator'!$B$9),INDEX($F$6:$F$2148,SUMIF($T$6:$T$104,'Calculator'!$B$9,$AA$6:$AA$104)+ROW(A38)-1),"")</x:f>
      </x:c>
      <x:c r="Q43" s="135" t="str">
        <x:f>IF(ROW(A38)&lt;=COUNTIF($A$6:$A$2148,'Calculator'!$B$9),INDEX($G$6:$G$2148,SUMIF($T$6:$T$104,'Calculator'!$B$9,$AA$6:$AA$104)+ROW(A38)-1),"")</x:f>
      </x:c>
      <x:c r="R43" s="135" t="str">
        <x:f>IF(ROW(A38)&lt;=COUNTIF($A$6:$A$2148,'Calculator'!$B$9),INDEX($H$6:$H$2148,SUMIF($T$6:$T$104,'Calculator'!$B$9,$AA$6:$AA$104)+ROW(A38)-1),"")</x:f>
      </x:c>
      <x:c r="S43" s="35"/>
      <x:c r="T43" s="136" t="str">
        <x:v>DrillCamp | Contention | Railroad Cut</x:v>
      </x:c>
      <x:c r="U43" s="136" t="str">
        <x:v>map-38</x:v>
      </x:c>
      <x:c r="V43" s="136" t="str">
        <x:v>DrillCamp</x:v>
      </x:c>
      <x:c r="W43" s="136" t="str">
        <x:v>Contention</x:v>
      </x:c>
      <x:c r="X43" s="136" t="str">
        <x:v>Railroad Cut</x:v>
      </x:c>
      <x:c r="Y43" s="136" t="str">
        <x:v>Conquest_3</x:v>
      </x:c>
      <x:c r="Z43" s="136" t="n">
        <x:v>23</x:v>
      </x:c>
      <x:c r="AA43" s="136" t="n">
        <x:v>839</x:v>
      </x:c>
    </x:row>
    <x:row r="44">
      <x:c r="A44" s="136" t="str">
        <x:v>Antietam | Conquest | Framing Fencelines</x:v>
      </x:c>
      <x:c r="B44" s="136" t="str">
        <x:v>Gun | 3-inch Ordnance · Entity-1676 [map-3/010]</x:v>
      </x:c>
      <x:c r="C44" s="136" t="str">
        <x:v>gun_spawn</x:v>
      </x:c>
      <x:c r="D44" s="136" t="str"/>
      <x:c r="E44" s="136" t="str">
        <x:v>3-inch Ordnance · Entity-1676</x:v>
      </x:c>
      <x:c r="F44" s="137" t="n">
        <x:v>790.70751953125</x:v>
      </x:c>
      <x:c r="G44" s="137" t="n">
        <x:v>1486.66796875</x:v>
      </x:c>
      <x:c r="H44" s="137" t="n">
        <x:v>71.4107437133789</x:v>
      </x:c>
      <x:c r="I44" s="137" t="n">
        <x:v>1009.075319440725</x:v>
      </x:c>
      <x:c r="J44" s="137" t="n">
        <x:v>1166.3723342474168</x:v>
      </x:c>
      <x:c r="K44" s="136" t="str">
        <x:v>map-3</x:v>
      </x:c>
      <x:c r="L44" s="136" t="str">
        <x:v>Antietam | Conquest | Framing Fencelines||Gun | 3-inch Ordnance · Entity-1676 [map-3/010]</x:v>
      </x:c>
      <x:c r="M44" s="134" t="str">
        <x:f>IF(ROW(A39)&lt;=COUNTIF($A$6:$A$2148,'Calculator'!$B$9),INDEX($B$6:$B$2148,SUMIF($T$6:$T$104,'Calculator'!$B$9,$AA$6:$AA$104)+ROW(A39)-1),"")</x:f>
      </x:c>
      <x:c r="N44" s="134" t="str">
        <x:f>IF(ROW(A39)&lt;=COUNTIF($A$6:$A$2148,'Calculator'!$B$9),INDEX($C$6:$C$2148,SUMIF($T$6:$T$104,'Calculator'!$B$9,$AA$6:$AA$104)+ROW(A39)-1),"")</x:f>
      </x:c>
      <x:c r="O44" s="134" t="str">
        <x:f>IF(ROW(A39)&lt;=COUNTIF($A$6:$A$2148,'Calculator'!$B$9),INDEX($D$6:$D$2148,SUMIF($T$6:$T$104,'Calculator'!$B$9,$AA$6:$AA$104)+ROW(A39)-1),"")</x:f>
      </x:c>
      <x:c r="P44" s="135" t="str">
        <x:f>IF(ROW(A39)&lt;=COUNTIF($A$6:$A$2148,'Calculator'!$B$9),INDEX($F$6:$F$2148,SUMIF($T$6:$T$104,'Calculator'!$B$9,$AA$6:$AA$104)+ROW(A39)-1),"")</x:f>
      </x:c>
      <x:c r="Q44" s="135" t="str">
        <x:f>IF(ROW(A39)&lt;=COUNTIF($A$6:$A$2148,'Calculator'!$B$9),INDEX($G$6:$G$2148,SUMIF($T$6:$T$104,'Calculator'!$B$9,$AA$6:$AA$104)+ROW(A39)-1),"")</x:f>
      </x:c>
      <x:c r="R44" s="135" t="str">
        <x:f>IF(ROW(A39)&lt;=COUNTIF($A$6:$A$2148,'Calculator'!$B$9),INDEX($H$6:$H$2148,SUMIF($T$6:$T$104,'Calculator'!$B$9,$AA$6:$AA$104)+ROW(A39)-1),"")</x:f>
      </x:c>
      <x:c r="S44" s="35"/>
      <x:c r="T44" s="136" t="str">
        <x:v>DrillCamp | Contention | Towering Trunks</x:v>
      </x:c>
      <x:c r="U44" s="136" t="str">
        <x:v>map-39</x:v>
      </x:c>
      <x:c r="V44" s="136" t="str">
        <x:v>DrillCamp</x:v>
      </x:c>
      <x:c r="W44" s="136" t="str">
        <x:v>Contention</x:v>
      </x:c>
      <x:c r="X44" s="136" t="str">
        <x:v>Towering Trunks</x:v>
      </x:c>
      <x:c r="Y44" s="136" t="str">
        <x:v>Conquest_4</x:v>
      </x:c>
      <x:c r="Z44" s="136" t="n">
        <x:v>21</x:v>
      </x:c>
      <x:c r="AA44" s="136" t="n">
        <x:v>862</x:v>
      </x:c>
    </x:row>
    <x:row r="45">
      <x:c r="A45" s="136" t="str">
        <x:v>Antietam | Conquest | Framing Fencelines</x:v>
      </x:c>
      <x:c r="B45" s="136" t="str">
        <x:v>Gun | 12-pounder Napoleon (USA) · Entity-1659 [map-3/011]</x:v>
      </x:c>
      <x:c r="C45" s="136" t="str">
        <x:v>gun_spawn</x:v>
      </x:c>
      <x:c r="D45" s="136" t="str"/>
      <x:c r="E45" s="136" t="str">
        <x:v>12-pounder Napoleon (USA) · Entity-1659</x:v>
      </x:c>
      <x:c r="F45" s="137" t="n">
        <x:v>411.1995849609375</x:v>
      </x:c>
      <x:c r="G45" s="137" t="n">
        <x:v>1631.5306396484375</x:v>
      </x:c>
      <x:c r="H45" s="137" t="n">
        <x:v>60.98453903198242</x:v>
      </x:c>
      <x:c r="I45" s="137" t="n">
        <x:v>238.1519236032697</x:v>
      </x:c>
      <x:c r="J45" s="137" t="n">
        <x:v>1644.96105398108</x:v>
      </x:c>
      <x:c r="K45" s="136" t="str">
        <x:v>map-3</x:v>
      </x:c>
      <x:c r="L45" s="136" t="str">
        <x:v>Antietam | Conquest | Framing Fencelines||Gun | 12-pounder Napoleon (USA) · Entity-1659 [map-3/011]</x:v>
      </x:c>
      <x:c r="M45" s="134" t="str">
        <x:f>IF(ROW(A40)&lt;=COUNTIF($A$6:$A$2148,'Calculator'!$B$9),INDEX($B$6:$B$2148,SUMIF($T$6:$T$104,'Calculator'!$B$9,$AA$6:$AA$104)+ROW(A40)-1),"")</x:f>
      </x:c>
      <x:c r="N45" s="134" t="str">
        <x:f>IF(ROW(A40)&lt;=COUNTIF($A$6:$A$2148,'Calculator'!$B$9),INDEX($C$6:$C$2148,SUMIF($T$6:$T$104,'Calculator'!$B$9,$AA$6:$AA$104)+ROW(A40)-1),"")</x:f>
      </x:c>
      <x:c r="O45" s="134" t="str">
        <x:f>IF(ROW(A40)&lt;=COUNTIF($A$6:$A$2148,'Calculator'!$B$9),INDEX($D$6:$D$2148,SUMIF($T$6:$T$104,'Calculator'!$B$9,$AA$6:$AA$104)+ROW(A40)-1),"")</x:f>
      </x:c>
      <x:c r="P45" s="135" t="str">
        <x:f>IF(ROW(A40)&lt;=COUNTIF($A$6:$A$2148,'Calculator'!$B$9),INDEX($F$6:$F$2148,SUMIF($T$6:$T$104,'Calculator'!$B$9,$AA$6:$AA$104)+ROW(A40)-1),"")</x:f>
      </x:c>
      <x:c r="Q45" s="135" t="str">
        <x:f>IF(ROW(A40)&lt;=COUNTIF($A$6:$A$2148,'Calculator'!$B$9),INDEX($G$6:$G$2148,SUMIF($T$6:$T$104,'Calculator'!$B$9,$AA$6:$AA$104)+ROW(A40)-1),"")</x:f>
      </x:c>
      <x:c r="R45" s="135" t="str">
        <x:f>IF(ROW(A40)&lt;=COUNTIF($A$6:$A$2148,'Calculator'!$B$9),INDEX($H$6:$H$2148,SUMIF($T$6:$T$104,'Calculator'!$B$9,$AA$6:$AA$104)+ROW(A40)-1),"")</x:f>
      </x:c>
      <x:c r="S45" s="35"/>
      <x:c r="T45" s="136" t="str">
        <x:v>DrillCamp | Drill Camp | Drill Camp USA</x:v>
      </x:c>
      <x:c r="U45" s="136" t="str">
        <x:v>map-40</x:v>
      </x:c>
      <x:c r="V45" s="136" t="str">
        <x:v>DrillCamp</x:v>
      </x:c>
      <x:c r="W45" s="136" t="str">
        <x:v>Drill Camp</x:v>
      </x:c>
      <x:c r="X45" s="136" t="str">
        <x:v>Drill Camp USA</x:v>
      </x:c>
      <x:c r="Y45" s="136" t="str">
        <x:v>USA_Spawns</x:v>
      </x:c>
      <x:c r="Z45" s="136" t="n">
        <x:v>7</x:v>
      </x:c>
      <x:c r="AA45" s="136" t="n">
        <x:v>883</x:v>
      </x:c>
    </x:row>
    <x:row r="46">
      <x:c r="A46" s="136" t="str">
        <x:v>Antietam | Conquest | Framing Fencelines</x:v>
      </x:c>
      <x:c r="B46" s="136" t="str">
        <x:v>Gun | 12-pounder Napoleon (USA) · Entity-1658 [map-3/012]</x:v>
      </x:c>
      <x:c r="C46" s="136" t="str">
        <x:v>gun_spawn</x:v>
      </x:c>
      <x:c r="D46" s="136" t="str"/>
      <x:c r="E46" s="136" t="str">
        <x:v>12-pounder Napoleon (USA) · Entity-1658</x:v>
      </x:c>
      <x:c r="F46" s="137" t="n">
        <x:v>411.6000061035156</x:v>
      </x:c>
      <x:c r="G46" s="137" t="n">
        <x:v>1641.1871337890625</x:v>
      </x:c>
      <x:c r="H46" s="137" t="n">
        <x:v>61.40102767944336</x:v>
      </x:c>
      <x:c r="I46" s="137" t="n">
        <x:v>221.53728005873072</x:v>
      </x:c>
      <x:c r="J46" s="137" t="n">
        <x:v>1631.205999611476</x:v>
      </x:c>
      <x:c r="K46" s="136" t="str">
        <x:v>map-3</x:v>
      </x:c>
      <x:c r="L46" s="136" t="str">
        <x:v>Antietam | Conquest | Framing Fencelines||Gun | 12-pounder Napoleon (USA) · Entity-1658 [map-3/012]</x:v>
      </x:c>
      <x:c r="M46" s="134" t="str">
        <x:f>IF(ROW(A41)&lt;=COUNTIF($A$6:$A$2148,'Calculator'!$B$9),INDEX($B$6:$B$2148,SUMIF($T$6:$T$104,'Calculator'!$B$9,$AA$6:$AA$104)+ROW(A41)-1),"")</x:f>
      </x:c>
      <x:c r="N46" s="134" t="str">
        <x:f>IF(ROW(A41)&lt;=COUNTIF($A$6:$A$2148,'Calculator'!$B$9),INDEX($C$6:$C$2148,SUMIF($T$6:$T$104,'Calculator'!$B$9,$AA$6:$AA$104)+ROW(A41)-1),"")</x:f>
      </x:c>
      <x:c r="O46" s="134" t="str">
        <x:f>IF(ROW(A41)&lt;=COUNTIF($A$6:$A$2148,'Calculator'!$B$9),INDEX($D$6:$D$2148,SUMIF($T$6:$T$104,'Calculator'!$B$9,$AA$6:$AA$104)+ROW(A41)-1),"")</x:f>
      </x:c>
      <x:c r="P46" s="135" t="str">
        <x:f>IF(ROW(A41)&lt;=COUNTIF($A$6:$A$2148,'Calculator'!$B$9),INDEX($F$6:$F$2148,SUMIF($T$6:$T$104,'Calculator'!$B$9,$AA$6:$AA$104)+ROW(A41)-1),"")</x:f>
      </x:c>
      <x:c r="Q46" s="135" t="str">
        <x:f>IF(ROW(A41)&lt;=COUNTIF($A$6:$A$2148,'Calculator'!$B$9),INDEX($G$6:$G$2148,SUMIF($T$6:$T$104,'Calculator'!$B$9,$AA$6:$AA$104)+ROW(A41)-1),"")</x:f>
      </x:c>
      <x:c r="R46" s="135" t="str">
        <x:f>IF(ROW(A41)&lt;=COUNTIF($A$6:$A$2148,'Calculator'!$B$9),INDEX($H$6:$H$2148,SUMIF($T$6:$T$104,'Calculator'!$B$9,$AA$6:$AA$104)+ROW(A41)-1),"")</x:f>
      </x:c>
      <x:c r="S46" s="35"/>
      <x:c r="T46" s="136" t="str">
        <x:v>DrillCamp | Drill Camp | Drill Camp CSA</x:v>
      </x:c>
      <x:c r="U46" s="136" t="str">
        <x:v>map-41</x:v>
      </x:c>
      <x:c r="V46" s="136" t="str">
        <x:v>DrillCamp</x:v>
      </x:c>
      <x:c r="W46" s="136" t="str">
        <x:v>Drill Camp</x:v>
      </x:c>
      <x:c r="X46" s="136" t="str">
        <x:v>Drill Camp CSA</x:v>
      </x:c>
      <x:c r="Y46" s="136" t="str">
        <x:v>CSA_Spawns</x:v>
      </x:c>
      <x:c r="Z46" s="136" t="n">
        <x:v>7</x:v>
      </x:c>
      <x:c r="AA46" s="136" t="n">
        <x:v>890</x:v>
      </x:c>
    </x:row>
    <x:row r="47">
      <x:c r="A47" s="136" t="str">
        <x:v>Antietam | Conquest | Framing Fencelines</x:v>
      </x:c>
      <x:c r="B47" s="136" t="str">
        <x:v>Gun | 12-pounder Napoleon (CSA) · Entity-1673 [map-3/013]</x:v>
      </x:c>
      <x:c r="C47" s="136" t="str">
        <x:v>gun_spawn</x:v>
      </x:c>
      <x:c r="D47" s="136" t="str"/>
      <x:c r="E47" s="136" t="str">
        <x:v>12-pounder Napoleon (CSA) · Entity-1673</x:v>
      </x:c>
      <x:c r="F47" s="137" t="n">
        <x:v>812.4586181640625</x:v>
      </x:c>
      <x:c r="G47" s="137" t="n">
        <x:v>1493.900390625</x:v>
      </x:c>
      <x:c r="H47" s="137" t="n">
        <x:v>69.40543365478516</x:v>
      </x:c>
      <x:c r="I47" s="137" t="n">
        <x:v>1025.6591420333477</x:v>
      </x:c>
      <x:c r="J47" s="137" t="n">
        <x:v>1117.9583226005955</x:v>
      </x:c>
      <x:c r="K47" s="136" t="str">
        <x:v>map-3</x:v>
      </x:c>
      <x:c r="L47" s="136" t="str">
        <x:v>Antietam | Conquest | Framing Fencelines||Gun | 12-pounder Napoleon (CSA) · Entity-1673 [map-3/013]</x:v>
      </x:c>
      <x:c r="M47" s="134" t="str">
        <x:f>IF(ROW(A42)&lt;=COUNTIF($A$6:$A$2148,'Calculator'!$B$9),INDEX($B$6:$B$2148,SUMIF($T$6:$T$104,'Calculator'!$B$9,$AA$6:$AA$104)+ROW(A42)-1),"")</x:f>
      </x:c>
      <x:c r="N47" s="134" t="str">
        <x:f>IF(ROW(A42)&lt;=COUNTIF($A$6:$A$2148,'Calculator'!$B$9),INDEX($C$6:$C$2148,SUMIF($T$6:$T$104,'Calculator'!$B$9,$AA$6:$AA$104)+ROW(A42)-1),"")</x:f>
      </x:c>
      <x:c r="O47" s="134" t="str">
        <x:f>IF(ROW(A42)&lt;=COUNTIF($A$6:$A$2148,'Calculator'!$B$9),INDEX($D$6:$D$2148,SUMIF($T$6:$T$104,'Calculator'!$B$9,$AA$6:$AA$104)+ROW(A42)-1),"")</x:f>
      </x:c>
      <x:c r="P47" s="135" t="str">
        <x:f>IF(ROW(A42)&lt;=COUNTIF($A$6:$A$2148,'Calculator'!$B$9),INDEX($F$6:$F$2148,SUMIF($T$6:$T$104,'Calculator'!$B$9,$AA$6:$AA$104)+ROW(A42)-1),"")</x:f>
      </x:c>
      <x:c r="Q47" s="135" t="str">
        <x:f>IF(ROW(A42)&lt;=COUNTIF($A$6:$A$2148,'Calculator'!$B$9),INDEX($G$6:$G$2148,SUMIF($T$6:$T$104,'Calculator'!$B$9,$AA$6:$AA$104)+ROW(A42)-1),"")</x:f>
      </x:c>
      <x:c r="R47" s="135" t="str">
        <x:f>IF(ROW(A42)&lt;=COUNTIF($A$6:$A$2148,'Calculator'!$B$9),INDEX($H$6:$H$2148,SUMIF($T$6:$T$104,'Calculator'!$B$9,$AA$6:$AA$104)+ROW(A42)-1),"")</x:f>
      </x:c>
      <x:c r="S47" s="35"/>
      <x:c r="T47" s="136" t="str">
        <x:v>DrillCamp | Onslaught | Drill Camp (Onslaught)</x:v>
      </x:c>
      <x:c r="U47" s="136" t="str">
        <x:v>map-42</x:v>
      </x:c>
      <x:c r="V47" s="136" t="str">
        <x:v>DrillCamp</x:v>
      </x:c>
      <x:c r="W47" s="136" t="str">
        <x:v>Onslaught</x:v>
      </x:c>
      <x:c r="X47" s="136" t="str">
        <x:v>Drill Camp (Onslaught)</x:v>
      </x:c>
      <x:c r="Y47" s="136" t="str">
        <x:v>LTMOnslaught</x:v>
      </x:c>
      <x:c r="Z47" s="136" t="n">
        <x:v>4</x:v>
      </x:c>
      <x:c r="AA47" s="136" t="n">
        <x:v>897</x:v>
      </x:c>
    </x:row>
    <x:row r="48">
      <x:c r="A48" s="136" t="str">
        <x:v>Antietam | Conquest | Framing Fencelines</x:v>
      </x:c>
      <x:c r="B48" s="136" t="str">
        <x:v>Gun | 3-inch Ordnance · Entity-1677 [map-3/014]</x:v>
      </x:c>
      <x:c r="C48" s="136" t="str">
        <x:v>gun_spawn</x:v>
      </x:c>
      <x:c r="D48" s="136" t="str"/>
      <x:c r="E48" s="136" t="str">
        <x:v>3-inch Ordnance · Entity-1677</x:v>
      </x:c>
      <x:c r="F48" s="137" t="n">
        <x:v>783.556884765625</x:v>
      </x:c>
      <x:c r="G48" s="137" t="n">
        <x:v>1484.886962890625</x:v>
      </x:c>
      <x:c r="H48" s="137" t="n">
        <x:v>71.29142761230469</x:v>
      </x:c>
      <x:c r="I48" s="137" t="n">
        <x:v>1002.5633797492092</x:v>
      </x:c>
      <x:c r="J48" s="137" t="n">
        <x:v>1181.4824349095363</x:v>
      </x:c>
      <x:c r="K48" s="136" t="str">
        <x:v>map-3</x:v>
      </x:c>
      <x:c r="L48" s="136" t="str">
        <x:v>Antietam | Conquest | Framing Fencelines||Gun | 3-inch Ordnance · Entity-1677 [map-3/014]</x:v>
      </x:c>
      <x:c r="M48" s="134" t="str">
        <x:f>IF(ROW(A43)&lt;=COUNTIF($A$6:$A$2148,'Calculator'!$B$9),INDEX($B$6:$B$2148,SUMIF($T$6:$T$104,'Calculator'!$B$9,$AA$6:$AA$104)+ROW(A43)-1),"")</x:f>
      </x:c>
      <x:c r="N48" s="134" t="str">
        <x:f>IF(ROW(A43)&lt;=COUNTIF($A$6:$A$2148,'Calculator'!$B$9),INDEX($C$6:$C$2148,SUMIF($T$6:$T$104,'Calculator'!$B$9,$AA$6:$AA$104)+ROW(A43)-1),"")</x:f>
      </x:c>
      <x:c r="O48" s="134" t="str">
        <x:f>IF(ROW(A43)&lt;=COUNTIF($A$6:$A$2148,'Calculator'!$B$9),INDEX($D$6:$D$2148,SUMIF($T$6:$T$104,'Calculator'!$B$9,$AA$6:$AA$104)+ROW(A43)-1),"")</x:f>
      </x:c>
      <x:c r="P48" s="135" t="str">
        <x:f>IF(ROW(A43)&lt;=COUNTIF($A$6:$A$2148,'Calculator'!$B$9),INDEX($F$6:$F$2148,SUMIF($T$6:$T$104,'Calculator'!$B$9,$AA$6:$AA$104)+ROW(A43)-1),"")</x:f>
      </x:c>
      <x:c r="Q48" s="135" t="str">
        <x:f>IF(ROW(A43)&lt;=COUNTIF($A$6:$A$2148,'Calculator'!$B$9),INDEX($G$6:$G$2148,SUMIF($T$6:$T$104,'Calculator'!$B$9,$AA$6:$AA$104)+ROW(A43)-1),"")</x:f>
      </x:c>
      <x:c r="R48" s="135" t="str">
        <x:f>IF(ROW(A43)&lt;=COUNTIF($A$6:$A$2148,'Calculator'!$B$9),INDEX($H$6:$H$2148,SUMIF($T$6:$T$104,'Calculator'!$B$9,$AA$6:$AA$104)+ROW(A43)-1),"")</x:f>
      </x:c>
      <x:c r="S48" s="35"/>
      <x:c r="T48" s="136" t="str">
        <x:v>DrillCamp | Picket Patrol | Picket Patrol 01</x:v>
      </x:c>
      <x:c r="U48" s="136" t="str">
        <x:v>map-43</x:v>
      </x:c>
      <x:c r="V48" s="136" t="str">
        <x:v>DrillCamp</x:v>
      </x:c>
      <x:c r="W48" s="136" t="str">
        <x:v>Picket Patrol</x:v>
      </x:c>
      <x:c r="X48" s="136" t="str">
        <x:v>Picket Patrol 01</x:v>
      </x:c>
      <x:c r="Y48" s="136" t="str">
        <x:v>Picket_Patrol_1</x:v>
      </x:c>
      <x:c r="Z48" s="136" t="n">
        <x:v>6</x:v>
      </x:c>
      <x:c r="AA48" s="136" t="n">
        <x:v>901</x:v>
      </x:c>
    </x:row>
    <x:row r="49">
      <x:c r="A49" s="136" t="str">
        <x:v>Antietam | Conquest | Framing Fencelines</x:v>
      </x:c>
      <x:c r="B49" s="136" t="str">
        <x:v>Gun | 3-inch Ordnance · Entity-1675 [map-3/015]</x:v>
      </x:c>
      <x:c r="C49" s="136" t="str">
        <x:v>gun_spawn</x:v>
      </x:c>
      <x:c r="D49" s="136" t="str"/>
      <x:c r="E49" s="136" t="str">
        <x:v>3-inch Ordnance · Entity-1675</x:v>
      </x:c>
      <x:c r="F49" s="137" t="n">
        <x:v>798.0849609375</x:v>
      </x:c>
      <x:c r="G49" s="137" t="n">
        <x:v>1488.8349609375</x:v>
      </x:c>
      <x:c r="H49" s="137" t="n">
        <x:v>71.1401138305664</x:v>
      </x:c>
      <x:c r="I49" s="137" t="n">
        <x:v>1015.2083992667077</x:v>
      </x:c>
      <x:c r="J49" s="137" t="n">
        <x:v>1150.337894918843</x:v>
      </x:c>
      <x:c r="K49" s="136" t="str">
        <x:v>map-3</x:v>
      </x:c>
      <x:c r="L49" s="136" t="str">
        <x:v>Antietam | Conquest | Framing Fencelines||Gun | 3-inch Ordnance · Entity-1675 [map-3/015]</x:v>
      </x:c>
      <x:c r="M49" s="134" t="str">
        <x:f>IF(ROW(A44)&lt;=COUNTIF($A$6:$A$2148,'Calculator'!$B$9),INDEX($B$6:$B$2148,SUMIF($T$6:$T$104,'Calculator'!$B$9,$AA$6:$AA$104)+ROW(A44)-1),"")</x:f>
      </x:c>
      <x:c r="N49" s="134" t="str">
        <x:f>IF(ROW(A44)&lt;=COUNTIF($A$6:$A$2148,'Calculator'!$B$9),INDEX($C$6:$C$2148,SUMIF($T$6:$T$104,'Calculator'!$B$9,$AA$6:$AA$104)+ROW(A44)-1),"")</x:f>
      </x:c>
      <x:c r="O49" s="134" t="str">
        <x:f>IF(ROW(A44)&lt;=COUNTIF($A$6:$A$2148,'Calculator'!$B$9),INDEX($D$6:$D$2148,SUMIF($T$6:$T$104,'Calculator'!$B$9,$AA$6:$AA$104)+ROW(A44)-1),"")</x:f>
      </x:c>
      <x:c r="P49" s="135" t="str">
        <x:f>IF(ROW(A44)&lt;=COUNTIF($A$6:$A$2148,'Calculator'!$B$9),INDEX($F$6:$F$2148,SUMIF($T$6:$T$104,'Calculator'!$B$9,$AA$6:$AA$104)+ROW(A44)-1),"")</x:f>
      </x:c>
      <x:c r="Q49" s="135" t="str">
        <x:f>IF(ROW(A44)&lt;=COUNTIF($A$6:$A$2148,'Calculator'!$B$9),INDEX($G$6:$G$2148,SUMIF($T$6:$T$104,'Calculator'!$B$9,$AA$6:$AA$104)+ROW(A44)-1),"")</x:f>
      </x:c>
      <x:c r="R49" s="135" t="str">
        <x:f>IF(ROW(A44)&lt;=COUNTIF($A$6:$A$2148,'Calculator'!$B$9),INDEX($H$6:$H$2148,SUMIF($T$6:$T$104,'Calculator'!$B$9,$AA$6:$AA$104)+ROW(A44)-1),"")</x:f>
      </x:c>
      <x:c r="S49" s="35"/>
      <x:c r="T49" s="136" t="str">
        <x:v>DrillCamp | Picket Patrol | Picket Patrol 02</x:v>
      </x:c>
      <x:c r="U49" s="136" t="str">
        <x:v>map-44</x:v>
      </x:c>
      <x:c r="V49" s="136" t="str">
        <x:v>DrillCamp</x:v>
      </x:c>
      <x:c r="W49" s="136" t="str">
        <x:v>Picket Patrol</x:v>
      </x:c>
      <x:c r="X49" s="136" t="str">
        <x:v>Picket Patrol 02</x:v>
      </x:c>
      <x:c r="Y49" s="136" t="str">
        <x:v>Picket_Patrol_2</x:v>
      </x:c>
      <x:c r="Z49" s="136" t="n">
        <x:v>7</x:v>
      </x:c>
      <x:c r="AA49" s="136" t="n">
        <x:v>907</x:v>
      </x:c>
    </x:row>
    <x:row r="50">
      <x:c r="A50" s="136" t="str">
        <x:v>Antietam | Conquest | Framing Fencelines</x:v>
      </x:c>
      <x:c r="B50" s="136" t="str">
        <x:v>Gun | 12-pounder Napoleon (CSA) · Entity-1672 [map-3/016]</x:v>
      </x:c>
      <x:c r="C50" s="136" t="str">
        <x:v>gun_spawn</x:v>
      </x:c>
      <x:c r="D50" s="136" t="str"/>
      <x:c r="E50" s="136" t="str">
        <x:v>12-pounder Napoleon (CSA) · Entity-1672</x:v>
      </x:c>
      <x:c r="F50" s="137" t="n">
        <x:v>821.9254150390625</x:v>
      </x:c>
      <x:c r="G50" s="137" t="n">
        <x:v>1496.878662109375</x:v>
      </x:c>
      <x:c r="H50" s="137" t="n">
        <x:v>68.17044067382812</x:v>
      </x:c>
      <x:c r="I50" s="137" t="n">
        <x:v>1033.1781478508913</x:v>
      </x:c>
      <x:c r="J50" s="137" t="n">
        <x:v>1097.1159228899708</x:v>
      </x:c>
      <x:c r="K50" s="136" t="str">
        <x:v>map-3</x:v>
      </x:c>
      <x:c r="L50" s="136" t="str">
        <x:v>Antietam | Conquest | Framing Fencelines||Gun | 12-pounder Napoleon (CSA) · Entity-1672 [map-3/016]</x:v>
      </x:c>
      <x:c r="M50" s="134" t="str">
        <x:f>IF(ROW(A45)&lt;=COUNTIF($A$6:$A$2148,'Calculator'!$B$9),INDEX($B$6:$B$2148,SUMIF($T$6:$T$104,'Calculator'!$B$9,$AA$6:$AA$104)+ROW(A45)-1),"")</x:f>
      </x:c>
      <x:c r="N50" s="134" t="str">
        <x:f>IF(ROW(A45)&lt;=COUNTIF($A$6:$A$2148,'Calculator'!$B$9),INDEX($C$6:$C$2148,SUMIF($T$6:$T$104,'Calculator'!$B$9,$AA$6:$AA$104)+ROW(A45)-1),"")</x:f>
      </x:c>
      <x:c r="O50" s="134" t="str">
        <x:f>IF(ROW(A45)&lt;=COUNTIF($A$6:$A$2148,'Calculator'!$B$9),INDEX($D$6:$D$2148,SUMIF($T$6:$T$104,'Calculator'!$B$9,$AA$6:$AA$104)+ROW(A45)-1),"")</x:f>
      </x:c>
      <x:c r="P50" s="135" t="str">
        <x:f>IF(ROW(A45)&lt;=COUNTIF($A$6:$A$2148,'Calculator'!$B$9),INDEX($F$6:$F$2148,SUMIF($T$6:$T$104,'Calculator'!$B$9,$AA$6:$AA$104)+ROW(A45)-1),"")</x:f>
      </x:c>
      <x:c r="Q50" s="135" t="str">
        <x:f>IF(ROW(A45)&lt;=COUNTIF($A$6:$A$2148,'Calculator'!$B$9),INDEX($G$6:$G$2148,SUMIF($T$6:$T$104,'Calculator'!$B$9,$AA$6:$AA$104)+ROW(A45)-1),"")</x:f>
      </x:c>
      <x:c r="R50" s="135" t="str">
        <x:f>IF(ROW(A45)&lt;=COUNTIF($A$6:$A$2148,'Calculator'!$B$9),INDEX($H$6:$H$2148,SUMIF($T$6:$T$104,'Calculator'!$B$9,$AA$6:$AA$104)+ROW(A45)-1),"")</x:f>
      </x:c>
      <x:c r="S50" s="35"/>
      <x:c r="T50" s="136" t="str">
        <x:v>DrillCamp | Picket Patrol | Picket Patrol 03</x:v>
      </x:c>
      <x:c r="U50" s="136" t="str">
        <x:v>map-45</x:v>
      </x:c>
      <x:c r="V50" s="136" t="str">
        <x:v>DrillCamp</x:v>
      </x:c>
      <x:c r="W50" s="136" t="str">
        <x:v>Picket Patrol</x:v>
      </x:c>
      <x:c r="X50" s="136" t="str">
        <x:v>Picket Patrol 03</x:v>
      </x:c>
      <x:c r="Y50" s="136" t="str">
        <x:v>Picket_Patrol_3</x:v>
      </x:c>
      <x:c r="Z50" s="136" t="n">
        <x:v>7</x:v>
      </x:c>
      <x:c r="AA50" s="136" t="n">
        <x:v>914</x:v>
      </x:c>
    </x:row>
    <x:row r="51">
      <x:c r="A51" s="136" t="str">
        <x:v>Antietam | Conquest | Framing Fencelines</x:v>
      </x:c>
      <x:c r="B51" s="136" t="str">
        <x:v>Gun | 3-inch Ordnance · Entity-1654 [map-3/017]</x:v>
      </x:c>
      <x:c r="C51" s="136" t="str">
        <x:v>gun_spawn</x:v>
      </x:c>
      <x:c r="D51" s="136" t="str"/>
      <x:c r="E51" s="136" t="str">
        <x:v>3-inch Ordnance · Entity-1654</x:v>
      </x:c>
      <x:c r="F51" s="137" t="n">
        <x:v>412.17181396484375</x:v>
      </x:c>
      <x:c r="G51" s="137" t="n">
        <x:v>1675.076171875</x:v>
      </x:c>
      <x:c r="H51" s="137" t="n">
        <x:v>63.14280700683594</x:v>
      </x:c>
      <x:c r="I51" s="137" t="n">
        <x:v>162.10110005341957</x:v>
      </x:c>
      <x:c r="J51" s="137" t="n">
        <x:v>1584.4140236097035</x:v>
      </x:c>
      <x:c r="K51" s="136" t="str">
        <x:v>map-3</x:v>
      </x:c>
      <x:c r="L51" s="136" t="str">
        <x:v>Antietam | Conquest | Framing Fencelines||Gun | 3-inch Ordnance · Entity-1654 [map-3/017]</x:v>
      </x:c>
      <x:c r="M51" s="134" t="str">
        <x:f>IF(ROW(A46)&lt;=COUNTIF($A$6:$A$2148,'Calculator'!$B$9),INDEX($B$6:$B$2148,SUMIF($T$6:$T$104,'Calculator'!$B$9,$AA$6:$AA$104)+ROW(A46)-1),"")</x:f>
      </x:c>
      <x:c r="N51" s="134" t="str">
        <x:f>IF(ROW(A46)&lt;=COUNTIF($A$6:$A$2148,'Calculator'!$B$9),INDEX($C$6:$C$2148,SUMIF($T$6:$T$104,'Calculator'!$B$9,$AA$6:$AA$104)+ROW(A46)-1),"")</x:f>
      </x:c>
      <x:c r="O51" s="134" t="str">
        <x:f>IF(ROW(A46)&lt;=COUNTIF($A$6:$A$2148,'Calculator'!$B$9),INDEX($D$6:$D$2148,SUMIF($T$6:$T$104,'Calculator'!$B$9,$AA$6:$AA$104)+ROW(A46)-1),"")</x:f>
      </x:c>
      <x:c r="P51" s="135" t="str">
        <x:f>IF(ROW(A46)&lt;=COUNTIF($A$6:$A$2148,'Calculator'!$B$9),INDEX($F$6:$F$2148,SUMIF($T$6:$T$104,'Calculator'!$B$9,$AA$6:$AA$104)+ROW(A46)-1),"")</x:f>
      </x:c>
      <x:c r="Q51" s="135" t="str">
        <x:f>IF(ROW(A46)&lt;=COUNTIF($A$6:$A$2148,'Calculator'!$B$9),INDEX($G$6:$G$2148,SUMIF($T$6:$T$104,'Calculator'!$B$9,$AA$6:$AA$104)+ROW(A46)-1),"")</x:f>
      </x:c>
      <x:c r="R51" s="135" t="str">
        <x:f>IF(ROW(A46)&lt;=COUNTIF($A$6:$A$2148,'Calculator'!$B$9),INDEX($H$6:$H$2148,SUMIF($T$6:$T$104,'Calculator'!$B$9,$AA$6:$AA$104)+ROW(A46)-1),"")</x:f>
      </x:c>
      <x:c r="S51" s="35"/>
      <x:c r="T51" s="136" t="str">
        <x:v>DrillCamp | Picket Patrol | Picket Patrol 04</x:v>
      </x:c>
      <x:c r="U51" s="136" t="str">
        <x:v>map-46</x:v>
      </x:c>
      <x:c r="V51" s="136" t="str">
        <x:v>DrillCamp</x:v>
      </x:c>
      <x:c r="W51" s="136" t="str">
        <x:v>Picket Patrol</x:v>
      </x:c>
      <x:c r="X51" s="136" t="str">
        <x:v>Picket Patrol 04</x:v>
      </x:c>
      <x:c r="Y51" s="136" t="str">
        <x:v>Picket_Patrol_4</x:v>
      </x:c>
      <x:c r="Z51" s="136" t="n">
        <x:v>7</x:v>
      </x:c>
      <x:c r="AA51" s="136" t="n">
        <x:v>921</x:v>
      </x:c>
    </x:row>
    <x:row r="52">
      <x:c r="A52" s="136" t="str">
        <x:v>Antietam | Conquest | Framing Fencelines</x:v>
      </x:c>
      <x:c r="B52" s="136" t="str">
        <x:v>Gun | 3-inch Ordnance · Entity-1656 [map-3/018]</x:v>
      </x:c>
      <x:c r="C52" s="136" t="str">
        <x:v>gun_spawn</x:v>
      </x:c>
      <x:c r="D52" s="136" t="str"/>
      <x:c r="E52" s="136" t="str">
        <x:v>3-inch Ordnance · Entity-1656</x:v>
      </x:c>
      <x:c r="F52" s="137" t="n">
        <x:v>411.74700927734375</x:v>
      </x:c>
      <x:c r="G52" s="137" t="n">
        <x:v>1658.864013671875</x:v>
      </x:c>
      <x:c r="H52" s="137" t="n">
        <x:v>62.22173309326172</x:v>
      </x:c>
      <x:c r="I52" s="137" t="n">
        <x:v>190.33005974368922</x:v>
      </x:c>
      <x:c r="J52" s="137" t="n">
        <x:v>1607.067547809361</x:v>
      </x:c>
      <x:c r="K52" s="136" t="str">
        <x:v>map-3</x:v>
      </x:c>
      <x:c r="L52" s="136" t="str">
        <x:v>Antietam | Conquest | Framing Fencelines||Gun | 3-inch Ordnance · Entity-1656 [map-3/018]</x:v>
      </x:c>
      <x:c r="M52" s="134" t="str">
        <x:f>IF(ROW(A47)&lt;=COUNTIF($A$6:$A$2148,'Calculator'!$B$9),INDEX($B$6:$B$2148,SUMIF($T$6:$T$104,'Calculator'!$B$9,$AA$6:$AA$104)+ROW(A47)-1),"")</x:f>
      </x:c>
      <x:c r="N52" s="134" t="str">
        <x:f>IF(ROW(A47)&lt;=COUNTIF($A$6:$A$2148,'Calculator'!$B$9),INDEX($C$6:$C$2148,SUMIF($T$6:$T$104,'Calculator'!$B$9,$AA$6:$AA$104)+ROW(A47)-1),"")</x:f>
      </x:c>
      <x:c r="O52" s="134" t="str">
        <x:f>IF(ROW(A47)&lt;=COUNTIF($A$6:$A$2148,'Calculator'!$B$9),INDEX($D$6:$D$2148,SUMIF($T$6:$T$104,'Calculator'!$B$9,$AA$6:$AA$104)+ROW(A47)-1),"")</x:f>
      </x:c>
      <x:c r="P52" s="135" t="str">
        <x:f>IF(ROW(A47)&lt;=COUNTIF($A$6:$A$2148,'Calculator'!$B$9),INDEX($F$6:$F$2148,SUMIF($T$6:$T$104,'Calculator'!$B$9,$AA$6:$AA$104)+ROW(A47)-1),"")</x:f>
      </x:c>
      <x:c r="Q52" s="135" t="str">
        <x:f>IF(ROW(A47)&lt;=COUNTIF($A$6:$A$2148,'Calculator'!$B$9),INDEX($G$6:$G$2148,SUMIF($T$6:$T$104,'Calculator'!$B$9,$AA$6:$AA$104)+ROW(A47)-1),"")</x:f>
      </x:c>
      <x:c r="R52" s="135" t="str">
        <x:f>IF(ROW(A47)&lt;=COUNTIF($A$6:$A$2148,'Calculator'!$B$9),INDEX($H$6:$H$2148,SUMIF($T$6:$T$104,'Calculator'!$B$9,$AA$6:$AA$104)+ROW(A47)-1),"")</x:f>
      </x:c>
      <x:c r="S52" s="35"/>
      <x:c r="T52" s="136" t="str">
        <x:v>DrillCamp | Picket Patrol | Picket Patrol 05</x:v>
      </x:c>
      <x:c r="U52" s="136" t="str">
        <x:v>map-47</x:v>
      </x:c>
      <x:c r="V52" s="136" t="str">
        <x:v>DrillCamp</x:v>
      </x:c>
      <x:c r="W52" s="136" t="str">
        <x:v>Picket Patrol</x:v>
      </x:c>
      <x:c r="X52" s="136" t="str">
        <x:v>Picket Patrol 05</x:v>
      </x:c>
      <x:c r="Y52" s="136" t="str">
        <x:v>Picket_Patrol_5</x:v>
      </x:c>
      <x:c r="Z52" s="136" t="n">
        <x:v>7</x:v>
      </x:c>
      <x:c r="AA52" s="136" t="n">
        <x:v>928</x:v>
      </x:c>
    </x:row>
    <x:row r="53">
      <x:c r="A53" s="136" t="str">
        <x:v>Antietam | Conquest | Framing Fencelines</x:v>
      </x:c>
      <x:c r="B53" s="136" t="str">
        <x:v>Gun | 12-pounder Napoleon (USA) · Entity-1657 [map-3/019]</x:v>
      </x:c>
      <x:c r="C53" s="136" t="str">
        <x:v>gun_spawn</x:v>
      </x:c>
      <x:c r="D53" s="136" t="str"/>
      <x:c r="E53" s="136" t="str">
        <x:v>12-pounder Napoleon (USA) · Entity-1657</x:v>
      </x:c>
      <x:c r="F53" s="137" t="n">
        <x:v>411.6814880371094</x:v>
      </x:c>
      <x:c r="G53" s="137" t="n">
        <x:v>1650.6966552734375</x:v>
      </x:c>
      <x:c r="H53" s="137" t="n">
        <x:v>61.81019973754883</x:v>
      </x:c>
      <x:c r="I53" s="137" t="n">
        <x:v>204.75217227200594</x:v>
      </x:c>
      <x:c r="J53" s="137" t="n">
        <x:v>1618.2161231134926</x:v>
      </x:c>
      <x:c r="K53" s="136" t="str">
        <x:v>map-3</x:v>
      </x:c>
      <x:c r="L53" s="136" t="str">
        <x:v>Antietam | Conquest | Framing Fencelines||Gun | 12-pounder Napoleon (USA) · Entity-1657 [map-3/019]</x:v>
      </x:c>
      <x:c r="M53" s="35"/>
      <x:c r="N53" s="35"/>
      <x:c r="O53" s="35"/>
      <x:c r="P53" s="35"/>
      <x:c r="Q53" s="35"/>
      <x:c r="R53" s="35"/>
      <x:c r="S53" s="35"/>
      <x:c r="T53" s="136" t="str">
        <x:v>DrillCamp | Picket Patrol | Picket Patrol 06</x:v>
      </x:c>
      <x:c r="U53" s="136" t="str">
        <x:v>map-48</x:v>
      </x:c>
      <x:c r="V53" s="136" t="str">
        <x:v>DrillCamp</x:v>
      </x:c>
      <x:c r="W53" s="136" t="str">
        <x:v>Picket Patrol</x:v>
      </x:c>
      <x:c r="X53" s="136" t="str">
        <x:v>Picket Patrol 06</x:v>
      </x:c>
      <x:c r="Y53" s="136" t="str">
        <x:v>Picket_Patrol_6</x:v>
      </x:c>
      <x:c r="Z53" s="136" t="n">
        <x:v>7</x:v>
      </x:c>
      <x:c r="AA53" s="136" t="n">
        <x:v>935</x:v>
      </x:c>
    </x:row>
    <x:row r="54">
      <x:c r="A54" s="136" t="str">
        <x:v>Antietam | Conquest | Framing Fencelines</x:v>
      </x:c>
      <x:c r="B54" s="136" t="str">
        <x:v>Gun | 12-pounder Napoleon (USA) · Entity-1674 [map-3/020]</x:v>
      </x:c>
      <x:c r="C54" s="136" t="str">
        <x:v>gun_spawn</x:v>
      </x:c>
      <x:c r="D54" s="136" t="str"/>
      <x:c r="E54" s="136" t="str">
        <x:v>12-pounder Napoleon (USA) · Entity-1674</x:v>
      </x:c>
      <x:c r="F54" s="137" t="n">
        <x:v>804.4190673828125</x:v>
      </x:c>
      <x:c r="G54" s="137" t="n">
        <x:v>1491.353759765625</x:v>
      </x:c>
      <x:c r="H54" s="137" t="n">
        <x:v>70.47034454345703</x:v>
      </x:c>
      <x:c r="I54" s="137" t="n">
        <x:v>1019.3045940785157</x:v>
      </x:c>
      <x:c r="J54" s="137" t="n">
        <x:v>1135.6819197238335</x:v>
      </x:c>
      <x:c r="K54" s="136" t="str">
        <x:v>map-3</x:v>
      </x:c>
      <x:c r="L54" s="136" t="str">
        <x:v>Antietam | Conquest | Framing Fencelines||Gun | 12-pounder Napoleon (USA) · Entity-1674 [map-3/020]</x:v>
      </x:c>
      <x:c r="M54" s="35"/>
      <x:c r="N54" s="35"/>
      <x:c r="O54" s="35"/>
      <x:c r="P54" s="35"/>
      <x:c r="Q54" s="35"/>
      <x:c r="R54" s="35"/>
      <x:c r="S54" s="35"/>
      <x:c r="T54" s="136" t="str">
        <x:v>DrillCamp | Picket Patrol | Picket Patrol 07</x:v>
      </x:c>
      <x:c r="U54" s="136" t="str">
        <x:v>map-49</x:v>
      </x:c>
      <x:c r="V54" s="136" t="str">
        <x:v>DrillCamp</x:v>
      </x:c>
      <x:c r="W54" s="136" t="str">
        <x:v>Picket Patrol</x:v>
      </x:c>
      <x:c r="X54" s="136" t="str">
        <x:v>Picket Patrol 07</x:v>
      </x:c>
      <x:c r="Y54" s="136" t="str">
        <x:v>Picket_Patrol_7</x:v>
      </x:c>
      <x:c r="Z54" s="136" t="n">
        <x:v>7</x:v>
      </x:c>
      <x:c r="AA54" s="136" t="n">
        <x:v>942</x:v>
      </x:c>
    </x:row>
    <x:row r="55">
      <x:c r="A55" s="136" t="str">
        <x:v>Antietam | Conquest | Farmland</x:v>
      </x:c>
      <x:c r="B55" s="136" t="str">
        <x:v>Spawn | CSA CQ4_Spawnpoint_CSA_Infantry_1 [map-4/001]</x:v>
      </x:c>
      <x:c r="C55" s="136" t="str">
        <x:v>spawn</x:v>
      </x:c>
      <x:c r="D55" s="136" t="str">
        <x:v>CSA</x:v>
      </x:c>
      <x:c r="E55" s="136" t="str">
        <x:v>CQ4_Spawnpoint_CSA_Infantry_1</x:v>
      </x:c>
      <x:c r="F55" s="137" t="n">
        <x:v>908.9124145507812</x:v>
      </x:c>
      <x:c r="G55" s="137" t="n">
        <x:v>2207.281005859375</x:v>
      </x:c>
      <x:c r="H55" s="137" t="n">
        <x:v>62.432979583740234</x:v>
      </x:c>
      <x:c r="I55" s="137" t="n">
        <x:v>1590.8885646977021</x:v>
      </x:c>
      <x:c r="J55" s="137" t="n">
        <x:v>1333.0166134594217</x:v>
      </x:c>
      <x:c r="K55" s="136" t="str">
        <x:v>map-4</x:v>
      </x:c>
      <x:c r="L55" s="136" t="str">
        <x:v>Antietam | Conquest | Farmland||Spawn | CSA CQ4_Spawnpoint_CSA_Infantry_1 [map-4/001]</x:v>
      </x:c>
      <x:c r="M55" s="35"/>
      <x:c r="N55" s="35"/>
      <x:c r="O55" s="35"/>
      <x:c r="P55" s="35"/>
      <x:c r="Q55" s="35"/>
      <x:c r="R55" s="35"/>
      <x:c r="S55" s="35"/>
      <x:c r="T55" s="136" t="str">
        <x:v>DrillCamp | Picket Patrol | Picket Patrol 08</x:v>
      </x:c>
      <x:c r="U55" s="136" t="str">
        <x:v>map-50</x:v>
      </x:c>
      <x:c r="V55" s="136" t="str">
        <x:v>DrillCamp</x:v>
      </x:c>
      <x:c r="W55" s="136" t="str">
        <x:v>Picket Patrol</x:v>
      </x:c>
      <x:c r="X55" s="136" t="str">
        <x:v>Picket Patrol 08</x:v>
      </x:c>
      <x:c r="Y55" s="136" t="str">
        <x:v>Picket_Patrol_8</x:v>
      </x:c>
      <x:c r="Z55" s="136" t="n">
        <x:v>7</x:v>
      </x:c>
      <x:c r="AA55" s="136" t="n">
        <x:v>949</x:v>
      </x:c>
    </x:row>
    <x:row r="56">
      <x:c r="A56" s="136" t="str">
        <x:v>Antietam | Conquest | Farmland</x:v>
      </x:c>
      <x:c r="B56" s="136" t="str">
        <x:v>Objective | Victory_Conquest_4 [map-4/002]</x:v>
      </x:c>
      <x:c r="C56" s="136" t="str">
        <x:v>objective</x:v>
      </x:c>
      <x:c r="D56" s="136" t="str"/>
      <x:c r="E56" s="136" t="str">
        <x:v>Victory_Conquest_4</x:v>
      </x:c>
      <x:c r="F56" s="137" t="n">
        <x:v>974.3483276367188</x:v>
      </x:c>
      <x:c r="G56" s="137" t="n">
        <x:v>2939.113525390625</x:v>
      </x:c>
      <x:c r="H56" s="137" t="n">
        <x:v>62.930110931396484</x:v>
      </x:c>
      <x:c r="I56" s="137" t="n">
        <x:v>833.4873658987073</x:v>
      </x:c>
      <x:c r="J56" s="137" t="n">
        <x:v>643.0379865246258</x:v>
      </x:c>
      <x:c r="K56" s="136" t="str">
        <x:v>map-4</x:v>
      </x:c>
      <x:c r="L56" s="136" t="str">
        <x:v>Antietam | Conquest | Farmland||Objective | Victory_Conquest_4 [map-4/002]</x:v>
      </x:c>
      <x:c r="M56" s="35"/>
      <x:c r="N56" s="35"/>
      <x:c r="O56" s="35"/>
      <x:c r="P56" s="35"/>
      <x:c r="Q56" s="35"/>
      <x:c r="R56" s="35"/>
      <x:c r="S56" s="35"/>
      <x:c r="T56" s="136" t="str">
        <x:v>DrillCamp | Picket Patrol | Picket Patrol 09</x:v>
      </x:c>
      <x:c r="U56" s="136" t="str">
        <x:v>map-51</x:v>
      </x:c>
      <x:c r="V56" s="136" t="str">
        <x:v>DrillCamp</x:v>
      </x:c>
      <x:c r="W56" s="136" t="str">
        <x:v>Picket Patrol</x:v>
      </x:c>
      <x:c r="X56" s="136" t="str">
        <x:v>Picket Patrol 09</x:v>
      </x:c>
      <x:c r="Y56" s="136" t="str">
        <x:v>Picket_Patrol_9</x:v>
      </x:c>
      <x:c r="Z56" s="136" t="n">
        <x:v>7</x:v>
      </x:c>
      <x:c r="AA56" s="136" t="n">
        <x:v>956</x:v>
      </x:c>
    </x:row>
    <x:row r="57">
      <x:c r="A57" s="136" t="str">
        <x:v>Antietam | Conquest | Farmland</x:v>
      </x:c>
      <x:c r="B57" s="136" t="str">
        <x:v>Spawn | USA CQ4_Spawnpoint_USA_Infantry_2 [map-4/003]</x:v>
      </x:c>
      <x:c r="C57" s="136" t="str">
        <x:v>spawn</x:v>
      </x:c>
      <x:c r="D57" s="136" t="str">
        <x:v>USA</x:v>
      </x:c>
      <x:c r="E57" s="136" t="str">
        <x:v>CQ4_Spawnpoint_USA_Infantry_2</x:v>
      </x:c>
      <x:c r="F57" s="137" t="n">
        <x:v>973.4962158203125</x:v>
      </x:c>
      <x:c r="G57" s="137" t="n">
        <x:v>3275.471923828125</x:v>
      </x:c>
      <x:c r="H57" s="137" t="n">
        <x:v>59.59049606323242</x:v>
      </x:c>
      <x:c r="I57" s="137" t="n">
        <x:v>459.26022583400174</x:v>
      </x:c>
      <x:c r="J57" s="137" t="n">
        <x:v>360.2590510907153</x:v>
      </x:c>
      <x:c r="K57" s="136" t="str">
        <x:v>map-4</x:v>
      </x:c>
      <x:c r="L57" s="136" t="str">
        <x:v>Antietam | Conquest | Farmland||Spawn | USA CQ4_Spawnpoint_USA_Infantry_2 [map-4/003]</x:v>
      </x:c>
      <x:c r="M57" s="35"/>
      <x:c r="N57" s="35"/>
      <x:c r="O57" s="35"/>
      <x:c r="P57" s="35"/>
      <x:c r="Q57" s="35"/>
      <x:c r="R57" s="35"/>
      <x:c r="S57" s="35"/>
      <x:c r="T57" s="136" t="str">
        <x:v>DrillCamp | Picket Patrol | Picket Patrol 10</x:v>
      </x:c>
      <x:c r="U57" s="136" t="str">
        <x:v>map-52</x:v>
      </x:c>
      <x:c r="V57" s="136" t="str">
        <x:v>DrillCamp</x:v>
      </x:c>
      <x:c r="W57" s="136" t="str">
        <x:v>Picket Patrol</x:v>
      </x:c>
      <x:c r="X57" s="136" t="str">
        <x:v>Picket Patrol 10</x:v>
      </x:c>
      <x:c r="Y57" s="136" t="str">
        <x:v>Picket_Patrol_10</x:v>
      </x:c>
      <x:c r="Z57" s="136" t="n">
        <x:v>7</x:v>
      </x:c>
      <x:c r="AA57" s="136" t="n">
        <x:v>963</x:v>
      </x:c>
    </x:row>
    <x:row r="58">
      <x:c r="A58" s="136" t="str">
        <x:v>Antietam | Conquest | Farmland</x:v>
      </x:c>
      <x:c r="B58" s="136" t="str">
        <x:v>Spawn | USA CQ4_Spawnpoint_USA_Infantry_0 [map-4/004]</x:v>
      </x:c>
      <x:c r="C58" s="136" t="str">
        <x:v>spawn</x:v>
      </x:c>
      <x:c r="D58" s="136" t="str">
        <x:v>USA</x:v>
      </x:c>
      <x:c r="E58" s="136" t="str">
        <x:v>CQ4_Spawnpoint_USA_Infantry_0</x:v>
      </x:c>
      <x:c r="F58" s="137" t="n">
        <x:v>949.02001953125</x:v>
      </x:c>
      <x:c r="G58" s="137" t="n">
        <x:v>3260.472900390625</x:v>
      </x:c>
      <x:c r="H58" s="137" t="n">
        <x:v>61.920677185058594</x:v>
      </x:c>
      <x:c r="I58" s="137" t="n">
        <x:v>455.24639868025304</x:v>
      </x:c>
      <x:c r="J58" s="137" t="n">
        <x:v>400.0905066149795</x:v>
      </x:c>
      <x:c r="K58" s="136" t="str">
        <x:v>map-4</x:v>
      </x:c>
      <x:c r="L58" s="136" t="str">
        <x:v>Antietam | Conquest | Farmland||Spawn | USA CQ4_Spawnpoint_USA_Infantry_0 [map-4/004]</x:v>
      </x:c>
      <x:c r="M58" s="35"/>
      <x:c r="N58" s="35"/>
      <x:c r="O58" s="35"/>
      <x:c r="P58" s="35"/>
      <x:c r="Q58" s="35"/>
      <x:c r="R58" s="35"/>
      <x:c r="S58" s="35"/>
      <x:c r="T58" s="136" t="str">
        <x:v>DrillCamp | Picket Patrol | Picket Patrol 11</x:v>
      </x:c>
      <x:c r="U58" s="136" t="str">
        <x:v>map-53</x:v>
      </x:c>
      <x:c r="V58" s="136" t="str">
        <x:v>DrillCamp</x:v>
      </x:c>
      <x:c r="W58" s="136" t="str">
        <x:v>Picket Patrol</x:v>
      </x:c>
      <x:c r="X58" s="136" t="str">
        <x:v>Picket Patrol 11</x:v>
      </x:c>
      <x:c r="Y58" s="136" t="str">
        <x:v>Picket_Patrol_11</x:v>
      </x:c>
      <x:c r="Z58" s="136" t="n">
        <x:v>7</x:v>
      </x:c>
      <x:c r="AA58" s="136" t="n">
        <x:v>970</x:v>
      </x:c>
    </x:row>
    <x:row r="59">
      <x:c r="A59" s="136" t="str">
        <x:v>Antietam | Conquest | Farmland</x:v>
      </x:c>
      <x:c r="B59" s="136" t="str">
        <x:v>Spawn | CSA CQ4_Spawnpoint_CSA_Infantry_2 [map-4/005]</x:v>
      </x:c>
      <x:c r="C59" s="136" t="str">
        <x:v>spawn</x:v>
      </x:c>
      <x:c r="D59" s="136" t="str">
        <x:v>CSA</x:v>
      </x:c>
      <x:c r="E59" s="136" t="str">
        <x:v>CQ4_Spawnpoint_CSA_Infantry_2</x:v>
      </x:c>
      <x:c r="F59" s="137" t="n">
        <x:v>890.0144653320312</x:v>
      </x:c>
      <x:c r="G59" s="137" t="n">
        <x:v>2192.799072265625</x:v>
      </x:c>
      <x:c r="H59" s="137" t="n">
        <x:v>61.57356643676758</x:v>
      </x:c>
      <x:c r="I59" s="137" t="n">
        <x:v>1591.0112014617514</x:v>
      </x:c>
      <x:c r="J59" s="137" t="n">
        <x:v>1366.2175556865175</x:v>
      </x:c>
      <x:c r="K59" s="136" t="str">
        <x:v>map-4</x:v>
      </x:c>
      <x:c r="L59" s="136" t="str">
        <x:v>Antietam | Conquest | Farmland||Spawn | CSA CQ4_Spawnpoint_CSA_Infantry_2 [map-4/005]</x:v>
      </x:c>
      <x:c r="M59" s="35"/>
      <x:c r="N59" s="35"/>
      <x:c r="O59" s="35"/>
      <x:c r="P59" s="35"/>
      <x:c r="Q59" s="35"/>
      <x:c r="R59" s="35"/>
      <x:c r="S59" s="35"/>
      <x:c r="T59" s="136" t="str">
        <x:v>DrillCamp | Skirmish | Alexander Farm</x:v>
      </x:c>
      <x:c r="U59" s="136" t="str">
        <x:v>map-54</x:v>
      </x:c>
      <x:c r="V59" s="136" t="str">
        <x:v>DrillCamp</x:v>
      </x:c>
      <x:c r="W59" s="136" t="str">
        <x:v>Skirmish</x:v>
      </x:c>
      <x:c r="X59" s="136" t="str">
        <x:v>Alexander Farm</x:v>
      </x:c>
      <x:c r="Y59" s="136" t="str">
        <x:v>Skirmish_1_Alexander_Farm</x:v>
      </x:c>
      <x:c r="Z59" s="136" t="n">
        <x:v>41</x:v>
      </x:c>
      <x:c r="AA59" s="136" t="n">
        <x:v>977</x:v>
      </x:c>
    </x:row>
    <x:row r="60">
      <x:c r="A60" s="136" t="str">
        <x:v>Antietam | Conquest | Farmland</x:v>
      </x:c>
      <x:c r="B60" s="136" t="str">
        <x:v>Spawn | USA CQ4_Spawnpoint_USA_Infantry_1 [map-4/006]</x:v>
      </x:c>
      <x:c r="C60" s="136" t="str">
        <x:v>spawn</x:v>
      </x:c>
      <x:c r="D60" s="136" t="str">
        <x:v>USA</x:v>
      </x:c>
      <x:c r="E60" s="136" t="str">
        <x:v>CQ4_Spawnpoint_USA_Infantry_1</x:v>
      </x:c>
      <x:c r="F60" s="137" t="n">
        <x:v>918.8907470703125</x:v>
      </x:c>
      <x:c r="G60" s="137" t="n">
        <x:v>3240.181396484375</x:v>
      </x:c>
      <x:c r="H60" s="137" t="n">
        <x:v>65.8600845336914</x:v>
      </x:c>
      <x:c r="I60" s="137" t="n">
        <x:v>452.3357260832215</x:v>
      </x:c>
      <x:c r="J60" s="137" t="n">
        <x:v>450.66370829139476</x:v>
      </x:c>
      <x:c r="K60" s="136" t="str">
        <x:v>map-4</x:v>
      </x:c>
      <x:c r="L60" s="136" t="str">
        <x:v>Antietam | Conquest | Farmland||Spawn | USA CQ4_Spawnpoint_USA_Infantry_1 [map-4/006]</x:v>
      </x:c>
      <x:c r="M60" s="35"/>
      <x:c r="N60" s="35"/>
      <x:c r="O60" s="35"/>
      <x:c r="P60" s="35"/>
      <x:c r="Q60" s="35"/>
      <x:c r="R60" s="35"/>
      <x:c r="S60" s="35"/>
      <x:c r="T60" s="136" t="str">
        <x:v>DrillCamp | Skirmish | Crossroads</x:v>
      </x:c>
      <x:c r="U60" s="136" t="str">
        <x:v>map-55</x:v>
      </x:c>
      <x:c r="V60" s="136" t="str">
        <x:v>DrillCamp</x:v>
      </x:c>
      <x:c r="W60" s="136" t="str">
        <x:v>Skirmish</x:v>
      </x:c>
      <x:c r="X60" s="136" t="str">
        <x:v>Crossroads</x:v>
      </x:c>
      <x:c r="Y60" s="136" t="str">
        <x:v>Skirmish_2_Crossroads</x:v>
      </x:c>
      <x:c r="Z60" s="136" t="n">
        <x:v>41</x:v>
      </x:c>
      <x:c r="AA60" s="136" t="n">
        <x:v>1018</x:v>
      </x:c>
    </x:row>
    <x:row r="61">
      <x:c r="A61" s="136" t="str">
        <x:v>Antietam | Conquest | Farmland</x:v>
      </x:c>
      <x:c r="B61" s="136" t="str">
        <x:v>Spawn | USA CQ4_Spawnpoint_USA_Cavalry_0 [map-4/007]</x:v>
      </x:c>
      <x:c r="C61" s="136" t="str">
        <x:v>spawn</x:v>
      </x:c>
      <x:c r="D61" s="136" t="str">
        <x:v>USA</x:v>
      </x:c>
      <x:c r="E61" s="136" t="str">
        <x:v>CQ4_Spawnpoint_USA_Cavalry_0</x:v>
      </x:c>
      <x:c r="F61" s="137" t="n">
        <x:v>953.1153564453125</x:v>
      </x:c>
      <x:c r="G61" s="137" t="n">
        <x:v>3470.7861328125</x:v>
      </x:c>
      <x:c r="H61" s="137" t="n">
        <x:v>74.40943145751953</x:v>
      </x:c>
      <x:c r="I61" s="137" t="n">
        <x:v>225.16347706882127</x:v>
      </x:c>
      <x:c r="J61" s="137" t="n">
        <x:v>218.1393650545771</x:v>
      </x:c>
      <x:c r="K61" s="136" t="str">
        <x:v>map-4</x:v>
      </x:c>
      <x:c r="L61" s="136" t="str">
        <x:v>Antietam | Conquest | Farmland||Spawn | USA CQ4_Spawnpoint_USA_Cavalry_0 [map-4/007]</x:v>
      </x:c>
      <x:c r="M61" s="35"/>
      <x:c r="N61" s="35"/>
      <x:c r="O61" s="35"/>
      <x:c r="P61" s="35"/>
      <x:c r="Q61" s="35"/>
      <x:c r="R61" s="35"/>
      <x:c r="S61" s="35"/>
      <x:c r="T61" s="136" t="str">
        <x:v>DrillCamp | Skirmish | Smith Field</x:v>
      </x:c>
      <x:c r="U61" s="136" t="str">
        <x:v>map-56</x:v>
      </x:c>
      <x:c r="V61" s="136" t="str">
        <x:v>DrillCamp</x:v>
      </x:c>
      <x:c r="W61" s="136" t="str">
        <x:v>Skirmish</x:v>
      </x:c>
      <x:c r="X61" s="136" t="str">
        <x:v>Smith Field</x:v>
      </x:c>
      <x:c r="Y61" s="136" t="str">
        <x:v>Skirmish_3_Smith_Field</x:v>
      </x:c>
      <x:c r="Z61" s="136" t="n">
        <x:v>40</x:v>
      </x:c>
      <x:c r="AA61" s="136" t="n">
        <x:v>1059</x:v>
      </x:c>
    </x:row>
    <x:row r="62">
      <x:c r="A62" s="136" t="str">
        <x:v>Antietam | Conquest | Farmland</x:v>
      </x:c>
      <x:c r="B62" s="136" t="str">
        <x:v>Artillery | CSA CQ4_Spawnpoint_CSA_Artillery_Staging [map-4/008]</x:v>
      </x:c>
      <x:c r="C62" s="136" t="str">
        <x:v>battery</x:v>
      </x:c>
      <x:c r="D62" s="136" t="str">
        <x:v>CSA</x:v>
      </x:c>
      <x:c r="E62" s="136" t="str">
        <x:v>CQ4_Spawnpoint_CSA_Artillery_Staging</x:v>
      </x:c>
      <x:c r="F62" s="137" t="n">
        <x:v>960.7236328125</x:v>
      </x:c>
      <x:c r="G62" s="137" t="n">
        <x:v>2245.62939453125</x:v>
      </x:c>
      <x:c r="H62" s="137" t="n">
        <x:v>62.341148376464844</x:v>
      </x:c>
      <x:c r="I62" s="137" t="n">
        <x:v>1592.0578156474103</x:v>
      </x:c>
      <x:c r="J62" s="137" t="n">
        <x:v>1243.1354498985338</x:v>
      </x:c>
      <x:c r="K62" s="136" t="str">
        <x:v>map-4</x:v>
      </x:c>
      <x:c r="L62" s="136" t="str">
        <x:v>Antietam | Conquest | Farmland||Artillery | CSA CQ4_Spawnpoint_CSA_Artillery_Staging [map-4/008]</x:v>
      </x:c>
      <x:c r="M62" s="35"/>
      <x:c r="N62" s="35"/>
      <x:c r="O62" s="35"/>
      <x:c r="P62" s="35"/>
      <x:c r="Q62" s="35"/>
      <x:c r="R62" s="35"/>
      <x:c r="S62" s="35"/>
      <x:c r="T62" s="136" t="str">
        <x:v>DrillCamp | Skirmish | Crecy's Cornfield</x:v>
      </x:c>
      <x:c r="U62" s="136" t="str">
        <x:v>map-57</x:v>
      </x:c>
      <x:c r="V62" s="136" t="str">
        <x:v>DrillCamp</x:v>
      </x:c>
      <x:c r="W62" s="136" t="str">
        <x:v>Skirmish</x:v>
      </x:c>
      <x:c r="X62" s="136" t="str">
        <x:v>Crecy's Cornfield</x:v>
      </x:c>
      <x:c r="Y62" s="136" t="str">
        <x:v>Skirmish_4_Crecys_Cornfield</x:v>
      </x:c>
      <x:c r="Z62" s="136" t="n">
        <x:v>39</x:v>
      </x:c>
      <x:c r="AA62" s="136" t="n">
        <x:v>1099</x:v>
      </x:c>
    </x:row>
    <x:row r="63">
      <x:c r="A63" s="136" t="str">
        <x:v>Antietam | Conquest | Farmland</x:v>
      </x:c>
      <x:c r="B63" s="136" t="str">
        <x:v>Artillery | USA CQ4_Spawnpoint_USA_Artillery_Staging [map-4/009]</x:v>
      </x:c>
      <x:c r="C63" s="136" t="str">
        <x:v>battery</x:v>
      </x:c>
      <x:c r="D63" s="136" t="str">
        <x:v>USA</x:v>
      </x:c>
      <x:c r="E63" s="136" t="str">
        <x:v>CQ4_Spawnpoint_USA_Artillery_Staging</x:v>
      </x:c>
      <x:c r="F63" s="137" t="n">
        <x:v>886.6439208984375</x:v>
      </x:c>
      <x:c r="G63" s="137" t="n">
        <x:v>3201.930908203125</x:v>
      </x:c>
      <x:c r="H63" s="137" t="n">
        <x:v>63.32939910888672</x:v>
      </x:c>
      <x:c r="I63" s="137" t="n">
        <x:v>467.57930967504325</x:v>
      </x:c>
      <x:c r="J63" s="137" t="n">
        <x:v>518.7371062934404</x:v>
      </x:c>
      <x:c r="K63" s="136" t="str">
        <x:v>map-4</x:v>
      </x:c>
      <x:c r="L63" s="136" t="str">
        <x:v>Antietam | Conquest | Farmland||Artillery | USA CQ4_Spawnpoint_USA_Artillery_Staging [map-4/009]</x:v>
      </x:c>
      <x:c r="M63" s="35"/>
      <x:c r="N63" s="35"/>
      <x:c r="O63" s="35"/>
      <x:c r="P63" s="35"/>
      <x:c r="Q63" s="35"/>
      <x:c r="R63" s="35"/>
      <x:c r="S63" s="35"/>
      <x:c r="T63" s="136" t="str">
        <x:v>DrillCamp | Skirmish | Larsen Homestead</x:v>
      </x:c>
      <x:c r="U63" s="136" t="str">
        <x:v>map-58</x:v>
      </x:c>
      <x:c r="V63" s="136" t="str">
        <x:v>DrillCamp</x:v>
      </x:c>
      <x:c r="W63" s="136" t="str">
        <x:v>Skirmish</x:v>
      </x:c>
      <x:c r="X63" s="136" t="str">
        <x:v>Larsen Homestead</x:v>
      </x:c>
      <x:c r="Y63" s="136" t="str">
        <x:v>Skirmish_5_Larsen_Homestead</x:v>
      </x:c>
      <x:c r="Z63" s="136" t="n">
        <x:v>18</x:v>
      </x:c>
      <x:c r="AA63" s="136" t="n">
        <x:v>1138</x:v>
      </x:c>
    </x:row>
    <x:row r="64">
      <x:c r="A64" s="136" t="str">
        <x:v>Antietam | Conquest | Farmland</x:v>
      </x:c>
      <x:c r="B64" s="136" t="str">
        <x:v>Artillery | USA CQ4_Spawnpoint_USA_Artillery_Forward [map-4/010]</x:v>
      </x:c>
      <x:c r="C64" s="136" t="str">
        <x:v>battery</x:v>
      </x:c>
      <x:c r="D64" s="136" t="str">
        <x:v>USA</x:v>
      </x:c>
      <x:c r="E64" s="136" t="str">
        <x:v>CQ4_Spawnpoint_USA_Artillery_Forward</x:v>
      </x:c>
      <x:c r="F64" s="137" t="n">
        <x:v>888.164306640625</x:v>
      </x:c>
      <x:c r="G64" s="137" t="n">
        <x:v>2911.380126953125</x:v>
      </x:c>
      <x:c r="H64" s="137" t="n">
        <x:v>63.09593963623047</x:v>
      </x:c>
      <x:c r="I64" s="137" t="n">
        <x:v>791.5039402182646</x:v>
      </x:c>
      <x:c r="J64" s="137" t="n">
        <x:v>762.1343022275721</x:v>
      </x:c>
      <x:c r="K64" s="136" t="str">
        <x:v>map-4</x:v>
      </x:c>
      <x:c r="L64" s="136" t="str">
        <x:v>Antietam | Conquest | Farmland||Artillery | USA CQ4_Spawnpoint_USA_Artillery_Forward [map-4/010]</x:v>
      </x:c>
      <x:c r="M64" s="35"/>
      <x:c r="N64" s="35"/>
      <x:c r="O64" s="35"/>
      <x:c r="P64" s="35"/>
      <x:c r="Q64" s="35"/>
      <x:c r="R64" s="35"/>
      <x:c r="S64" s="35"/>
      <x:c r="T64" s="136" t="str">
        <x:v>DrillCamp | Skirmish | South Woodlot</x:v>
      </x:c>
      <x:c r="U64" s="136" t="str">
        <x:v>map-59</x:v>
      </x:c>
      <x:c r="V64" s="136" t="str">
        <x:v>DrillCamp</x:v>
      </x:c>
      <x:c r="W64" s="136" t="str">
        <x:v>Skirmish</x:v>
      </x:c>
      <x:c r="X64" s="136" t="str">
        <x:v>South Woodlot</x:v>
      </x:c>
      <x:c r="Y64" s="136" t="str">
        <x:v>Skirmish_6_South_Woodlot</x:v>
      </x:c>
      <x:c r="Z64" s="136" t="n">
        <x:v>13</x:v>
      </x:c>
      <x:c r="AA64" s="136" t="n">
        <x:v>1156</x:v>
      </x:c>
    </x:row>
    <x:row r="65">
      <x:c r="A65" s="136" t="str">
        <x:v>Antietam | Conquest | Farmland</x:v>
      </x:c>
      <x:c r="B65" s="136" t="str">
        <x:v>Spawn | CSA CQ4_Spawnpoint_CSA_Infantry_0 [map-4/011]</x:v>
      </x:c>
      <x:c r="C65" s="136" t="str">
        <x:v>spawn</x:v>
      </x:c>
      <x:c r="D65" s="136" t="str">
        <x:v>CSA</x:v>
      </x:c>
      <x:c r="E65" s="136" t="str">
        <x:v>CQ4_Spawnpoint_CSA_Infantry_0</x:v>
      </x:c>
      <x:c r="F65" s="137" t="n">
        <x:v>932.7348022460938</x:v>
      </x:c>
      <x:c r="G65" s="137" t="n">
        <x:v>2226.34375</x:v>
      </x:c>
      <x:c r="H65" s="137" t="n">
        <x:v>63.445777893066406</x:v>
      </x:c>
      <x:c r="I65" s="137" t="n">
        <x:v>1589.8377309256414</x:v>
      </x:c>
      <x:c r="J65" s="137" t="n">
        <x:v>1290.4833453573115</x:v>
      </x:c>
      <x:c r="K65" s="136" t="str">
        <x:v>map-4</x:v>
      </x:c>
      <x:c r="L65" s="136" t="str">
        <x:v>Antietam | Conquest | Farmland||Spawn | CSA CQ4_Spawnpoint_CSA_Infantry_0 [map-4/011]</x:v>
      </x:c>
      <x:c r="M65" s="35"/>
      <x:c r="N65" s="35"/>
      <x:c r="O65" s="35"/>
      <x:c r="P65" s="35"/>
      <x:c r="Q65" s="35"/>
      <x:c r="R65" s="35"/>
      <x:c r="S65" s="35"/>
      <x:c r="T65" s="136" t="str">
        <x:v>DrillCamp | Skirmish | Flemming's Meadow</x:v>
      </x:c>
      <x:c r="U65" s="136" t="str">
        <x:v>map-60</x:v>
      </x:c>
      <x:c r="V65" s="136" t="str">
        <x:v>DrillCamp</x:v>
      </x:c>
      <x:c r="W65" s="136" t="str">
        <x:v>Skirmish</x:v>
      </x:c>
      <x:c r="X65" s="136" t="str">
        <x:v>Flemming's Meadow</x:v>
      </x:c>
      <x:c r="Y65" s="136" t="str">
        <x:v>Skirmish_7_Flemmings_Meadow</x:v>
      </x:c>
      <x:c r="Z65" s="136" t="n">
        <x:v>40</x:v>
      </x:c>
      <x:c r="AA65" s="136" t="n">
        <x:v>1169</x:v>
      </x:c>
    </x:row>
    <x:row r="66">
      <x:c r="A66" s="136" t="str">
        <x:v>Antietam | Conquest | Farmland</x:v>
      </x:c>
      <x:c r="B66" s="136" t="str">
        <x:v>Spawn | CSA CQ4_Spawnpoint_CSA_Cavalry_0 [map-4/012]</x:v>
      </x:c>
      <x:c r="C66" s="136" t="str">
        <x:v>spawn</x:v>
      </x:c>
      <x:c r="D66" s="136" t="str">
        <x:v>CSA</x:v>
      </x:c>
      <x:c r="E66" s="136" t="str">
        <x:v>CQ4_Spawnpoint_CSA_Cavalry_0</x:v>
      </x:c>
      <x:c r="F66" s="137" t="n">
        <x:v>849.2467651367188</x:v>
      </x:c>
      <x:c r="G66" s="137" t="n">
        <x:v>2092.596435546875</x:v>
      </x:c>
      <x:c r="H66" s="137" t="n">
        <x:v>59.0358772277832</x:v>
      </x:c>
      <x:c r="I66" s="137" t="n">
        <x:v>1667.8536238697088</x:v>
      </x:c>
      <x:c r="J66" s="137" t="n">
        <x:v>1496.0108158787505</x:v>
      </x:c>
      <x:c r="K66" s="136" t="str">
        <x:v>map-4</x:v>
      </x:c>
      <x:c r="L66" s="136" t="str">
        <x:v>Antietam | Conquest | Farmland||Spawn | CSA CQ4_Spawnpoint_CSA_Cavalry_0 [map-4/012]</x:v>
      </x:c>
      <x:c r="M66" s="35"/>
      <x:c r="N66" s="35"/>
      <x:c r="O66" s="35"/>
      <x:c r="P66" s="35"/>
      <x:c r="Q66" s="35"/>
      <x:c r="R66" s="35"/>
      <x:c r="S66" s="35"/>
      <x:c r="T66" s="136" t="str">
        <x:v>DrillCamp | Skirmish | Wagon Road</x:v>
      </x:c>
      <x:c r="U66" s="136" t="str">
        <x:v>map-61</x:v>
      </x:c>
      <x:c r="V66" s="136" t="str">
        <x:v>DrillCamp</x:v>
      </x:c>
      <x:c r="W66" s="136" t="str">
        <x:v>Skirmish</x:v>
      </x:c>
      <x:c r="X66" s="136" t="str">
        <x:v>Wagon Road</x:v>
      </x:c>
      <x:c r="Y66" s="136" t="str">
        <x:v>Skirmish_8_Wagon_Road</x:v>
      </x:c>
      <x:c r="Z66" s="136" t="n">
        <x:v>41</x:v>
      </x:c>
      <x:c r="AA66" s="136" t="n">
        <x:v>1209</x:v>
      </x:c>
    </x:row>
    <x:row r="67">
      <x:c r="A67" s="136" t="str">
        <x:v>Antietam | Conquest | Farmland</x:v>
      </x:c>
      <x:c r="B67" s="136" t="str">
        <x:v>Artillery | CSA CQ4_Spawnpoint_CSA_Artillery_Forward [map-4/013]</x:v>
      </x:c>
      <x:c r="C67" s="136" t="str">
        <x:v>battery</x:v>
      </x:c>
      <x:c r="D67" s="136" t="str">
        <x:v>CSA</x:v>
      </x:c>
      <x:c r="E67" s="136" t="str">
        <x:v>CQ4_Spawnpoint_CSA_Artillery_Forward</x:v>
      </x:c>
      <x:c r="F67" s="137" t="n">
        <x:v>969.7886352539062</x:v>
      </x:c>
      <x:c r="G67" s="137" t="n">
        <x:v>2542.966796875</x:v>
      </x:c>
      <x:c r="H67" s="137" t="n">
        <x:v>65.88140869140625</x:v>
      </x:c>
      <x:c r="I67" s="137" t="n">
        <x:v>1269.5360601939199</x:v>
      </x:c>
      <x:c r="J67" s="137" t="n">
        <x:v>982.2591077460372</x:v>
      </x:c>
      <x:c r="K67" s="136" t="str">
        <x:v>map-4</x:v>
      </x:c>
      <x:c r="L67" s="136" t="str">
        <x:v>Antietam | Conquest | Farmland||Artillery | CSA CQ4_Spawnpoint_CSA_Artillery_Forward [map-4/013]</x:v>
      </x:c>
      <x:c r="M67" s="35"/>
      <x:c r="N67" s="35"/>
      <x:c r="O67" s="35"/>
      <x:c r="P67" s="35"/>
      <x:c r="Q67" s="35"/>
      <x:c r="R67" s="35"/>
      <x:c r="S67" s="35"/>
      <x:c r="T67" s="136" t="str">
        <x:v>DrillCamp | Skirmish | Crossley Creek</x:v>
      </x:c>
      <x:c r="U67" s="136" t="str">
        <x:v>map-62</x:v>
      </x:c>
      <x:c r="V67" s="136" t="str">
        <x:v>DrillCamp</x:v>
      </x:c>
      <x:c r="W67" s="136" t="str">
        <x:v>Skirmish</x:v>
      </x:c>
      <x:c r="X67" s="136" t="str">
        <x:v>Crossley Creek</x:v>
      </x:c>
      <x:c r="Y67" s="136" t="str">
        <x:v>Skirmish_9_Crossley_Creek</x:v>
      </x:c>
      <x:c r="Z67" s="136" t="n">
        <x:v>36</x:v>
      </x:c>
      <x:c r="AA67" s="136" t="n">
        <x:v>1250</x:v>
      </x:c>
    </x:row>
    <x:row r="68">
      <x:c r="A68" s="136" t="str">
        <x:v>Antietam | Conquest | Farmland</x:v>
      </x:c>
      <x:c r="B68" s="136" t="str">
        <x:v>Gun | 3-inch Ordnance · Entity-1679 [map-4/014]</x:v>
      </x:c>
      <x:c r="C68" s="136" t="str">
        <x:v>gun_spawn</x:v>
      </x:c>
      <x:c r="D68" s="136" t="str"/>
      <x:c r="E68" s="136" t="str">
        <x:v>3-inch Ordnance · Entity-1679</x:v>
      </x:c>
      <x:c r="F68" s="137" t="n">
        <x:v>905.978515625</x:v>
      </x:c>
      <x:c r="G68" s="137" t="n">
        <x:v>2872.2939453125</x:v>
      </x:c>
      <x:c r="H68" s="137" t="n">
        <x:v>67.17882537841797</x:v>
      </x:c>
      <x:c r="I68" s="137" t="n">
        <x:v>849.9505715555986</x:v>
      </x:c>
      <x:c r="J68" s="137" t="n">
        <x:v>775.3225901953265</x:v>
      </x:c>
      <x:c r="K68" s="136" t="str">
        <x:v>map-4</x:v>
      </x:c>
      <x:c r="L68" s="136" t="str">
        <x:v>Antietam | Conquest | Farmland||Gun | 3-inch Ordnance · Entity-1679 [map-4/014]</x:v>
      </x:c>
      <x:c r="M68" s="35"/>
      <x:c r="N68" s="35"/>
      <x:c r="O68" s="35"/>
      <x:c r="P68" s="35"/>
      <x:c r="Q68" s="35"/>
      <x:c r="R68" s="35"/>
      <x:c r="S68" s="35"/>
      <x:c r="T68" s="136" t="str">
        <x:v>DrillCamp | Skirmish | Union Camp</x:v>
      </x:c>
      <x:c r="U68" s="136" t="str">
        <x:v>map-63</x:v>
      </x:c>
      <x:c r="V68" s="136" t="str">
        <x:v>DrillCamp</x:v>
      </x:c>
      <x:c r="W68" s="136" t="str">
        <x:v>Skirmish</x:v>
      </x:c>
      <x:c r="X68" s="136" t="str">
        <x:v>Union Camp</x:v>
      </x:c>
      <x:c r="Y68" s="136" t="str">
        <x:v>Skirmish_10_Union_Camp</x:v>
      </x:c>
      <x:c r="Z68" s="136" t="n">
        <x:v>37</x:v>
      </x:c>
      <x:c r="AA68" s="136" t="n">
        <x:v>1286</x:v>
      </x:c>
    </x:row>
    <x:row r="69">
      <x:c r="A69" s="136" t="str">
        <x:v>Antietam | Conquest | Farmland</x:v>
      </x:c>
      <x:c r="B69" s="136" t="str">
        <x:v>Gun | 3-inch Ordnance · Entity-1678 [map-4/015]</x:v>
      </x:c>
      <x:c r="C69" s="136" t="str">
        <x:v>gun_spawn</x:v>
      </x:c>
      <x:c r="D69" s="136" t="str"/>
      <x:c r="E69" s="136" t="str">
        <x:v>3-inch Ordnance · Entity-1678</x:v>
      </x:c>
      <x:c r="F69" s="137" t="n">
        <x:v>913.326171875</x:v>
      </x:c>
      <x:c r="G69" s="137" t="n">
        <x:v>2872.85693359375</x:v>
      </x:c>
      <x:c r="H69" s="137" t="n">
        <x:v>67.01583862304688</x:v>
      </x:c>
      <x:c r="I69" s="137" t="n">
        <x:v>855.5302812309556</x:v>
      </x:c>
      <x:c r="J69" s="137" t="n">
        <x:v>766.6885287644423</x:v>
      </x:c>
      <x:c r="K69" s="136" t="str">
        <x:v>map-4</x:v>
      </x:c>
      <x:c r="L69" s="136" t="str">
        <x:v>Antietam | Conquest | Farmland||Gun | 3-inch Ordnance · Entity-1678 [map-4/015]</x:v>
      </x:c>
      <x:c r="M69" s="35"/>
      <x:c r="N69" s="35"/>
      <x:c r="O69" s="35"/>
      <x:c r="P69" s="35"/>
      <x:c r="Q69" s="35"/>
      <x:c r="R69" s="35"/>
      <x:c r="S69" s="35"/>
      <x:c r="T69" s="136" t="str">
        <x:v>DrillCamp | Skirmish | Pat's Turnpike</x:v>
      </x:c>
      <x:c r="U69" s="136" t="str">
        <x:v>map-64</x:v>
      </x:c>
      <x:c r="V69" s="136" t="str">
        <x:v>DrillCamp</x:v>
      </x:c>
      <x:c r="W69" s="136" t="str">
        <x:v>Skirmish</x:v>
      </x:c>
      <x:c r="X69" s="136" t="str">
        <x:v>Pat's Turnpike</x:v>
      </x:c>
      <x:c r="Y69" s="136" t="str">
        <x:v>Skirmish_11_Pats_Turnpike</x:v>
      </x:c>
      <x:c r="Z69" s="136" t="n">
        <x:v>41</x:v>
      </x:c>
      <x:c r="AA69" s="136" t="n">
        <x:v>1323</x:v>
      </x:c>
    </x:row>
    <x:row r="70">
      <x:c r="A70" s="136" t="str">
        <x:v>Antietam | Conquest | Farmland</x:v>
      </x:c>
      <x:c r="B70" s="136" t="str">
        <x:v>Gun | 12-pounder Napoleon (CSA) · Entity-1682 [map-4/016]</x:v>
      </x:c>
      <x:c r="C70" s="136" t="str">
        <x:v>gun_spawn</x:v>
      </x:c>
      <x:c r="D70" s="136" t="str"/>
      <x:c r="E70" s="136" t="str">
        <x:v>12-pounder Napoleon (CSA) · Entity-1682</x:v>
      </x:c>
      <x:c r="F70" s="137" t="n">
        <x:v>883.3255004882812</x:v>
      </x:c>
      <x:c r="G70" s="137" t="n">
        <x:v>2868.79296875</x:v>
      </x:c>
      <x:c r="H70" s="137" t="n">
        <x:v>66.45244598388672</x:v>
      </x:c>
      <x:c r="I70" s="137" t="n">
        <x:v>834.708416140394</x:v>
      </x:c>
      <x:c r="J70" s="137" t="n">
        <x:v>803.430666333641</x:v>
      </x:c>
      <x:c r="K70" s="136" t="str">
        <x:v>map-4</x:v>
      </x:c>
      <x:c r="L70" s="136" t="str">
        <x:v>Antietam | Conquest | Farmland||Gun | 12-pounder Napoleon (CSA) · Entity-1682 [map-4/016]</x:v>
      </x:c>
      <x:c r="M70" s="35"/>
      <x:c r="N70" s="35"/>
      <x:c r="O70" s="35"/>
      <x:c r="P70" s="35"/>
      <x:c r="Q70" s="35"/>
      <x:c r="R70" s="35"/>
      <x:c r="S70" s="35"/>
      <x:c r="T70" s="136" t="str">
        <x:v>DrillCamp | Skirmish | Stefan's Lot</x:v>
      </x:c>
      <x:c r="U70" s="136" t="str">
        <x:v>map-65</x:v>
      </x:c>
      <x:c r="V70" s="136" t="str">
        <x:v>DrillCamp</x:v>
      </x:c>
      <x:c r="W70" s="136" t="str">
        <x:v>Skirmish</x:v>
      </x:c>
      <x:c r="X70" s="136" t="str">
        <x:v>Stefan's Lot</x:v>
      </x:c>
      <x:c r="Y70" s="136" t="str">
        <x:v>Skirmish_12_Stefans_Lot</x:v>
      </x:c>
      <x:c r="Z70" s="136" t="n">
        <x:v>42</x:v>
      </x:c>
      <x:c r="AA70" s="136" t="n">
        <x:v>1364</x:v>
      </x:c>
    </x:row>
    <x:row r="71">
      <x:c r="A71" s="136" t="str">
        <x:v>Antietam | Conquest | Farmland</x:v>
      </x:c>
      <x:c r="B71" s="136" t="str">
        <x:v>Gun | 3-inch Ordnance · Entity-1692 [map-4/017]</x:v>
      </x:c>
      <x:c r="C71" s="136" t="str">
        <x:v>gun_spawn</x:v>
      </x:c>
      <x:c r="D71" s="136" t="str"/>
      <x:c r="E71" s="136" t="str">
        <x:v>3-inch Ordnance · Entity-1692</x:v>
      </x:c>
      <x:c r="F71" s="137" t="n">
        <x:v>958.7603149414062</x:v>
      </x:c>
      <x:c r="G71" s="137" t="n">
        <x:v>2582.50537109375</x:v>
      </x:c>
      <x:c r="H71" s="137" t="n">
        <x:v>66.52570343017578</x:v>
      </x:c>
      <x:c r="I71" s="137" t="n">
        <x:v>1216.3175529747969</x:v>
      </x:c>
      <x:c r="J71" s="137" t="n">
        <x:v>961.1538601657232</x:v>
      </x:c>
      <x:c r="K71" s="136" t="str">
        <x:v>map-4</x:v>
      </x:c>
      <x:c r="L71" s="136" t="str">
        <x:v>Antietam | Conquest | Farmland||Gun | 3-inch Ordnance · Entity-1692 [map-4/017]</x:v>
      </x:c>
      <x:c r="M71" s="35"/>
      <x:c r="N71" s="35"/>
      <x:c r="O71" s="35"/>
      <x:c r="P71" s="35"/>
      <x:c r="Q71" s="35"/>
      <x:c r="R71" s="35"/>
      <x:c r="S71" s="35"/>
      <x:c r="T71" s="136" t="str">
        <x:v>DrillCamp | Skirmish | Confederate Encampment</x:v>
      </x:c>
      <x:c r="U71" s="136" t="str">
        <x:v>map-66</x:v>
      </x:c>
      <x:c r="V71" s="136" t="str">
        <x:v>DrillCamp</x:v>
      </x:c>
      <x:c r="W71" s="136" t="str">
        <x:v>Skirmish</x:v>
      </x:c>
      <x:c r="X71" s="136" t="str">
        <x:v>Confederate Encampment</x:v>
      </x:c>
      <x:c r="Y71" s="136" t="str">
        <x:v>Skirmish_13_Confederate_Encampment</x:v>
      </x:c>
      <x:c r="Z71" s="136" t="n">
        <x:v>38</x:v>
      </x:c>
      <x:c r="AA71" s="136" t="n">
        <x:v>1406</x:v>
      </x:c>
    </x:row>
    <x:row r="72">
      <x:c r="A72" s="136" t="str">
        <x:v>Antietam | Conquest | Farmland</x:v>
      </x:c>
      <x:c r="B72" s="136" t="str">
        <x:v>Gun | 12-pounder Napoleon (CSA) · Entity-1683 [map-4/018]</x:v>
      </x:c>
      <x:c r="C72" s="136" t="str">
        <x:v>gun_spawn</x:v>
      </x:c>
      <x:c r="D72" s="136" t="str"/>
      <x:c r="E72" s="136" t="str">
        <x:v>12-pounder Napoleon (CSA) · Entity-1683</x:v>
      </x:c>
      <x:c r="F72" s="137" t="n">
        <x:v>873.4945068359375</x:v>
      </x:c>
      <x:c r="G72" s="137" t="n">
        <x:v>2867.4365234375</x:v>
      </x:c>
      <x:c r="H72" s="137" t="n">
        <x:v>65.41532897949219</x:v>
      </x:c>
      <x:c r="I72" s="137" t="n">
        <x:v>827.9126923707256</x:v>
      </x:c>
      <x:c r="J72" s="137" t="n">
        <x:v>815.4916349381832</x:v>
      </x:c>
      <x:c r="K72" s="136" t="str">
        <x:v>map-4</x:v>
      </x:c>
      <x:c r="L72" s="136" t="str">
        <x:v>Antietam | Conquest | Farmland||Gun | 12-pounder Napoleon (CSA) · Entity-1683 [map-4/018]</x:v>
      </x:c>
      <x:c r="M72" s="35"/>
      <x:c r="N72" s="35"/>
      <x:c r="O72" s="35"/>
      <x:c r="P72" s="35"/>
      <x:c r="Q72" s="35"/>
      <x:c r="R72" s="35"/>
      <x:c r="S72" s="35"/>
      <x:c r="T72" s="136" t="str">
        <x:v>HarpersFerry | Conquest | River Town</x:v>
      </x:c>
      <x:c r="U72" s="136" t="str">
        <x:v>map-67</x:v>
      </x:c>
      <x:c r="V72" s="136" t="str">
        <x:v>HarpersFerry</x:v>
      </x:c>
      <x:c r="W72" s="136" t="str">
        <x:v>Conquest</x:v>
      </x:c>
      <x:c r="X72" s="136" t="str">
        <x:v>River Town</x:v>
      </x:c>
      <x:c r="Y72" s="136" t="str">
        <x:v>Conquest_1</x:v>
      </x:c>
      <x:c r="Z72" s="136" t="n">
        <x:v>8</x:v>
      </x:c>
      <x:c r="AA72" s="136" t="n">
        <x:v>1444</x:v>
      </x:c>
    </x:row>
    <x:row r="73">
      <x:c r="A73" s="136" t="str">
        <x:v>Antietam | Conquest | Farmland</x:v>
      </x:c>
      <x:c r="B73" s="136" t="str">
        <x:v>Gun | 12-pounder Napoleon (USA) · Entity-1681 [map-4/019]</x:v>
      </x:c>
      <x:c r="C73" s="136" t="str">
        <x:v>gun_spawn</x:v>
      </x:c>
      <x:c r="D73" s="136" t="str"/>
      <x:c r="E73" s="136" t="str">
        <x:v>12-pounder Napoleon (USA) · Entity-1681</x:v>
      </x:c>
      <x:c r="F73" s="137" t="n">
        <x:v>891.6773681640625</x:v>
      </x:c>
      <x:c r="G73" s="137" t="n">
        <x:v>2869.96240234375</x:v>
      </x:c>
      <x:c r="H73" s="137" t="n">
        <x:v>66.9743423461914</x:v>
      </x:c>
      <x:c r="I73" s="137" t="n">
        <x:v>840.4627282494653</x:v>
      </x:c>
      <x:c r="J73" s="137" t="n">
        <x:v>793.1699342101183</x:v>
      </x:c>
      <x:c r="K73" s="136" t="str">
        <x:v>map-4</x:v>
      </x:c>
      <x:c r="L73" s="136" t="str">
        <x:v>Antietam | Conquest | Farmland||Gun | 12-pounder Napoleon (USA) · Entity-1681 [map-4/019]</x:v>
      </x:c>
      <x:c r="M73" s="35"/>
      <x:c r="N73" s="35"/>
      <x:c r="O73" s="35"/>
      <x:c r="P73" s="35"/>
      <x:c r="Q73" s="35"/>
      <x:c r="R73" s="35"/>
      <x:c r="S73" s="35"/>
      <x:c r="T73" s="136" t="str">
        <x:v>HarpersFerry | Conquest | Outskirts</x:v>
      </x:c>
      <x:c r="U73" s="136" t="str">
        <x:v>map-68</x:v>
      </x:c>
      <x:c r="V73" s="136" t="str">
        <x:v>HarpersFerry</x:v>
      </x:c>
      <x:c r="W73" s="136" t="str">
        <x:v>Conquest</x:v>
      </x:c>
      <x:c r="X73" s="136" t="str">
        <x:v>Outskirts</x:v>
      </x:c>
      <x:c r="Y73" s="136" t="str">
        <x:v>Conquest_2</x:v>
      </x:c>
      <x:c r="Z73" s="136" t="n">
        <x:v>39</x:v>
      </x:c>
      <x:c r="AA73" s="136" t="n">
        <x:v>1452</x:v>
      </x:c>
    </x:row>
    <x:row r="74">
      <x:c r="A74" s="136" t="str">
        <x:v>Antietam | Conquest | Farmland</x:v>
      </x:c>
      <x:c r="B74" s="136" t="str">
        <x:v>Gun | 3-inch Ordnance · Entity-1680 [map-4/020]</x:v>
      </x:c>
      <x:c r="C74" s="136" t="str">
        <x:v>gun_spawn</x:v>
      </x:c>
      <x:c r="D74" s="136" t="str"/>
      <x:c r="E74" s="136" t="str">
        <x:v>3-inch Ordnance · Entity-1680</x:v>
      </x:c>
      <x:c r="F74" s="137" t="n">
        <x:v>898.3428955078125</x:v>
      </x:c>
      <x:c r="G74" s="137" t="n">
        <x:v>2871.388671875</x:v>
      </x:c>
      <x:c r="H74" s="137" t="n">
        <x:v>67.16645050048828</x:v>
      </x:c>
      <x:c r="I74" s="137" t="n">
        <x:v>844.5077738508136</x:v>
      </x:c>
      <x:c r="J74" s="137" t="n">
        <x:v>784.5651442097688</x:v>
      </x:c>
      <x:c r="K74" s="136" t="str">
        <x:v>map-4</x:v>
      </x:c>
      <x:c r="L74" s="136" t="str">
        <x:v>Antietam | Conquest | Farmland||Gun | 3-inch Ordnance · Entity-1680 [map-4/020]</x:v>
      </x:c>
      <x:c r="M74" s="35"/>
      <x:c r="N74" s="35"/>
      <x:c r="O74" s="35"/>
      <x:c r="P74" s="35"/>
      <x:c r="Q74" s="35"/>
      <x:c r="R74" s="35"/>
      <x:c r="S74" s="35"/>
      <x:c r="T74" s="136" t="str">
        <x:v>HarpersFerry | Conquest | Overlook</x:v>
      </x:c>
      <x:c r="U74" s="136" t="str">
        <x:v>map-69</x:v>
      </x:c>
      <x:c r="V74" s="136" t="str">
        <x:v>HarpersFerry</x:v>
      </x:c>
      <x:c r="W74" s="136" t="str">
        <x:v>Conquest</x:v>
      </x:c>
      <x:c r="X74" s="136" t="str">
        <x:v>Overlook</x:v>
      </x:c>
      <x:c r="Y74" s="136" t="str">
        <x:v>Conquest_3</x:v>
      </x:c>
      <x:c r="Z74" s="136" t="n">
        <x:v>5</x:v>
      </x:c>
      <x:c r="AA74" s="136" t="n">
        <x:v>1491</x:v>
      </x:c>
    </x:row>
    <x:row r="75">
      <x:c r="A75" s="136" t="str">
        <x:v>Antietam | Conquest | Farmland</x:v>
      </x:c>
      <x:c r="B75" s="136" t="str">
        <x:v>Gun | 3-inch Ordnance · Entity-1691 [map-4/021]</x:v>
      </x:c>
      <x:c r="C75" s="136" t="str">
        <x:v>gun_spawn</x:v>
      </x:c>
      <x:c r="D75" s="136" t="str"/>
      <x:c r="E75" s="136" t="str">
        <x:v>3-inch Ordnance · Entity-1691</x:v>
      </x:c>
      <x:c r="F75" s="137" t="n">
        <x:v>951.3798828125</x:v>
      </x:c>
      <x:c r="G75" s="137" t="n">
        <x:v>2581.960205078125</x:v>
      </x:c>
      <x:c r="H75" s="137" t="n">
        <x:v>66.26675415039062</x:v>
      </x:c>
      <x:c r="I75" s="137" t="n">
        <x:v>1210.6903743953083</x:v>
      </x:c>
      <x:c r="J75" s="137" t="n">
        <x:v>969.8092839688419</x:v>
      </x:c>
      <x:c r="K75" s="136" t="str">
        <x:v>map-4</x:v>
      </x:c>
      <x:c r="L75" s="136" t="str">
        <x:v>Antietam | Conquest | Farmland||Gun | 3-inch Ordnance · Entity-1691 [map-4/021]</x:v>
      </x:c>
      <x:c r="M75" s="35"/>
      <x:c r="N75" s="35"/>
      <x:c r="O75" s="35"/>
      <x:c r="P75" s="35"/>
      <x:c r="Q75" s="35"/>
      <x:c r="R75" s="35"/>
      <x:c r="S75" s="35"/>
      <x:c r="T75" s="136" t="str">
        <x:v>HarpersFerry | Conquest | Valley</x:v>
      </x:c>
      <x:c r="U75" s="136" t="str">
        <x:v>map-70</x:v>
      </x:c>
      <x:c r="V75" s="136" t="str">
        <x:v>HarpersFerry</x:v>
      </x:c>
      <x:c r="W75" s="136" t="str">
        <x:v>Conquest</x:v>
      </x:c>
      <x:c r="X75" s="136" t="str">
        <x:v>Valley</x:v>
      </x:c>
      <x:c r="Y75" s="136" t="str">
        <x:v>Conquest_4</x:v>
      </x:c>
      <x:c r="Z75" s="136" t="n">
        <x:v>25</x:v>
      </x:c>
      <x:c r="AA75" s="136" t="n">
        <x:v>1496</x:v>
      </x:c>
    </x:row>
    <x:row r="76">
      <x:c r="A76" s="136" t="str">
        <x:v>Antietam | Conquest | Farmland</x:v>
      </x:c>
      <x:c r="B76" s="136" t="str">
        <x:v>Gun | 12-pounder Napoleon (USA) · Entity-1694 [map-4/022]</x:v>
      </x:c>
      <x:c r="C76" s="136" t="str">
        <x:v>gun_spawn</x:v>
      </x:c>
      <x:c r="D76" s="136" t="str"/>
      <x:c r="E76" s="136" t="str">
        <x:v>12-pounder Napoleon (USA) · Entity-1694</x:v>
      </x:c>
      <x:c r="F76" s="137" t="n">
        <x:v>976.37451171875</x:v>
      </x:c>
      <x:c r="G76" s="137" t="n">
        <x:v>2584.00048828125</x:v>
      </x:c>
      <x:c r="H76" s="137" t="n">
        <x:v>66.60234069824219</x:v>
      </x:c>
      <x:c r="I76" s="137" t="n">
        <x:v>1229.5319729102625</x:v>
      </x:c>
      <x:c r="J76" s="137" t="n">
        <x:v>940.3330987388912</x:v>
      </x:c>
      <x:c r="K76" s="136" t="str">
        <x:v>map-4</x:v>
      </x:c>
      <x:c r="L76" s="136" t="str">
        <x:v>Antietam | Conquest | Farmland||Gun | 12-pounder Napoleon (USA) · Entity-1694 [map-4/022]</x:v>
      </x:c>
      <x:c r="M76" s="35"/>
      <x:c r="N76" s="35"/>
      <x:c r="O76" s="35"/>
      <x:c r="P76" s="35"/>
      <x:c r="Q76" s="35"/>
      <x:c r="R76" s="35"/>
      <x:c r="S76" s="35"/>
      <x:c r="T76" s="136" t="str">
        <x:v>HarpersFerry | Contention | River Town</x:v>
      </x:c>
      <x:c r="U76" s="136" t="str">
        <x:v>map-71</x:v>
      </x:c>
      <x:c r="V76" s="136" t="str">
        <x:v>HarpersFerry</x:v>
      </x:c>
      <x:c r="W76" s="136" t="str">
        <x:v>Contention</x:v>
      </x:c>
      <x:c r="X76" s="136" t="str">
        <x:v>River Town</x:v>
      </x:c>
      <x:c r="Y76" s="136" t="str">
        <x:v>Conquest_1</x:v>
      </x:c>
      <x:c r="Z76" s="136" t="n">
        <x:v>8</x:v>
      </x:c>
      <x:c r="AA76" s="136" t="n">
        <x:v>1521</x:v>
      </x:c>
    </x:row>
    <x:row r="77">
      <x:c r="A77" s="136" t="str">
        <x:v>Antietam | Conquest | Farmland</x:v>
      </x:c>
      <x:c r="B77" s="136" t="str">
        <x:v>Gun | 3-inch Ordnance · Entity-1690 [map-4/023]</x:v>
      </x:c>
      <x:c r="C77" s="136" t="str">
        <x:v>gun_spawn</x:v>
      </x:c>
      <x:c r="D77" s="136" t="str"/>
      <x:c r="E77" s="136" t="str">
        <x:v>3-inch Ordnance · Entity-1690</x:v>
      </x:c>
      <x:c r="F77" s="137" t="n">
        <x:v>942.5787353515625</x:v>
      </x:c>
      <x:c r="G77" s="137" t="n">
        <x:v>2581.423095703125</x:v>
      </x:c>
      <x:c r="H77" s="137" t="n">
        <x:v>65.81668090820312</x:v>
      </x:c>
      <x:c r="I77" s="137" t="n">
        <x:v>1203.8544974918927</x:v>
      </x:c>
      <x:c r="J77" s="137" t="n">
        <x:v>980.0355383016075</x:v>
      </x:c>
      <x:c r="K77" s="136" t="str">
        <x:v>map-4</x:v>
      </x:c>
      <x:c r="L77" s="136" t="str">
        <x:v>Antietam | Conquest | Farmland||Gun | 3-inch Ordnance · Entity-1690 [map-4/023]</x:v>
      </x:c>
      <x:c r="M77" s="35"/>
      <x:c r="N77" s="35"/>
      <x:c r="O77" s="35"/>
      <x:c r="P77" s="35"/>
      <x:c r="Q77" s="35"/>
      <x:c r="R77" s="35"/>
      <x:c r="S77" s="35"/>
      <x:c r="T77" s="136" t="str">
        <x:v>HarpersFerry | Contention | Outskirts</x:v>
      </x:c>
      <x:c r="U77" s="136" t="str">
        <x:v>map-72</x:v>
      </x:c>
      <x:c r="V77" s="136" t="str">
        <x:v>HarpersFerry</x:v>
      </x:c>
      <x:c r="W77" s="136" t="str">
        <x:v>Contention</x:v>
      </x:c>
      <x:c r="X77" s="136" t="str">
        <x:v>Outskirts</x:v>
      </x:c>
      <x:c r="Y77" s="136" t="str">
        <x:v>Conquest_2</x:v>
      </x:c>
      <x:c r="Z77" s="136" t="n">
        <x:v>39</x:v>
      </x:c>
      <x:c r="AA77" s="136" t="n">
        <x:v>1529</x:v>
      </x:c>
    </x:row>
    <x:row r="78">
      <x:c r="A78" s="136" t="str">
        <x:v>Antietam | Conquest | Farmland</x:v>
      </x:c>
      <x:c r="B78" s="136" t="str">
        <x:v>Gun | 12-pounder Napoleon (USA) · Entity-1693 [map-4/024]</x:v>
      </x:c>
      <x:c r="C78" s="136" t="str">
        <x:v>gun_spawn</x:v>
      </x:c>
      <x:c r="D78" s="136" t="str"/>
      <x:c r="E78" s="136" t="str">
        <x:v>12-pounder Napoleon (USA) · Entity-1693</x:v>
      </x:c>
      <x:c r="F78" s="137" t="n">
        <x:v>966.8984985351562</x:v>
      </x:c>
      <x:c r="G78" s="137" t="n">
        <x:v>2583.198486328125</x:v>
      </x:c>
      <x:c r="H78" s="137" t="n">
        <x:v>66.6316146850586</x:v>
      </x:c>
      <x:c r="I78" s="137" t="n">
        <x:v>1222.42034064724</x:v>
      </x:c>
      <x:c r="J78" s="137" t="n">
        <x:v>951.5321967339038</x:v>
      </x:c>
      <x:c r="K78" s="136" t="str">
        <x:v>map-4</x:v>
      </x:c>
      <x:c r="L78" s="136" t="str">
        <x:v>Antietam | Conquest | Farmland||Gun | 12-pounder Napoleon (USA) · Entity-1693 [map-4/024]</x:v>
      </x:c>
      <x:c r="M78" s="35"/>
      <x:c r="N78" s="35"/>
      <x:c r="O78" s="35"/>
      <x:c r="P78" s="35"/>
      <x:c r="Q78" s="35"/>
      <x:c r="R78" s="35"/>
      <x:c r="S78" s="35"/>
      <x:c r="T78" s="136" t="str">
        <x:v>HarpersFerry | Contention | Overlook</x:v>
      </x:c>
      <x:c r="U78" s="136" t="str">
        <x:v>map-73</x:v>
      </x:c>
      <x:c r="V78" s="136" t="str">
        <x:v>HarpersFerry</x:v>
      </x:c>
      <x:c r="W78" s="136" t="str">
        <x:v>Contention</x:v>
      </x:c>
      <x:c r="X78" s="136" t="str">
        <x:v>Overlook</x:v>
      </x:c>
      <x:c r="Y78" s="136" t="str">
        <x:v>Conquest_3</x:v>
      </x:c>
      <x:c r="Z78" s="136" t="n">
        <x:v>5</x:v>
      </x:c>
      <x:c r="AA78" s="136" t="n">
        <x:v>1568</x:v>
      </x:c>
    </x:row>
    <x:row r="79">
      <x:c r="A79" s="136" t="str">
        <x:v>Antietam | Conquest | Farmland</x:v>
      </x:c>
      <x:c r="B79" s="136" t="str">
        <x:v>Gun | 12-pounder Napoleon (USA) · Entity-1695 [map-4/025]</x:v>
      </x:c>
      <x:c r="C79" s="136" t="str">
        <x:v>gun_spawn</x:v>
      </x:c>
      <x:c r="D79" s="136" t="str"/>
      <x:c r="E79" s="136" t="str">
        <x:v>12-pounder Napoleon (USA) · Entity-1695</x:v>
      </x:c>
      <x:c r="F79" s="137" t="n">
        <x:v>986.0264892578125</x:v>
      </x:c>
      <x:c r="G79" s="137" t="n">
        <x:v>2584.49853515625</x:v>
      </x:c>
      <x:c r="H79" s="137" t="n">
        <x:v>66.34941864013672</x:v>
      </x:c>
      <x:c r="I79" s="137" t="n">
        <x:v>1237.1297272874572</x:v>
      </x:c>
      <x:c r="J79" s="137" t="n">
        <x:v>929.194994274602</x:v>
      </x:c>
      <x:c r="K79" s="136" t="str">
        <x:v>map-4</x:v>
      </x:c>
      <x:c r="L79" s="136" t="str">
        <x:v>Antietam | Conquest | Farmland||Gun | 12-pounder Napoleon (USA) · Entity-1695 [map-4/025]</x:v>
      </x:c>
      <x:c r="M79" s="35"/>
      <x:c r="N79" s="35"/>
      <x:c r="O79" s="35"/>
      <x:c r="P79" s="35"/>
      <x:c r="Q79" s="35"/>
      <x:c r="R79" s="35"/>
      <x:c r="S79" s="35"/>
      <x:c r="T79" s="136" t="str">
        <x:v>HarpersFerry | Contention | Valley</x:v>
      </x:c>
      <x:c r="U79" s="136" t="str">
        <x:v>map-74</x:v>
      </x:c>
      <x:c r="V79" s="136" t="str">
        <x:v>HarpersFerry</x:v>
      </x:c>
      <x:c r="W79" s="136" t="str">
        <x:v>Contention</x:v>
      </x:c>
      <x:c r="X79" s="136" t="str">
        <x:v>Valley</x:v>
      </x:c>
      <x:c r="Y79" s="136" t="str">
        <x:v>Conquest_4</x:v>
      </x:c>
      <x:c r="Z79" s="136" t="n">
        <x:v>25</x:v>
      </x:c>
      <x:c r="AA79" s="136" t="n">
        <x:v>1573</x:v>
      </x:c>
    </x:row>
    <x:row r="80">
      <x:c r="A80" s="136" t="str">
        <x:v>Antietam | Conquest | Limestone Bridge</x:v>
      </x:c>
      <x:c r="B80" s="136" t="str">
        <x:v>Spawn | USA CQ5_Spawnpoint_USA_Infantry_2 [map-5/001]</x:v>
      </x:c>
      <x:c r="C80" s="136" t="str">
        <x:v>spawn</x:v>
      </x:c>
      <x:c r="D80" s="136" t="str">
        <x:v>USA</x:v>
      </x:c>
      <x:c r="E80" s="136" t="str">
        <x:v>CQ5_Spawnpoint_USA_Infantry_2</x:v>
      </x:c>
      <x:c r="F80" s="137" t="n">
        <x:v>1921.5142822265625</x:v>
      </x:c>
      <x:c r="G80" s="137" t="n">
        <x:v>698.109130859375</x:v>
      </x:c>
      <x:c r="H80" s="137" t="n">
        <x:v>49.61469650268555</x:v>
      </x:c>
      <x:c r="I80" s="137" t="n">
        <x:v>1196.84556662627</x:v>
      </x:c>
      <x:c r="J80" s="137" t="n">
        <x:v>250.7658031831928</x:v>
      </x:c>
      <x:c r="K80" s="136" t="str">
        <x:v>map-5</x:v>
      </x:c>
      <x:c r="L80" s="136" t="str">
        <x:v>Antietam | Conquest | Limestone Bridge||Spawn | USA CQ5_Spawnpoint_USA_Infantry_2 [map-5/001]</x:v>
      </x:c>
      <x:c r="M80" s="35"/>
      <x:c r="N80" s="35"/>
      <x:c r="O80" s="35"/>
      <x:c r="P80" s="35"/>
      <x:c r="Q80" s="35"/>
      <x:c r="R80" s="35"/>
      <x:c r="S80" s="35"/>
      <x:c r="T80" s="136" t="str">
        <x:v>HarpersFerry | Onslaught | Harpers Ferry (Onslaught)</x:v>
      </x:c>
      <x:c r="U80" s="136" t="str">
        <x:v>map-75</x:v>
      </x:c>
      <x:c r="V80" s="136" t="str">
        <x:v>HarpersFerry</x:v>
      </x:c>
      <x:c r="W80" s="136" t="str">
        <x:v>Onslaught</x:v>
      </x:c>
      <x:c r="X80" s="136" t="str">
        <x:v>Harpers Ferry (Onslaught)</x:v>
      </x:c>
      <x:c r="Y80" s="136" t="str">
        <x:v>LTMOnslaught</x:v>
      </x:c>
      <x:c r="Z80" s="136" t="n">
        <x:v>11</x:v>
      </x:c>
      <x:c r="AA80" s="136" t="n">
        <x:v>1598</x:v>
      </x:c>
    </x:row>
    <x:row r="81">
      <x:c r="A81" s="136" t="str">
        <x:v>Antietam | Conquest | Limestone Bridge</x:v>
      </x:c>
      <x:c r="B81" s="136" t="str">
        <x:v>Spawn | USA CQ5_Spawnpoint_USA_Infantry_0 [map-5/002]</x:v>
      </x:c>
      <x:c r="C81" s="136" t="str">
        <x:v>spawn</x:v>
      </x:c>
      <x:c r="D81" s="136" t="str">
        <x:v>USA</x:v>
      </x:c>
      <x:c r="E81" s="136" t="str">
        <x:v>CQ5_Spawnpoint_USA_Infantry_0</x:v>
      </x:c>
      <x:c r="F81" s="137" t="n">
        <x:v>1897.5386962890625</x:v>
      </x:c>
      <x:c r="G81" s="137" t="n">
        <x:v>680.9423828125</x:v>
      </x:c>
      <x:c r="H81" s="137" t="n">
        <x:v>49.334835052490234</x:v>
      </x:c>
      <x:c r="I81" s="137" t="n">
        <x:v>1195.6674583439974</x:v>
      </x:c>
      <x:c r="J81" s="137" t="n">
        <x:v>291.9084930270821</x:v>
      </x:c>
      <x:c r="K81" s="136" t="str">
        <x:v>map-5</x:v>
      </x:c>
      <x:c r="L81" s="136" t="str">
        <x:v>Antietam | Conquest | Limestone Bridge||Spawn | USA CQ5_Spawnpoint_USA_Infantry_0 [map-5/002]</x:v>
      </x:c>
      <x:c r="M81" s="35"/>
      <x:c r="N81" s="35"/>
      <x:c r="O81" s="35"/>
      <x:c r="P81" s="35"/>
      <x:c r="Q81" s="35"/>
      <x:c r="R81" s="35"/>
      <x:c r="S81" s="35"/>
      <x:c r="T81" s="136" t="str">
        <x:v>HarpersFerry | Skirmish | Maryland Heights</x:v>
      </x:c>
      <x:c r="U81" s="136" t="str">
        <x:v>map-76</x:v>
      </x:c>
      <x:c r="V81" s="136" t="str">
        <x:v>HarpersFerry</x:v>
      </x:c>
      <x:c r="W81" s="136" t="str">
        <x:v>Skirmish</x:v>
      </x:c>
      <x:c r="X81" s="136" t="str">
        <x:v>Maryland Heights</x:v>
      </x:c>
      <x:c r="Y81" s="136" t="str">
        <x:v>Skirmish_Maryland_Heights</x:v>
      </x:c>
      <x:c r="Z81" s="136" t="n">
        <x:v>13</x:v>
      </x:c>
      <x:c r="AA81" s="136" t="n">
        <x:v>1609</x:v>
      </x:c>
    </x:row>
    <x:row r="82">
      <x:c r="A82" s="136" t="str">
        <x:v>Antietam | Conquest | Limestone Bridge</x:v>
      </x:c>
      <x:c r="B82" s="136" t="str">
        <x:v>Artillery | USA CQ5_Spawnpoint_USA_Artillery_Staging [map-5/003]</x:v>
      </x:c>
      <x:c r="C82" s="136" t="str">
        <x:v>battery</x:v>
      </x:c>
      <x:c r="D82" s="136" t="str">
        <x:v>USA</x:v>
      </x:c>
      <x:c r="E82" s="136" t="str">
        <x:v>CQ5_Spawnpoint_USA_Artillery_Staging</x:v>
      </x:c>
      <x:c r="F82" s="137" t="n">
        <x:v>1896.9622802734375</x:v>
      </x:c>
      <x:c r="G82" s="137" t="n">
        <x:v>706.8405151367188</x:v>
      </x:c>
      <x:c r="H82" s="137" t="n">
        <x:v>49.484012603759766</x:v>
      </x:c>
      <x:c r="I82" s="137" t="n">
        <x:v>1166.4315327970496</x:v>
      </x:c>
      <x:c r="J82" s="137" t="n">
        <x:v>270.6668510782228</x:v>
      </x:c>
      <x:c r="K82" s="136" t="str">
        <x:v>map-5</x:v>
      </x:c>
      <x:c r="L82" s="136" t="str">
        <x:v>Antietam | Conquest | Limestone Bridge||Artillery | USA CQ5_Spawnpoint_USA_Artillery_Staging [map-5/003]</x:v>
      </x:c>
      <x:c r="M82" s="35"/>
      <x:c r="N82" s="35"/>
      <x:c r="O82" s="35"/>
      <x:c r="P82" s="35"/>
      <x:c r="Q82" s="35"/>
      <x:c r="R82" s="35"/>
      <x:c r="S82" s="35"/>
      <x:c r="T82" s="136" t="str">
        <x:v>HarpersFerry | Skirmish | River Crossing</x:v>
      </x:c>
      <x:c r="U82" s="136" t="str">
        <x:v>map-77</x:v>
      </x:c>
      <x:c r="V82" s="136" t="str">
        <x:v>HarpersFerry</x:v>
      </x:c>
      <x:c r="W82" s="136" t="str">
        <x:v>Skirmish</x:v>
      </x:c>
      <x:c r="X82" s="136" t="str">
        <x:v>River Crossing</x:v>
      </x:c>
      <x:c r="Y82" s="136" t="str">
        <x:v>Skirmish_River_Crossing</x:v>
      </x:c>
      <x:c r="Z82" s="136" t="n">
        <x:v>31</x:v>
      </x:c>
      <x:c r="AA82" s="136" t="n">
        <x:v>1622</x:v>
      </x:c>
    </x:row>
    <x:row r="83">
      <x:c r="A83" s="136" t="str">
        <x:v>Antietam | Conquest | Limestone Bridge</x:v>
      </x:c>
      <x:c r="B83" s="136" t="str">
        <x:v>Artillery | CSA CQ5_Spawnpoint_CSA_Artillery_Forward [map-5/004]</x:v>
      </x:c>
      <x:c r="C83" s="136" t="str">
        <x:v>battery</x:v>
      </x:c>
      <x:c r="D83" s="136" t="str">
        <x:v>CSA</x:v>
      </x:c>
      <x:c r="E83" s="136" t="str">
        <x:v>CQ5_Spawnpoint_CSA_Artillery_Forward</x:v>
      </x:c>
      <x:c r="F83" s="137" t="n">
        <x:v>1323.314208984375</x:v>
      </x:c>
      <x:c r="G83" s="137" t="n">
        <x:v>201.22918701171875</x:v>
      </x:c>
      <x:c r="H83" s="137" t="n">
        <x:v>48.948055267333984</x:v>
      </x:c>
      <x:c r="I83" s="137" t="n">
        <x:v>1243.5628929829368</x:v>
      </x:c>
      <x:c r="J83" s="137" t="n">
        <x:v>1335.2225267338413</x:v>
      </x:c>
      <x:c r="K83" s="136" t="str">
        <x:v>map-5</x:v>
      </x:c>
      <x:c r="L83" s="136" t="str">
        <x:v>Antietam | Conquest | Limestone Bridge||Artillery | CSA CQ5_Spawnpoint_CSA_Artillery_Forward [map-5/004]</x:v>
      </x:c>
      <x:c r="M83" s="35"/>
      <x:c r="N83" s="35"/>
      <x:c r="O83" s="35"/>
      <x:c r="P83" s="35"/>
      <x:c r="Q83" s="35"/>
      <x:c r="R83" s="35"/>
      <x:c r="S83" s="35"/>
      <x:c r="T83" s="136" t="str">
        <x:v>HarpersFerry | Skirmish | Downtown</x:v>
      </x:c>
      <x:c r="U83" s="136" t="str">
        <x:v>map-78</x:v>
      </x:c>
      <x:c r="V83" s="136" t="str">
        <x:v>HarpersFerry</x:v>
      </x:c>
      <x:c r="W83" s="136" t="str">
        <x:v>Skirmish</x:v>
      </x:c>
      <x:c r="X83" s="136" t="str">
        <x:v>Downtown</x:v>
      </x:c>
      <x:c r="Y83" s="136" t="str">
        <x:v>Skirmish_Downtown</x:v>
      </x:c>
      <x:c r="Z83" s="136" t="n">
        <x:v>13</x:v>
      </x:c>
      <x:c r="AA83" s="136" t="n">
        <x:v>1653</x:v>
      </x:c>
    </x:row>
    <x:row r="84">
      <x:c r="A84" s="136" t="str">
        <x:v>Antietam | Conquest | Limestone Bridge</x:v>
      </x:c>
      <x:c r="B84" s="136" t="str">
        <x:v>Objective | Victory_Conquest_5 [map-5/005]</x:v>
      </x:c>
      <x:c r="C84" s="136" t="str">
        <x:v>objective</x:v>
      </x:c>
      <x:c r="D84" s="136" t="str"/>
      <x:c r="E84" s="136" t="str">
        <x:v>Victory_Conquest_5</x:v>
      </x:c>
      <x:c r="F84" s="137" t="n">
        <x:v>1206.4290771484375</x:v>
      </x:c>
      <x:c r="G84" s="137" t="n">
        <x:v>399.32586669921875</x:v>
      </x:c>
      <x:c r="H84" s="137" t="n">
        <x:v>35.8155403137207</x:v>
      </x:c>
      <x:c r="I84" s="137" t="n">
        <x:v>925.0078544575937</x:v>
      </x:c>
      <x:c r="J84" s="137" t="n">
        <x:v>1297.7099590232847</x:v>
      </x:c>
      <x:c r="K84" s="136" t="str">
        <x:v>map-5</x:v>
      </x:c>
      <x:c r="L84" s="136" t="str">
        <x:v>Antietam | Conquest | Limestone Bridge||Objective | Victory_Conquest_5 [map-5/005]</x:v>
      </x:c>
      <x:c r="M84" s="35"/>
      <x:c r="N84" s="35"/>
      <x:c r="O84" s="35"/>
      <x:c r="P84" s="35"/>
      <x:c r="Q84" s="35"/>
      <x:c r="R84" s="35"/>
      <x:c r="S84" s="35"/>
      <x:c r="T84" s="136" t="str">
        <x:v>HarpersFerry | Skirmish | School House Ridge</x:v>
      </x:c>
      <x:c r="U84" s="136" t="str">
        <x:v>map-79</x:v>
      </x:c>
      <x:c r="V84" s="136" t="str">
        <x:v>HarpersFerry</x:v>
      </x:c>
      <x:c r="W84" s="136" t="str">
        <x:v>Skirmish</x:v>
      </x:c>
      <x:c r="X84" s="136" t="str">
        <x:v>School House Ridge</x:v>
      </x:c>
      <x:c r="Y84" s="136" t="str">
        <x:v>Skirmish_School_House_Ridge</x:v>
      </x:c>
      <x:c r="Z84" s="136" t="n">
        <x:v>32</x:v>
      </x:c>
      <x:c r="AA84" s="136" t="n">
        <x:v>1666</x:v>
      </x:c>
    </x:row>
    <x:row r="85">
      <x:c r="A85" s="136" t="str">
        <x:v>Antietam | Conquest | Limestone Bridge</x:v>
      </x:c>
      <x:c r="B85" s="136" t="str">
        <x:v>Spawn | CSA CQ5_Spawnpoint_CSA_Infantry_2 [map-5/006]</x:v>
      </x:c>
      <x:c r="C85" s="136" t="str">
        <x:v>spawn</x:v>
      </x:c>
      <x:c r="D85" s="136" t="str">
        <x:v>CSA</x:v>
      </x:c>
      <x:c r="E85" s="136" t="str">
        <x:v>CQ5_Spawnpoint_CSA_Infantry_2</x:v>
      </x:c>
      <x:c r="F85" s="137" t="n">
        <x:v>879.6851806640625</x:v>
      </x:c>
      <x:c r="G85" s="137" t="n">
        <x:v>281.76617431640625</x:v>
      </x:c>
      <x:c r="H85" s="137" t="n">
        <x:v>41.25935363769531</x:v>
      </x:c>
      <x:c r="I85" s="137" t="n">
        <x:v>779.7458821791555</x:v>
      </x:c>
      <x:c r="J85" s="137" t="n">
        <x:v>1760.0674990222938</x:v>
      </x:c>
      <x:c r="K85" s="136" t="str">
        <x:v>map-5</x:v>
      </x:c>
      <x:c r="L85" s="136" t="str">
        <x:v>Antietam | Conquest | Limestone Bridge||Spawn | CSA CQ5_Spawnpoint_CSA_Infantry_2 [map-5/006]</x:v>
      </x:c>
      <x:c r="M85" s="35"/>
      <x:c r="N85" s="35"/>
      <x:c r="O85" s="35"/>
      <x:c r="P85" s="35"/>
      <x:c r="Q85" s="35"/>
      <x:c r="R85" s="35"/>
      <x:c r="S85" s="35"/>
      <x:c r="T85" s="136" t="str">
        <x:v>HarpersFerry | Skirmish | High Street</x:v>
      </x:c>
      <x:c r="U85" s="136" t="str">
        <x:v>map-80</x:v>
      </x:c>
      <x:c r="V85" s="136" t="str">
        <x:v>HarpersFerry</x:v>
      </x:c>
      <x:c r="W85" s="136" t="str">
        <x:v>Skirmish</x:v>
      </x:c>
      <x:c r="X85" s="136" t="str">
        <x:v>High Street</x:v>
      </x:c>
      <x:c r="Y85" s="136" t="str">
        <x:v>Skirmish_High_Street</x:v>
      </x:c>
      <x:c r="Z85" s="136" t="n">
        <x:v>13</x:v>
      </x:c>
      <x:c r="AA85" s="136" t="n">
        <x:v>1698</x:v>
      </x:c>
    </x:row>
    <x:row r="86">
      <x:c r="A86" s="136" t="str">
        <x:v>Antietam | Conquest | Limestone Bridge</x:v>
      </x:c>
      <x:c r="B86" s="136" t="str">
        <x:v>Spawn | CSA CQ5_Spawnpoint_CSA_Infantry_1 [map-5/007]</x:v>
      </x:c>
      <x:c r="C86" s="136" t="str">
        <x:v>spawn</x:v>
      </x:c>
      <x:c r="D86" s="136" t="str">
        <x:v>CSA</x:v>
      </x:c>
      <x:c r="E86" s="136" t="str">
        <x:v>CQ5_Spawnpoint_CSA_Infantry_1</x:v>
      </x:c>
      <x:c r="F86" s="137" t="n">
        <x:v>853.0706787109375</x:v>
      </x:c>
      <x:c r="G86" s="137" t="n">
        <x:v>237.08140563964844</x:v>
      </x:c>
      <x:c r="H86" s="137" t="n">
        <x:v>46.57109069824219</x:v>
      </x:c>
      <x:c r="I86" s="137" t="n">
        <x:v>806.8882634263349</x:v>
      </x:c>
      <x:c r="J86" s="137" t="n">
        <x:v>1827.3929073397987</x:v>
      </x:c>
      <x:c r="K86" s="136" t="str">
        <x:v>map-5</x:v>
      </x:c>
      <x:c r="L86" s="136" t="str">
        <x:v>Antietam | Conquest | Limestone Bridge||Spawn | CSA CQ5_Spawnpoint_CSA_Infantry_1 [map-5/007]</x:v>
      </x:c>
      <x:c r="M86" s="35"/>
      <x:c r="N86" s="35"/>
      <x:c r="O86" s="35"/>
      <x:c r="P86" s="35"/>
      <x:c r="Q86" s="35"/>
      <x:c r="R86" s="35"/>
      <x:c r="S86" s="35"/>
      <x:c r="T86" s="136" t="str">
        <x:v>HarpersFerry | Skirmish | Bolivar Heights Camp</x:v>
      </x:c>
      <x:c r="U86" s="136" t="str">
        <x:v>map-81</x:v>
      </x:c>
      <x:c r="V86" s="136" t="str">
        <x:v>HarpersFerry</x:v>
      </x:c>
      <x:c r="W86" s="136" t="str">
        <x:v>Skirmish</x:v>
      </x:c>
      <x:c r="X86" s="136" t="str">
        <x:v>Bolivar Heights Camp</x:v>
      </x:c>
      <x:c r="Y86" s="136" t="str">
        <x:v>Skirmish_Bolivar_Heights_Camp</x:v>
      </x:c>
      <x:c r="Z86" s="136" t="n">
        <x:v>40</x:v>
      </x:c>
      <x:c r="AA86" s="136" t="n">
        <x:v>1711</x:v>
      </x:c>
    </x:row>
    <x:row r="87">
      <x:c r="A87" s="136" t="str">
        <x:v>Antietam | Conquest | Limestone Bridge</x:v>
      </x:c>
      <x:c r="B87" s="136" t="str">
        <x:v>Spawn | USA CQ5_Spawnpoint_USA_Infantry_1 [map-5/008]</x:v>
      </x:c>
      <x:c r="C87" s="136" t="str">
        <x:v>spawn</x:v>
      </x:c>
      <x:c r="D87" s="136" t="str">
        <x:v>USA</x:v>
      </x:c>
      <x:c r="E87" s="136" t="str">
        <x:v>CQ5_Spawnpoint_USA_Infantry_1</x:v>
      </x:c>
      <x:c r="F87" s="137" t="n">
        <x:v>1887.5799560546875</x:v>
      </x:c>
      <x:c r="G87" s="137" t="n">
        <x:v>702.7752685546875</x:v>
      </x:c>
      <x:c r="H87" s="137" t="n">
        <x:v>49.54864501953125</x:v>
      </x:c>
      <x:c r="I87" s="137" t="n">
        <x:v>1163.0258764633606</x:v>
      </x:c>
      <x:c r="J87" s="137" t="n">
        <x:v>284.5259020380637</x:v>
      </x:c>
      <x:c r="K87" s="136" t="str">
        <x:v>map-5</x:v>
      </x:c>
      <x:c r="L87" s="136" t="str">
        <x:v>Antietam | Conquest | Limestone Bridge||Spawn | USA CQ5_Spawnpoint_USA_Infantry_1 [map-5/008]</x:v>
      </x:c>
      <x:c r="M87" s="35"/>
      <x:c r="N87" s="35"/>
      <x:c r="O87" s="35"/>
      <x:c r="P87" s="35"/>
      <x:c r="Q87" s="35"/>
      <x:c r="R87" s="35"/>
      <x:c r="S87" s="35"/>
      <x:c r="T87" s="136" t="str">
        <x:v>HarpersFerry | Skirmish | Shenandoah Street</x:v>
      </x:c>
      <x:c r="U87" s="136" t="str">
        <x:v>map-82</x:v>
      </x:c>
      <x:c r="V87" s="136" t="str">
        <x:v>HarpersFerry</x:v>
      </x:c>
      <x:c r="W87" s="136" t="str">
        <x:v>Skirmish</x:v>
      </x:c>
      <x:c r="X87" s="136" t="str">
        <x:v>Shenandoah Street</x:v>
      </x:c>
      <x:c r="Y87" s="136" t="str">
        <x:v>Skirmish_Shenandoah_Street</x:v>
      </x:c>
      <x:c r="Z87" s="136" t="n">
        <x:v>13</x:v>
      </x:c>
      <x:c r="AA87" s="136" t="n">
        <x:v>1751</x:v>
      </x:c>
    </x:row>
    <x:row r="88">
      <x:c r="A88" s="136" t="str">
        <x:v>Antietam | Conquest | Limestone Bridge</x:v>
      </x:c>
      <x:c r="B88" s="136" t="str">
        <x:v>Spawn | CSA CQ5_Spawnpoint_CSA_Infantry_0 [map-5/009]</x:v>
      </x:c>
      <x:c r="C88" s="136" t="str">
        <x:v>spawn</x:v>
      </x:c>
      <x:c r="D88" s="136" t="str">
        <x:v>CSA</x:v>
      </x:c>
      <x:c r="E88" s="136" t="str">
        <x:v>CQ5_Spawnpoint_CSA_Infantry_0</x:v>
      </x:c>
      <x:c r="F88" s="137" t="n">
        <x:v>866.2473754882812</x:v>
      </x:c>
      <x:c r="G88" s="137" t="n">
        <x:v>259.0313720703125</x:v>
      </x:c>
      <x:c r="H88" s="137" t="n">
        <x:v>44.29988098144531</x:v>
      </x:c>
      <x:c r="I88" s="137" t="n">
        <x:v>793.6425099383733</x:v>
      </x:c>
      <x:c r="J88" s="137" t="n">
        <x:v>1794.2068201445795</x:v>
      </x:c>
      <x:c r="K88" s="136" t="str">
        <x:v>map-5</x:v>
      </x:c>
      <x:c r="L88" s="136" t="str">
        <x:v>Antietam | Conquest | Limestone Bridge||Spawn | CSA CQ5_Spawnpoint_CSA_Infantry_0 [map-5/009]</x:v>
      </x:c>
      <x:c r="M88" s="35"/>
      <x:c r="N88" s="35"/>
      <x:c r="O88" s="35"/>
      <x:c r="P88" s="35"/>
      <x:c r="Q88" s="35"/>
      <x:c r="R88" s="35"/>
      <x:c r="S88" s="35"/>
      <x:c r="T88" s="136" t="str">
        <x:v>HarpersFerry | Skirmish | Harpers Graveyard</x:v>
      </x:c>
      <x:c r="U88" s="136" t="str">
        <x:v>map-83</x:v>
      </x:c>
      <x:c r="V88" s="136" t="str">
        <x:v>HarpersFerry</x:v>
      </x:c>
      <x:c r="W88" s="136" t="str">
        <x:v>Skirmish</x:v>
      </x:c>
      <x:c r="X88" s="136" t="str">
        <x:v>Harpers Graveyard</x:v>
      </x:c>
      <x:c r="Y88" s="136" t="str">
        <x:v>Skirmish_Harpers_Graveyard</x:v>
      </x:c>
      <x:c r="Z88" s="136" t="n">
        <x:v>18</x:v>
      </x:c>
      <x:c r="AA88" s="136" t="n">
        <x:v>1764</x:v>
      </x:c>
    </x:row>
    <x:row r="89">
      <x:c r="A89" s="136" t="str">
        <x:v>Antietam | Conquest | Limestone Bridge</x:v>
      </x:c>
      <x:c r="B89" s="136" t="str">
        <x:v>Artillery | CSA CQ5_Spawnpoint_CSA_Artillery_Staging [map-5/010]</x:v>
      </x:c>
      <x:c r="C89" s="136" t="str">
        <x:v>battery</x:v>
      </x:c>
      <x:c r="D89" s="136" t="str">
        <x:v>CSA</x:v>
      </x:c>
      <x:c r="E89" s="136" t="str">
        <x:v>CQ5_Spawnpoint_CSA_Artillery_Staging</x:v>
      </x:c>
      <x:c r="F89" s="137" t="n">
        <x:v>840.53955078125</x:v>
      </x:c>
      <x:c r="G89" s="137" t="n">
        <x:v>214.3062286376953</x:v>
      </x:c>
      <x:c r="H89" s="137" t="n">
        <x:v>48.36130905151367</x:v>
      </x:c>
      <x:c r="I89" s="137" t="n">
        <x:v>821.5949267155322</x:v>
      </x:c>
      <x:c r="J89" s="137" t="n">
        <x:v>1860.5589806759</x:v>
      </x:c>
      <x:c r="K89" s="136" t="str">
        <x:v>map-5</x:v>
      </x:c>
      <x:c r="L89" s="136" t="str">
        <x:v>Antietam | Conquest | Limestone Bridge||Artillery | CSA CQ5_Spawnpoint_CSA_Artillery_Staging [map-5/010]</x:v>
      </x:c>
      <x:c r="M89" s="35"/>
      <x:c r="N89" s="35"/>
      <x:c r="O89" s="35"/>
      <x:c r="P89" s="35"/>
      <x:c r="Q89" s="35"/>
      <x:c r="R89" s="35"/>
      <x:c r="S89" s="35"/>
      <x:c r="T89" s="136" t="str">
        <x:v>HarpersFerry | Skirmish | Bolivar Heights Redoubt</x:v>
      </x:c>
      <x:c r="U89" s="136" t="str">
        <x:v>map-84</x:v>
      </x:c>
      <x:c r="V89" s="136" t="str">
        <x:v>HarpersFerry</x:v>
      </x:c>
      <x:c r="W89" s="136" t="str">
        <x:v>Skirmish</x:v>
      </x:c>
      <x:c r="X89" s="136" t="str">
        <x:v>Bolivar Heights Redoubt</x:v>
      </x:c>
      <x:c r="Y89" s="136" t="str">
        <x:v>Skirmish_Bolivar_Heights_Redoubt</x:v>
      </x:c>
      <x:c r="Z89" s="136" t="n">
        <x:v>47</x:v>
      </x:c>
      <x:c r="AA89" s="136" t="n">
        <x:v>1782</x:v>
      </x:c>
    </x:row>
    <x:row r="90">
      <x:c r="A90" s="136" t="str">
        <x:v>Antietam | Conquest | Limestone Bridge</x:v>
      </x:c>
      <x:c r="B90" s="136" t="str">
        <x:v>Artillery | USA CQ5_Spawnpoint_USA_Artillery_Forward [map-5/011]</x:v>
      </x:c>
      <x:c r="C90" s="136" t="str">
        <x:v>battery</x:v>
      </x:c>
      <x:c r="D90" s="136" t="str">
        <x:v>USA</x:v>
      </x:c>
      <x:c r="E90" s="136" t="str">
        <x:v>CQ5_Spawnpoint_USA_Artillery_Forward</x:v>
      </x:c>
      <x:c r="F90" s="137" t="n">
        <x:v>1586.3763427734375</x:v>
      </x:c>
      <x:c r="G90" s="137" t="n">
        <x:v>355.669677734375</x:v>
      </x:c>
      <x:c r="H90" s="137" t="n">
        <x:v>50.43431091308594</x:v>
      </x:c>
      <x:c r="I90" s="137" t="n">
        <x:v>1294.1375905235427</x:v>
      </x:c>
      <x:c r="J90" s="137" t="n">
        <x:v>912.4568213294785</x:v>
      </x:c>
      <x:c r="K90" s="136" t="str">
        <x:v>map-5</x:v>
      </x:c>
      <x:c r="L90" s="136" t="str">
        <x:v>Antietam | Conquest | Limestone Bridge||Artillery | USA CQ5_Spawnpoint_USA_Artillery_Forward [map-5/011]</x:v>
      </x:c>
      <x:c r="M90" s="35"/>
      <x:c r="N90" s="35"/>
      <x:c r="O90" s="35"/>
      <x:c r="P90" s="35"/>
      <x:c r="Q90" s="35"/>
      <x:c r="R90" s="35"/>
      <x:c r="S90" s="35"/>
      <x:c r="T90" s="136" t="str">
        <x:v>HarpersFerry | Skirmish | Washington Street</x:v>
      </x:c>
      <x:c r="U90" s="136" t="str">
        <x:v>map-85</x:v>
      </x:c>
      <x:c r="V90" s="136" t="str">
        <x:v>HarpersFerry</x:v>
      </x:c>
      <x:c r="W90" s="136" t="str">
        <x:v>Skirmish</x:v>
      </x:c>
      <x:c r="X90" s="136" t="str">
        <x:v>Washington Street</x:v>
      </x:c>
      <x:c r="Y90" s="136" t="str">
        <x:v>Skirmish_Washington_Street</x:v>
      </x:c>
      <x:c r="Z90" s="136" t="n">
        <x:v>13</x:v>
      </x:c>
      <x:c r="AA90" s="136" t="n">
        <x:v>1829</x:v>
      </x:c>
    </x:row>
    <x:row r="91">
      <x:c r="A91" s="136" t="str">
        <x:v>Antietam | Conquest | Limestone Bridge</x:v>
      </x:c>
      <x:c r="B91" s="136" t="str">
        <x:v>Gun | 12-pounder Napoleon (CSA) · Entity-1712 [map-5/012]</x:v>
      </x:c>
      <x:c r="C91" s="136" t="str">
        <x:v>gun_spawn</x:v>
      </x:c>
      <x:c r="D91" s="136" t="str"/>
      <x:c r="E91" s="136" t="str">
        <x:v>12-pounder Napoleon (CSA) · Entity-1712</x:v>
      </x:c>
      <x:c r="F91" s="137" t="n">
        <x:v>1545.0242919921875</x:v>
      </x:c>
      <x:c r="G91" s="137" t="n">
        <x:v>366.96636962890625</x:v>
      </x:c>
      <x:c r="H91" s="137" t="n">
        <x:v>52.51788330078125</x:v>
      </x:c>
      <x:c r="I91" s="137" t="n">
        <x:v>1246.6969447678155</x:v>
      </x:c>
      <x:c r="J91" s="137" t="n">
        <x:v>948.8560216269511</x:v>
      </x:c>
      <x:c r="K91" s="136" t="str">
        <x:v>map-5</x:v>
      </x:c>
      <x:c r="L91" s="136" t="str">
        <x:v>Antietam | Conquest | Limestone Bridge||Gun | 12-pounder Napoleon (CSA) · Entity-1712 [map-5/012]</x:v>
      </x:c>
      <x:c r="M91" s="35"/>
      <x:c r="N91" s="35"/>
      <x:c r="O91" s="35"/>
      <x:c r="P91" s="35"/>
      <x:c r="Q91" s="35"/>
      <x:c r="R91" s="35"/>
      <x:c r="S91" s="35"/>
      <x:c r="T91" s="136" t="str">
        <x:v>SouthMountain | Conquest | Log Cabin</x:v>
      </x:c>
      <x:c r="U91" s="136" t="str">
        <x:v>map-86</x:v>
      </x:c>
      <x:c r="V91" s="136" t="str">
        <x:v>SouthMountain</x:v>
      </x:c>
      <x:c r="W91" s="136" t="str">
        <x:v>Conquest</x:v>
      </x:c>
      <x:c r="X91" s="136" t="str">
        <x:v>Log Cabin</x:v>
      </x:c>
      <x:c r="Y91" s="136" t="str">
        <x:v>Conquest_1</x:v>
      </x:c>
      <x:c r="Z91" s="136" t="n">
        <x:v>25</x:v>
      </x:c>
      <x:c r="AA91" s="136" t="n">
        <x:v>1842</x:v>
      </x:c>
    </x:row>
    <x:row r="92">
      <x:c r="A92" s="136" t="str">
        <x:v>Antietam | Conquest | Limestone Bridge</x:v>
      </x:c>
      <x:c r="B92" s="136" t="str">
        <x:v>Gun | 12-pounder Napoleon (USA) · Entity-1723 [map-5/013]</x:v>
      </x:c>
      <x:c r="C92" s="136" t="str">
        <x:v>gun_spawn</x:v>
      </x:c>
      <x:c r="D92" s="136" t="str"/>
      <x:c r="E92" s="136" t="str">
        <x:v>12-pounder Napoleon (USA) · Entity-1723</x:v>
      </x:c>
      <x:c r="F92" s="137" t="n">
        <x:v>1356.7098388671875</x:v>
      </x:c>
      <x:c r="G92" s="137" t="n">
        <x:v>223.849609375</x:v>
      </x:c>
      <x:c r="H92" s="137" t="n">
        <x:v>47.101531982421875</x:v>
      </x:c>
      <x:c r="I92" s="137" t="n">
        <x:v>1246.6372025336177</x:v>
      </x:c>
      <x:c r="J92" s="137" t="n">
        <x:v>1279.0057554915309</x:v>
      </x:c>
      <x:c r="K92" s="136" t="str">
        <x:v>map-5</x:v>
      </x:c>
      <x:c r="L92" s="136" t="str">
        <x:v>Antietam | Conquest | Limestone Bridge||Gun | 12-pounder Napoleon (USA) · Entity-1723 [map-5/013]</x:v>
      </x:c>
      <x:c r="M92" s="35"/>
      <x:c r="N92" s="35"/>
      <x:c r="O92" s="35"/>
      <x:c r="P92" s="35"/>
      <x:c r="Q92" s="35"/>
      <x:c r="R92" s="35"/>
      <x:c r="S92" s="35"/>
      <x:c r="T92" s="136" t="str">
        <x:v>SouthMountain | Conquest | Wheat Fields</x:v>
      </x:c>
      <x:c r="U92" s="136" t="str">
        <x:v>map-87</x:v>
      </x:c>
      <x:c r="V92" s="136" t="str">
        <x:v>SouthMountain</x:v>
      </x:c>
      <x:c r="W92" s="136" t="str">
        <x:v>Conquest</x:v>
      </x:c>
      <x:c r="X92" s="136" t="str">
        <x:v>Wheat Fields</x:v>
      </x:c>
      <x:c r="Y92" s="136" t="str">
        <x:v>Conquest_2</x:v>
      </x:c>
      <x:c r="Z92" s="136" t="n">
        <x:v>25</x:v>
      </x:c>
      <x:c r="AA92" s="136" t="n">
        <x:v>1867</x:v>
      </x:c>
    </x:row>
    <x:row r="93">
      <x:c r="A93" s="136" t="str">
        <x:v>Antietam | Conquest | Limestone Bridge</x:v>
      </x:c>
      <x:c r="B93" s="136" t="str">
        <x:v>Gun | 3-inch Ordnance · Entity-1710 [map-5/014]</x:v>
      </x:c>
      <x:c r="C93" s="136" t="str">
        <x:v>gun_spawn</x:v>
      </x:c>
      <x:c r="D93" s="136" t="str"/>
      <x:c r="E93" s="136" t="str">
        <x:v>3-inch Ordnance · Entity-1710</x:v>
      </x:c>
      <x:c r="F93" s="137" t="n">
        <x:v>1545.2889404296875</x:v>
      </x:c>
      <x:c r="G93" s="137" t="n">
        <x:v>351.7286376953125</x:v>
      </x:c>
      <x:c r="H93" s="137" t="n">
        <x:v>53.23622512817383</x:v>
      </x:c>
      <x:c r="I93" s="137" t="n">
        <x:v>1263.8356651542792</x:v>
      </x:c>
      <x:c r="J93" s="137" t="n">
        <x:v>961.4367771190671</x:v>
      </x:c>
      <x:c r="K93" s="136" t="str">
        <x:v>map-5</x:v>
      </x:c>
      <x:c r="L93" s="136" t="str">
        <x:v>Antietam | Conquest | Limestone Bridge||Gun | 3-inch Ordnance · Entity-1710 [map-5/014]</x:v>
      </x:c>
      <x:c r="M93" s="35"/>
      <x:c r="N93" s="35"/>
      <x:c r="O93" s="35"/>
      <x:c r="P93" s="35"/>
      <x:c r="Q93" s="35"/>
      <x:c r="R93" s="35"/>
      <x:c r="S93" s="35"/>
      <x:c r="T93" s="136" t="str">
        <x:v>SouthMountain | Conquest | Rocky Slopes</x:v>
      </x:c>
      <x:c r="U93" s="136" t="str">
        <x:v>map-88</x:v>
      </x:c>
      <x:c r="V93" s="136" t="str">
        <x:v>SouthMountain</x:v>
      </x:c>
      <x:c r="W93" s="136" t="str">
        <x:v>Conquest</x:v>
      </x:c>
      <x:c r="X93" s="136" t="str">
        <x:v>Rocky Slopes</x:v>
      </x:c>
      <x:c r="Y93" s="136" t="str">
        <x:v>Conquest_3</x:v>
      </x:c>
      <x:c r="Z93" s="136" t="n">
        <x:v>25</x:v>
      </x:c>
      <x:c r="AA93" s="136" t="n">
        <x:v>1892</x:v>
      </x:c>
    </x:row>
    <x:row r="94">
      <x:c r="A94" s="136" t="str">
        <x:v>Antietam | Conquest | Limestone Bridge</x:v>
      </x:c>
      <x:c r="B94" s="136" t="str">
        <x:v>Gun | 3-inch Ordnance · Entity-1722 [map-5/015]</x:v>
      </x:c>
      <x:c r="C94" s="136" t="str">
        <x:v>gun_spawn</x:v>
      </x:c>
      <x:c r="D94" s="136" t="str"/>
      <x:c r="E94" s="136" t="str">
        <x:v>3-inch Ordnance · Entity-1722</x:v>
      </x:c>
      <x:c r="F94" s="137" t="n">
        <x:v>1352.0400390625</x:v>
      </x:c>
      <x:c r="G94" s="137" t="n">
        <x:v>230.5507354736328</x:v>
      </x:c>
      <x:c r="H94" s="137" t="n">
        <x:v>46.5091552734375</x:v>
      </x:c>
      <x:c r="I94" s="137" t="n">
        <x:v>1235.2570932940791</x:v>
      </x:c>
      <x:c r="J94" s="137" t="n">
        <x:v>1278.5321535153978</x:v>
      </x:c>
      <x:c r="K94" s="136" t="str">
        <x:v>map-5</x:v>
      </x:c>
      <x:c r="L94" s="136" t="str">
        <x:v>Antietam | Conquest | Limestone Bridge||Gun | 3-inch Ordnance · Entity-1722 [map-5/015]</x:v>
      </x:c>
      <x:c r="M94" s="35"/>
      <x:c r="N94" s="35"/>
      <x:c r="O94" s="35"/>
      <x:c r="P94" s="35"/>
      <x:c r="Q94" s="35"/>
      <x:c r="R94" s="35"/>
      <x:c r="S94" s="35"/>
      <x:c r="T94" s="136" t="str">
        <x:v>SouthMountain | Conquest | Hilltop</x:v>
      </x:c>
      <x:c r="U94" s="136" t="str">
        <x:v>map-89</x:v>
      </x:c>
      <x:c r="V94" s="136" t="str">
        <x:v>SouthMountain</x:v>
      </x:c>
      <x:c r="W94" s="136" t="str">
        <x:v>Conquest</x:v>
      </x:c>
      <x:c r="X94" s="136" t="str">
        <x:v>Hilltop</x:v>
      </x:c>
      <x:c r="Y94" s="136" t="str">
        <x:v>Conquest_4</x:v>
      </x:c>
      <x:c r="Z94" s="136" t="n">
        <x:v>21</x:v>
      </x:c>
      <x:c r="AA94" s="136" t="n">
        <x:v>1917</x:v>
      </x:c>
    </x:row>
    <x:row r="95">
      <x:c r="A95" s="136" t="str">
        <x:v>Antietam | Conquest | Limestone Bridge</x:v>
      </x:c>
      <x:c r="B95" s="136" t="str">
        <x:v>Gun | 12-pounder Napoleon (USA) · Entity-1724 [map-5/016]</x:v>
      </x:c>
      <x:c r="C95" s="136" t="str">
        <x:v>gun_spawn</x:v>
      </x:c>
      <x:c r="D95" s="136" t="str"/>
      <x:c r="E95" s="136" t="str">
        <x:v>12-pounder Napoleon (USA) · Entity-1724</x:v>
      </x:c>
      <x:c r="F95" s="137" t="n">
        <x:v>1362.142822265625</x:v>
      </x:c>
      <x:c r="G95" s="137" t="n">
        <x:v>216.04437255859375</x:v>
      </x:c>
      <x:c r="H95" s="137" t="n">
        <x:v>47.740745544433594</x:v>
      </x:c>
      <x:c r="I95" s="137" t="n">
        <x:v>1259.8870920902348</x:v>
      </x:c>
      <x:c r="J95" s="137" t="n">
        <x:v>1279.5643186842094</x:v>
      </x:c>
      <x:c r="K95" s="136" t="str">
        <x:v>map-5</x:v>
      </x:c>
      <x:c r="L95" s="136" t="str">
        <x:v>Antietam | Conquest | Limestone Bridge||Gun | 12-pounder Napoleon (USA) · Entity-1724 [map-5/016]</x:v>
      </x:c>
      <x:c r="M95" s="35"/>
      <x:c r="N95" s="35"/>
      <x:c r="O95" s="35"/>
      <x:c r="P95" s="35"/>
      <x:c r="Q95" s="35"/>
      <x:c r="R95" s="35"/>
      <x:c r="S95" s="35"/>
      <x:c r="T95" s="136" t="str">
        <x:v>SouthMountain | Contention | Log Cabin</x:v>
      </x:c>
      <x:c r="U95" s="136" t="str">
        <x:v>map-90</x:v>
      </x:c>
      <x:c r="V95" s="136" t="str">
        <x:v>SouthMountain</x:v>
      </x:c>
      <x:c r="W95" s="136" t="str">
        <x:v>Contention</x:v>
      </x:c>
      <x:c r="X95" s="136" t="str">
        <x:v>Log Cabin</x:v>
      </x:c>
      <x:c r="Y95" s="136" t="str">
        <x:v>Conquest_1</x:v>
      </x:c>
      <x:c r="Z95" s="136" t="n">
        <x:v>25</x:v>
      </x:c>
      <x:c r="AA95" s="136" t="n">
        <x:v>1938</x:v>
      </x:c>
    </x:row>
    <x:row r="96">
      <x:c r="A96" s="136" t="str">
        <x:v>Antietam | Conquest | Limestone Bridge</x:v>
      </x:c>
      <x:c r="B96" s="136" t="str">
        <x:v>Gun | 3-inch Ordnance · Entity-1708 [map-5/017]</x:v>
      </x:c>
      <x:c r="C96" s="136" t="str">
        <x:v>gun_spawn</x:v>
      </x:c>
      <x:c r="D96" s="136" t="str"/>
      <x:c r="E96" s="136" t="str">
        <x:v>3-inch Ordnance · Entity-1708</x:v>
      </x:c>
      <x:c r="F96" s="137" t="n">
        <x:v>1544.44482421875</x:v>
      </x:c>
      <x:c r="G96" s="137" t="n">
        <x:v>336.6971740722656</x:v>
      </x:c>
      <x:c r="H96" s="137" t="n">
        <x:v>53.220619201660156</x:v>
      </x:c>
      <x:c r="I96" s="137" t="n">
        <x:v>1279.809634729899</x:v>
      </x:c>
      <x:c r="J96" s="137" t="n">
        <x:v>975.0751409414534</x:v>
      </x:c>
      <x:c r="K96" s="136" t="str">
        <x:v>map-5</x:v>
      </x:c>
      <x:c r="L96" s="136" t="str">
        <x:v>Antietam | Conquest | Limestone Bridge||Gun | 3-inch Ordnance · Entity-1708 [map-5/017]</x:v>
      </x:c>
      <x:c r="M96" s="35"/>
      <x:c r="N96" s="35"/>
      <x:c r="O96" s="35"/>
      <x:c r="P96" s="35"/>
      <x:c r="Q96" s="35"/>
      <x:c r="R96" s="35"/>
      <x:c r="S96" s="35"/>
      <x:c r="T96" s="136" t="str">
        <x:v>SouthMountain | Contention | Wheat Fields</x:v>
      </x:c>
      <x:c r="U96" s="136" t="str">
        <x:v>map-91</x:v>
      </x:c>
      <x:c r="V96" s="136" t="str">
        <x:v>SouthMountain</x:v>
      </x:c>
      <x:c r="W96" s="136" t="str">
        <x:v>Contention</x:v>
      </x:c>
      <x:c r="X96" s="136" t="str">
        <x:v>Wheat Fields</x:v>
      </x:c>
      <x:c r="Y96" s="136" t="str">
        <x:v>Conquest_2</x:v>
      </x:c>
      <x:c r="Z96" s="136" t="n">
        <x:v>25</x:v>
      </x:c>
      <x:c r="AA96" s="136" t="n">
        <x:v>1963</x:v>
      </x:c>
    </x:row>
    <x:row r="97">
      <x:c r="A97" s="136" t="str">
        <x:v>Antietam | Conquest | Limestone Bridge</x:v>
      </x:c>
      <x:c r="B97" s="136" t="str">
        <x:v>Gun | 12-pounder Napoleon (CSA) · Entity-1713 [map-5/018]</x:v>
      </x:c>
      <x:c r="C97" s="136" t="str">
        <x:v>gun_spawn</x:v>
      </x:c>
      <x:c r="D97" s="136" t="str"/>
      <x:c r="E97" s="136" t="str">
        <x:v>12-pounder Napoleon (CSA) · Entity-1713</x:v>
      </x:c>
      <x:c r="F97" s="137" t="n">
        <x:v>1545.1898193359375</x:v>
      </x:c>
      <x:c r="G97" s="137" t="n">
        <x:v>376.8891906738281</x:v>
      </x:c>
      <x:c r="H97" s="137" t="n">
        <x:v>51.60481643676758</x:v>
      </x:c>
      <x:c r="I97" s="137" t="n">
        <x:v>1235.8213507464714</x:v>
      </x:c>
      <x:c r="J97" s="137" t="n">
        <x:v>940.2880395384183</x:v>
      </x:c>
      <x:c r="K97" s="136" t="str">
        <x:v>map-5</x:v>
      </x:c>
      <x:c r="L97" s="136" t="str">
        <x:v>Antietam | Conquest | Limestone Bridge||Gun | 12-pounder Napoleon (CSA) · Entity-1713 [map-5/018]</x:v>
      </x:c>
      <x:c r="M97" s="35"/>
      <x:c r="N97" s="35"/>
      <x:c r="O97" s="35"/>
      <x:c r="P97" s="35"/>
      <x:c r="Q97" s="35"/>
      <x:c r="R97" s="35"/>
      <x:c r="S97" s="35"/>
      <x:c r="T97" s="136" t="str">
        <x:v>SouthMountain | Contention | Rocky Slopes</x:v>
      </x:c>
      <x:c r="U97" s="136" t="str">
        <x:v>map-92</x:v>
      </x:c>
      <x:c r="V97" s="136" t="str">
        <x:v>SouthMountain</x:v>
      </x:c>
      <x:c r="W97" s="136" t="str">
        <x:v>Contention</x:v>
      </x:c>
      <x:c r="X97" s="136" t="str">
        <x:v>Rocky Slopes</x:v>
      </x:c>
      <x:c r="Y97" s="136" t="str">
        <x:v>Conquest_3</x:v>
      </x:c>
      <x:c r="Z97" s="136" t="n">
        <x:v>25</x:v>
      </x:c>
      <x:c r="AA97" s="136" t="n">
        <x:v>1988</x:v>
      </x:c>
    </x:row>
    <x:row r="98">
      <x:c r="A98" s="136" t="str">
        <x:v>Antietam | Conquest | Limestone Bridge</x:v>
      </x:c>
      <x:c r="B98" s="136" t="str">
        <x:v>Gun | 3-inch Ordnance · Entity-1721 [map-5/019]</x:v>
      </x:c>
      <x:c r="C98" s="136" t="str">
        <x:v>gun_spawn</x:v>
      </x:c>
      <x:c r="D98" s="136" t="str"/>
      <x:c r="E98" s="136" t="str">
        <x:v>3-inch Ordnance · Entity-1721</x:v>
      </x:c>
      <x:c r="F98" s="137" t="n">
        <x:v>1347.87744140625</x:v>
      </x:c>
      <x:c r="G98" s="137" t="n">
        <x:v>236.6695098876953</x:v>
      </x:c>
      <x:c r="H98" s="137" t="n">
        <x:v>45.88818359375</x:v>
      </x:c>
      <x:c r="I98" s="137" t="n">
        <x:v>1224.9515184485936</x:v>
      </x:c>
      <x:c r="J98" s="137" t="n">
        <x:v>1277.9870712959114</x:v>
      </x:c>
      <x:c r="K98" s="136" t="str">
        <x:v>map-5</x:v>
      </x:c>
      <x:c r="L98" s="136" t="str">
        <x:v>Antietam | Conquest | Limestone Bridge||Gun | 3-inch Ordnance · Entity-1721 [map-5/019]</x:v>
      </x:c>
      <x:c r="M98" s="35"/>
      <x:c r="N98" s="35"/>
      <x:c r="O98" s="35"/>
      <x:c r="P98" s="35"/>
      <x:c r="Q98" s="35"/>
      <x:c r="R98" s="35"/>
      <x:c r="S98" s="35"/>
      <x:c r="T98" s="136" t="str">
        <x:v>SouthMountain | Contention | Hilltop</x:v>
      </x:c>
      <x:c r="U98" s="136" t="str">
        <x:v>map-93</x:v>
      </x:c>
      <x:c r="V98" s="136" t="str">
        <x:v>SouthMountain</x:v>
      </x:c>
      <x:c r="W98" s="136" t="str">
        <x:v>Contention</x:v>
      </x:c>
      <x:c r="X98" s="136" t="str">
        <x:v>Hilltop</x:v>
      </x:c>
      <x:c r="Y98" s="136" t="str">
        <x:v>Conquest_4</x:v>
      </x:c>
      <x:c r="Z98" s="136" t="n">
        <x:v>21</x:v>
      </x:c>
      <x:c r="AA98" s="136" t="n">
        <x:v>2013</x:v>
      </x:c>
    </x:row>
    <x:row r="99">
      <x:c r="A99" s="136" t="str">
        <x:v>Antietam | Conquest | Limestone Bridge</x:v>
      </x:c>
      <x:c r="B99" s="136" t="str">
        <x:v>Gun | 3-inch Ordnance · Entity-1720 [map-5/020]</x:v>
      </x:c>
      <x:c r="C99" s="136" t="str">
        <x:v>gun_spawn</x:v>
      </x:c>
      <x:c r="D99" s="136" t="str"/>
      <x:c r="E99" s="136" t="str">
        <x:v>3-inch Ordnance · Entity-1720</x:v>
      </x:c>
      <x:c r="F99" s="137" t="n">
        <x:v>1343.0113525390625</x:v>
      </x:c>
      <x:c r="G99" s="137" t="n">
        <x:v>244.0228271484375</x:v>
      </x:c>
      <x:c r="H99" s="137" t="n">
        <x:v>45.2563362121582</x:v>
      </x:c>
      <x:c r="I99" s="137" t="n">
        <x:v>1212.6817500067552</x:v>
      </x:c>
      <x:c r="J99" s="137" t="n">
        <x:v>1277.1805009718425</x:v>
      </x:c>
      <x:c r="K99" s="136" t="str">
        <x:v>map-5</x:v>
      </x:c>
      <x:c r="L99" s="136" t="str">
        <x:v>Antietam | Conquest | Limestone Bridge||Gun | 3-inch Ordnance · Entity-1720 [map-5/020]</x:v>
      </x:c>
      <x:c r="M99" s="35"/>
      <x:c r="N99" s="35"/>
      <x:c r="O99" s="35"/>
      <x:c r="P99" s="35"/>
      <x:c r="Q99" s="35"/>
      <x:c r="R99" s="35"/>
      <x:c r="S99" s="35"/>
      <x:c r="T99" s="136" t="str">
        <x:v>SouthMountain | Skirmish | Garland's Stand</x:v>
      </x:c>
      <x:c r="U99" s="136" t="str">
        <x:v>map-94</x:v>
      </x:c>
      <x:c r="V99" s="136" t="str">
        <x:v>SouthMountain</x:v>
      </x:c>
      <x:c r="W99" s="136" t="str">
        <x:v>Skirmish</x:v>
      </x:c>
      <x:c r="X99" s="136" t="str">
        <x:v>Garland's Stand</x:v>
      </x:c>
      <x:c r="Y99" s="136" t="str">
        <x:v>Skirmish_Foxs_Gap_Garlands_Stand</x:v>
      </x:c>
      <x:c r="Z99" s="136" t="n">
        <x:v>23</x:v>
      </x:c>
      <x:c r="AA99" s="136" t="n">
        <x:v>2034</x:v>
      </x:c>
    </x:row>
    <x:row r="100">
      <x:c r="A100" s="136" t="str">
        <x:v>Antietam | Conquest | Limestone Bridge</x:v>
      </x:c>
      <x:c r="B100" s="136" t="str">
        <x:v>Gun | 12-pounder Napoleon (USA) · Entity-1725 [map-5/021]</x:v>
      </x:c>
      <x:c r="C100" s="136" t="str">
        <x:v>gun_spawn</x:v>
      </x:c>
      <x:c r="D100" s="136" t="str"/>
      <x:c r="E100" s="136" t="str">
        <x:v>12-pounder Napoleon (USA) · Entity-1725</x:v>
      </x:c>
      <x:c r="F100" s="137" t="n">
        <x:v>1367.400390625</x:v>
      </x:c>
      <x:c r="G100" s="137" t="n">
        <x:v>207.9349365234375</x:v>
      </x:c>
      <x:c r="H100" s="137" t="n">
        <x:v>48.35213088989258</x:v>
      </x:c>
      <x:c r="I100" s="137" t="n">
        <x:v>1273.3266259055938</x:v>
      </x:c>
      <x:c r="J100" s="137" t="n">
        <x:v>1280.5748028922342</x:v>
      </x:c>
      <x:c r="K100" s="136" t="str">
        <x:v>map-5</x:v>
      </x:c>
      <x:c r="L100" s="136" t="str">
        <x:v>Antietam | Conquest | Limestone Bridge||Gun | 12-pounder Napoleon (USA) · Entity-1725 [map-5/021]</x:v>
      </x:c>
      <x:c r="M100" s="35"/>
      <x:c r="N100" s="35"/>
      <x:c r="O100" s="35"/>
      <x:c r="P100" s="35"/>
      <x:c r="Q100" s="35"/>
      <x:c r="R100" s="35"/>
      <x:c r="S100" s="35"/>
      <x:c r="T100" s="136" t="str">
        <x:v>SouthMountain | Skirmish | Cox's Push</x:v>
      </x:c>
      <x:c r="U100" s="136" t="str">
        <x:v>map-95</x:v>
      </x:c>
      <x:c r="V100" s="136" t="str">
        <x:v>SouthMountain</x:v>
      </x:c>
      <x:c r="W100" s="136" t="str">
        <x:v>Skirmish</x:v>
      </x:c>
      <x:c r="X100" s="136" t="str">
        <x:v>Cox's Push</x:v>
      </x:c>
      <x:c r="Y100" s="136" t="str">
        <x:v>Skirmish_Foxs_Gap_Coxs_Push</x:v>
      </x:c>
      <x:c r="Z100" s="136" t="n">
        <x:v>17</x:v>
      </x:c>
      <x:c r="AA100" s="136" t="n">
        <x:v>2057</x:v>
      </x:c>
    </x:row>
    <x:row r="101">
      <x:c r="A101" s="136" t="str">
        <x:v>Antietam | Conquest | Limestone Bridge</x:v>
      </x:c>
      <x:c r="B101" s="136" t="str">
        <x:v>Gun | 3-inch Ordnance · Entity-1709 [map-5/022]</x:v>
      </x:c>
      <x:c r="C101" s="136" t="str">
        <x:v>gun_spawn</x:v>
      </x:c>
      <x:c r="D101" s="136" t="str"/>
      <x:c r="E101" s="136" t="str">
        <x:v>3-inch Ordnance · Entity-1709</x:v>
      </x:c>
      <x:c r="F101" s="137" t="n">
        <x:v>1545.013916015625</x:v>
      </x:c>
      <x:c r="G101" s="137" t="n">
        <x:v>344.0444030761719</x:v>
      </x:c>
      <x:c r="H101" s="137" t="n">
        <x:v>53.17987060546875</x:v>
      </x:c>
      <x:c r="I101" s="137" t="n">
        <x:v>1272.1337976276204</x:v>
      </x:c>
      <x:c r="J101" s="137" t="n">
        <x:v>968.2349704106354</x:v>
      </x:c>
      <x:c r="K101" s="136" t="str">
        <x:v>map-5</x:v>
      </x:c>
      <x:c r="L101" s="136" t="str">
        <x:v>Antietam | Conquest | Limestone Bridge||Gun | 3-inch Ordnance · Entity-1709 [map-5/022]</x:v>
      </x:c>
      <x:c r="M101" s="35"/>
      <x:c r="N101" s="35"/>
      <x:c r="O101" s="35"/>
      <x:c r="P101" s="35"/>
      <x:c r="Q101" s="35"/>
      <x:c r="R101" s="35"/>
      <x:c r="S101" s="35"/>
      <x:c r="T101" s="136" t="str">
        <x:v>SouthMountain | Skirmish | Hatch's Attack</x:v>
      </x:c>
      <x:c r="U101" s="136" t="str">
        <x:v>map-96</x:v>
      </x:c>
      <x:c r="V101" s="136" t="str">
        <x:v>SouthMountain</x:v>
      </x:c>
      <x:c r="W101" s="136" t="str">
        <x:v>Skirmish</x:v>
      </x:c>
      <x:c r="X101" s="136" t="str">
        <x:v>Hatch's Attack</x:v>
      </x:c>
      <x:c r="Y101" s="136" t="str">
        <x:v>Skirmish_Turners_Gap_Hatchs_Attack</x:v>
      </x:c>
      <x:c r="Z101" s="136" t="n">
        <x:v>12</x:v>
      </x:c>
      <x:c r="AA101" s="136" t="n">
        <x:v>2074</x:v>
      </x:c>
    </x:row>
    <x:row r="102">
      <x:c r="A102" s="136" t="str">
        <x:v>Antietam | Conquest | Limestone Bridge</x:v>
      </x:c>
      <x:c r="B102" s="136" t="str">
        <x:v>Gun | 12-pounder Napoleon (USA) · Entity-1711 [map-5/023]</x:v>
      </x:c>
      <x:c r="C102" s="136" t="str">
        <x:v>gun_spawn</x:v>
      </x:c>
      <x:c r="D102" s="136" t="str"/>
      <x:c r="E102" s="136" t="str">
        <x:v>12-pounder Napoleon (USA) · Entity-1711</x:v>
      </x:c>
      <x:c r="F102" s="137" t="n">
        <x:v>1544.900634765625</x:v>
      </x:c>
      <x:c r="G102" s="137" t="n">
        <x:v>358.53399658203125</x:v>
      </x:c>
      <x:c r="H102" s="137" t="n">
        <x:v>53.028465270996094</x:v>
      </x:c>
      <x:c r="I102" s="137" t="n">
        <x:v>1255.9533341572708</x:v>
      </x:c>
      <x:c r="J102" s="137" t="n">
        <x:v>956.1181621770253</x:v>
      </x:c>
      <x:c r="K102" s="136" t="str">
        <x:v>map-5</x:v>
      </x:c>
      <x:c r="L102" s="136" t="str">
        <x:v>Antietam | Conquest | Limestone Bridge||Gun | 12-pounder Napoleon (USA) · Entity-1711 [map-5/023]</x:v>
      </x:c>
      <x:c r="M102" s="35"/>
      <x:c r="N102" s="35"/>
      <x:c r="O102" s="35"/>
      <x:c r="P102" s="35"/>
      <x:c r="Q102" s="35"/>
      <x:c r="R102" s="35"/>
      <x:c r="S102" s="35"/>
      <x:c r="T102" s="136" t="str">
        <x:v>SouthMountain | Skirmish | Anderson's Counterattack</x:v>
      </x:c>
      <x:c r="U102" s="136" t="str">
        <x:v>map-97</x:v>
      </x:c>
      <x:c r="V102" s="136" t="str">
        <x:v>SouthMountain</x:v>
      </x:c>
      <x:c r="W102" s="136" t="str">
        <x:v>Skirmish</x:v>
      </x:c>
      <x:c r="X102" s="136" t="str">
        <x:v>Anderson's Counterattack</x:v>
      </x:c>
      <x:c r="Y102" s="136" t="str">
        <x:v>Skirmish_Foxs_Gap_Andersons_Counterattack</x:v>
      </x:c>
      <x:c r="Z102" s="136" t="n">
        <x:v>19</x:v>
      </x:c>
      <x:c r="AA102" s="136" t="n">
        <x:v>2086</x:v>
      </x:c>
    </x:row>
    <x:row r="103">
      <x:c r="A103" s="136" t="str">
        <x:v>Antietam | Conquest | Waterways</x:v>
      </x:c>
      <x:c r="B103" s="136" t="str">
        <x:v>Spawn | USA CQ6_Spawnpoint_USA_Infantry_0 [map-6/001]</x:v>
      </x:c>
      <x:c r="C103" s="136" t="str">
        <x:v>spawn</x:v>
      </x:c>
      <x:c r="D103" s="136" t="str">
        <x:v>USA</x:v>
      </x:c>
      <x:c r="E103" s="136" t="str">
        <x:v>CQ6_Spawnpoint_USA_Infantry_0</x:v>
      </x:c>
      <x:c r="F103" s="137" t="n">
        <x:v>2987.091064453125</x:v>
      </x:c>
      <x:c r="G103" s="137" t="n">
        <x:v>828.2537841796875</x:v>
      </x:c>
      <x:c r="H103" s="137" t="n">
        <x:v>21.7051944732666</x:v>
      </x:c>
      <x:c r="I103" s="137" t="n">
        <x:v>1801.9150276104886</x:v>
      </x:c>
      <x:c r="J103" s="137" t="n">
        <x:v>1387.37813024159</x:v>
      </x:c>
      <x:c r="K103" s="136" t="str">
        <x:v>map-6</x:v>
      </x:c>
      <x:c r="L103" s="136" t="str">
        <x:v>Antietam | Conquest | Waterways||Spawn | USA CQ6_Spawnpoint_USA_Infantry_0 [map-6/001]</x:v>
      </x:c>
      <x:c r="M103" s="35"/>
      <x:c r="N103" s="35"/>
      <x:c r="O103" s="35"/>
      <x:c r="P103" s="35"/>
      <x:c r="Q103" s="35"/>
      <x:c r="R103" s="35"/>
      <x:c r="S103" s="35"/>
      <x:c r="T103" s="136" t="str">
        <x:v>SouthMountain | Skirmish | Reno's Fall</x:v>
      </x:c>
      <x:c r="U103" s="136" t="str">
        <x:v>map-98</x:v>
      </x:c>
      <x:c r="V103" s="136" t="str">
        <x:v>SouthMountain</x:v>
      </x:c>
      <x:c r="W103" s="136" t="str">
        <x:v>Skirmish</x:v>
      </x:c>
      <x:c r="X103" s="136" t="str">
        <x:v>Reno's Fall</x:v>
      </x:c>
      <x:c r="Y103" s="136" t="str">
        <x:v>Skirmish_Foxs_Gap_Renos_Fall</x:v>
      </x:c>
      <x:c r="Z103" s="136" t="n">
        <x:v>17</x:v>
      </x:c>
      <x:c r="AA103" s="136" t="n">
        <x:v>2105</x:v>
      </x:c>
    </x:row>
    <x:row r="104">
      <x:c r="A104" s="136" t="str">
        <x:v>Antietam | Conquest | Waterways</x:v>
      </x:c>
      <x:c r="B104" s="136" t="str">
        <x:v>Spawn | USA CQ6_Spawnpoint_USA_Infantry_1 [map-6/002]</x:v>
      </x:c>
      <x:c r="C104" s="136" t="str">
        <x:v>spawn</x:v>
      </x:c>
      <x:c r="D104" s="136" t="str">
        <x:v>USA</x:v>
      </x:c>
      <x:c r="E104" s="136" t="str">
        <x:v>CQ6_Spawnpoint_USA_Infantry_1</x:v>
      </x:c>
      <x:c r="F104" s="137" t="n">
        <x:v>2974.555908203125</x:v>
      </x:c>
      <x:c r="G104" s="137" t="n">
        <x:v>806.9785766601562</x:v>
      </x:c>
      <x:c r="H104" s="137" t="n">
        <x:v>21.223081588745117</x:v>
      </x:c>
      <x:c r="I104" s="137" t="n">
        <x:v>1817.8931739956768</x:v>
      </x:c>
      <x:c r="J104" s="137" t="n">
        <x:v>1426.4959642572162</x:v>
      </x:c>
      <x:c r="K104" s="136" t="str">
        <x:v>map-6</x:v>
      </x:c>
      <x:c r="L104" s="136" t="str">
        <x:v>Antietam | Conquest | Waterways||Spawn | USA CQ6_Spawnpoint_USA_Infantry_1 [map-6/002]</x:v>
      </x:c>
      <x:c r="M104" s="35"/>
      <x:c r="N104" s="35"/>
      <x:c r="O104" s="35"/>
      <x:c r="P104" s="35"/>
      <x:c r="Q104" s="35"/>
      <x:c r="R104" s="35"/>
      <x:c r="S104" s="35"/>
      <x:c r="T104" s="138" t="str">
        <x:v>SouthMountain | Skirmish | Colquitt's Defence</x:v>
      </x:c>
      <x:c r="U104" s="138" t="str">
        <x:v>map-99</x:v>
      </x:c>
      <x:c r="V104" s="138" t="str">
        <x:v>SouthMountain</x:v>
      </x:c>
      <x:c r="W104" s="138" t="str">
        <x:v>Skirmish</x:v>
      </x:c>
      <x:c r="X104" s="138" t="str">
        <x:v>Colquitt's Defence</x:v>
      </x:c>
      <x:c r="Y104" s="138" t="str">
        <x:v>Skirmish_Turners_Gap_Colquitts_Defence</x:v>
      </x:c>
      <x:c r="Z104" s="138" t="n">
        <x:v>22</x:v>
      </x:c>
      <x:c r="AA104" s="138" t="n">
        <x:v>2122</x:v>
      </x:c>
    </x:row>
    <x:row r="105">
      <x:c r="A105" s="136" t="str">
        <x:v>Antietam | Conquest | Waterways</x:v>
      </x:c>
      <x:c r="B105" s="136" t="str">
        <x:v>Spawn | CSA CQ6_Spawnpoint_CSA_Cavalry_0 [map-6/003]</x:v>
      </x:c>
      <x:c r="C105" s="136" t="str">
        <x:v>spawn</x:v>
      </x:c>
      <x:c r="D105" s="136" t="str">
        <x:v>CSA</x:v>
      </x:c>
      <x:c r="E105" s="136" t="str">
        <x:v>CQ6_Spawnpoint_CSA_Cavalry_0</x:v>
      </x:c>
      <x:c r="F105" s="137" t="n">
        <x:v>2935.570068359375</x:v>
      </x:c>
      <x:c r="G105" s="137" t="n">
        <x:v>1961.910400390625</x:v>
      </x:c>
      <x:c r="H105" s="137" t="n">
        <x:v>50.8907470703125</x:v>
      </x:c>
      <x:c r="I105" s="137" t="n">
        <x:v>204.1105598069724</x:v>
      </x:c>
      <x:c r="J105" s="137" t="n">
        <x:v>283.076203046479</x:v>
      </x:c>
      <x:c r="K105" s="136" t="str">
        <x:v>map-6</x:v>
      </x:c>
      <x:c r="L105" s="136" t="str">
        <x:v>Antietam | Conquest | Waterways||Spawn | CSA CQ6_Spawnpoint_CSA_Cavalry_0 [map-6/003]</x:v>
      </x:c>
      <x:c r="M105" s="35"/>
      <x:c r="N105" s="35"/>
      <x:c r="O105" s="35"/>
      <x:c r="P105" s="35"/>
      <x:c r="Q105" s="35"/>
      <x:c r="R105" s="35"/>
      <x:c r="S105" s="35"/>
      <x:c r="T105" s="35"/>
      <x:c r="U105" s="35"/>
      <x:c r="V105" s="35"/>
      <x:c r="W105" s="35"/>
      <x:c r="X105" s="35"/>
      <x:c r="Y105" s="35"/>
      <x:c r="Z105" s="35"/>
      <x:c r="AA105" s="35"/>
    </x:row>
    <x:row r="106">
      <x:c r="A106" s="136" t="str">
        <x:v>Antietam | Conquest | Waterways</x:v>
      </x:c>
      <x:c r="B106" s="136" t="str">
        <x:v>Spawn | CSA CQ6_Spawnpoint_CSA_Infantry_2 [map-6/004]</x:v>
      </x:c>
      <x:c r="C106" s="136" t="str">
        <x:v>spawn</x:v>
      </x:c>
      <x:c r="D106" s="136" t="str">
        <x:v>CSA</x:v>
      </x:c>
      <x:c r="E106" s="136" t="str">
        <x:v>CQ6_Spawnpoint_CSA_Infantry_2</x:v>
      </x:c>
      <x:c r="F106" s="137" t="n">
        <x:v>2770.34765625</x:v>
      </x:c>
      <x:c r="G106" s="137" t="n">
        <x:v>1900.828857421875</x:v>
      </x:c>
      <x:c r="H106" s="137" t="n">
        <x:v>53.248294830322266</x:v>
      </x:c>
      <x:c r="I106" s="137" t="n">
        <x:v>115.91083610619579</x:v>
      </x:c>
      <x:c r="J106" s="137" t="n">
        <x:v>571.436392164796</x:v>
      </x:c>
      <x:c r="K106" s="136" t="str">
        <x:v>map-6</x:v>
      </x:c>
      <x:c r="L106" s="136" t="str">
        <x:v>Antietam | Conquest | Waterways||Spawn | CSA CQ6_Spawnpoint_CSA_Infantry_2 [map-6/004]</x:v>
      </x:c>
      <x:c r="M106" s="35"/>
      <x:c r="N106" s="35"/>
      <x:c r="O106" s="35"/>
      <x:c r="P106" s="35"/>
      <x:c r="Q106" s="35"/>
      <x:c r="R106" s="35"/>
      <x:c r="S106" s="35"/>
      <x:c r="T106" s="35"/>
      <x:c r="U106" s="35"/>
      <x:c r="V106" s="35"/>
      <x:c r="W106" s="35"/>
      <x:c r="X106" s="35"/>
      <x:c r="Y106" s="35"/>
      <x:c r="Z106" s="35"/>
      <x:c r="AA106" s="35"/>
    </x:row>
    <x:row r="107">
      <x:c r="A107" s="136" t="str">
        <x:v>Antietam | Conquest | Waterways</x:v>
      </x:c>
      <x:c r="B107" s="136" t="str">
        <x:v>Spawn | USA CQ6_Spawnpoint_USA_Infantry_2 [map-6/005]</x:v>
      </x:c>
      <x:c r="C107" s="136" t="str">
        <x:v>spawn</x:v>
      </x:c>
      <x:c r="D107" s="136" t="str">
        <x:v>USA</x:v>
      </x:c>
      <x:c r="E107" s="136" t="str">
        <x:v>CQ6_Spawnpoint_USA_Infantry_2</x:v>
      </x:c>
      <x:c r="F107" s="137" t="n">
        <x:v>2999.812744140625</x:v>
      </x:c>
      <x:c r="G107" s="137" t="n">
        <x:v>853.077392578125</x:v>
      </x:c>
      <x:c r="H107" s="137" t="n">
        <x:v>22.25647735595703</x:v>
      </x:c>
      <x:c r="I107" s="137" t="n">
        <x:v>1781.2964854453026</x:v>
      </x:c>
      <x:c r="J107" s="137" t="n">
        <x:v>1344.3299952336124</x:v>
      </x:c>
      <x:c r="K107" s="136" t="str">
        <x:v>map-6</x:v>
      </x:c>
      <x:c r="L107" s="136" t="str">
        <x:v>Antietam | Conquest | Waterways||Spawn | USA CQ6_Spawnpoint_USA_Infantry_2 [map-6/005]</x:v>
      </x:c>
      <x:c r="M107" s="35"/>
      <x:c r="N107" s="35"/>
      <x:c r="O107" s="35"/>
      <x:c r="P107" s="35"/>
      <x:c r="Q107" s="35"/>
      <x:c r="R107" s="35"/>
      <x:c r="S107" s="35"/>
      <x:c r="T107" s="35"/>
      <x:c r="U107" s="35"/>
      <x:c r="V107" s="35"/>
      <x:c r="W107" s="35"/>
      <x:c r="X107" s="35"/>
      <x:c r="Y107" s="35"/>
      <x:c r="Z107" s="35"/>
      <x:c r="AA107" s="35"/>
    </x:row>
    <x:row r="108">
      <x:c r="A108" s="136" t="str">
        <x:v>Antietam | Conquest | Waterways</x:v>
      </x:c>
      <x:c r="B108" s="136" t="str">
        <x:v>Artillery | CSA CQ6_Spawnpoint_CSA_Artillery_Staging [map-6/006]</x:v>
      </x:c>
      <x:c r="C108" s="136" t="str">
        <x:v>battery</x:v>
      </x:c>
      <x:c r="D108" s="136" t="str">
        <x:v>CSA</x:v>
      </x:c>
      <x:c r="E108" s="136" t="str">
        <x:v>CQ6_Spawnpoint_CSA_Artillery_Staging</x:v>
      </x:c>
      <x:c r="F108" s="137" t="n">
        <x:v>2744.745361328125</x:v>
      </x:c>
      <x:c r="G108" s="137" t="n">
        <x:v>1889.6507568359375</x:v>
      </x:c>
      <x:c r="H108" s="137" t="n">
        <x:v>50.64060592651367</x:v>
      </x:c>
      <x:c r="I108" s="137" t="n">
        <x:v>104.57744863847269</x:v>
      </x:c>
      <x:c r="J108" s="137" t="n">
        <x:v>617.8945092586704</x:v>
      </x:c>
      <x:c r="K108" s="136" t="str">
        <x:v>map-6</x:v>
      </x:c>
      <x:c r="L108" s="136" t="str">
        <x:v>Antietam | Conquest | Waterways||Artillery | CSA CQ6_Spawnpoint_CSA_Artillery_Staging [map-6/006]</x:v>
      </x:c>
      <x:c r="M108" s="35"/>
      <x:c r="N108" s="35"/>
      <x:c r="O108" s="35"/>
      <x:c r="P108" s="35"/>
      <x:c r="Q108" s="35"/>
      <x:c r="R108" s="35"/>
      <x:c r="S108" s="35"/>
      <x:c r="T108" s="35"/>
      <x:c r="U108" s="35"/>
      <x:c r="V108" s="35"/>
      <x:c r="W108" s="35"/>
      <x:c r="X108" s="35"/>
      <x:c r="Y108" s="35"/>
      <x:c r="Z108" s="35"/>
      <x:c r="AA108" s="35"/>
    </x:row>
    <x:row r="109">
      <x:c r="A109" s="136" t="str">
        <x:v>Antietam | Conquest | Waterways</x:v>
      </x:c>
      <x:c r="B109" s="136" t="str">
        <x:v>Artillery | CSA CQ6_Spawnpoint_CSA_Artillery_Forward [map-6/007]</x:v>
      </x:c>
      <x:c r="C109" s="136" t="str">
        <x:v>battery</x:v>
      </x:c>
      <x:c r="D109" s="136" t="str">
        <x:v>CSA</x:v>
      </x:c>
      <x:c r="E109" s="136" t="str">
        <x:v>CQ6_Spawnpoint_CSA_Artillery_Forward</x:v>
      </x:c>
      <x:c r="F109" s="137" t="n">
        <x:v>2917.09375</x:v>
      </x:c>
      <x:c r="G109" s="137" t="n">
        <x:v>1742.6812744140625</x:v>
      </x:c>
      <x:c r="H109" s="137" t="n">
        <x:v>34.58585739135742</x:v>
      </x:c>
      <x:c r="I109" s="137" t="n">
        <x:v>483.5930882396589</x:v>
      </x:c>
      <x:c r="J109" s="137" t="n">
        <x:v>535.371214165455</x:v>
      </x:c>
      <x:c r="K109" s="136" t="str">
        <x:v>map-6</x:v>
      </x:c>
      <x:c r="L109" s="136" t="str">
        <x:v>Antietam | Conquest | Waterways||Artillery | CSA CQ6_Spawnpoint_CSA_Artillery_Forward [map-6/007]</x:v>
      </x:c>
      <x:c r="M109" s="35"/>
      <x:c r="N109" s="35"/>
      <x:c r="O109" s="35"/>
      <x:c r="P109" s="35"/>
      <x:c r="Q109" s="35"/>
      <x:c r="R109" s="35"/>
      <x:c r="S109" s="35"/>
      <x:c r="T109" s="35"/>
      <x:c r="U109" s="35"/>
      <x:c r="V109" s="35"/>
      <x:c r="W109" s="35"/>
      <x:c r="X109" s="35"/>
      <x:c r="Y109" s="35"/>
      <x:c r="Z109" s="35"/>
      <x:c r="AA109" s="35"/>
    </x:row>
    <x:row r="110">
      <x:c r="A110" s="136" t="str">
        <x:v>Antietam | Conquest | Waterways</x:v>
      </x:c>
      <x:c r="B110" s="136" t="str">
        <x:v>Artillery | USA CQ6_Spawnpoint_USA_Artillery_Staging [map-6/008]</x:v>
      </x:c>
      <x:c r="C110" s="136" t="str">
        <x:v>battery</x:v>
      </x:c>
      <x:c r="D110" s="136" t="str">
        <x:v>USA</x:v>
      </x:c>
      <x:c r="E110" s="136" t="str">
        <x:v>CQ6_Spawnpoint_USA_Artillery_Staging</x:v>
      </x:c>
      <x:c r="F110" s="137" t="n">
        <x:v>2962.23828125</x:v>
      </x:c>
      <x:c r="G110" s="137" t="n">
        <x:v>786.0362548828125</x:v>
      </x:c>
      <x:c r="H110" s="137" t="n">
        <x:v>19.96544647216797</x:v>
      </x:c>
      <x:c r="I110" s="137" t="n">
        <x:v>1833.6435132336571</x:v>
      </x:c>
      <x:c r="J110" s="137" t="n">
        <x:v>1464.9725877953442</x:v>
      </x:c>
      <x:c r="K110" s="136" t="str">
        <x:v>map-6</x:v>
      </x:c>
      <x:c r="L110" s="136" t="str">
        <x:v>Antietam | Conquest | Waterways||Artillery | USA CQ6_Spawnpoint_USA_Artillery_Staging [map-6/008]</x:v>
      </x:c>
      <x:c r="M110" s="35"/>
      <x:c r="N110" s="35"/>
      <x:c r="O110" s="35"/>
      <x:c r="P110" s="35"/>
      <x:c r="Q110" s="35"/>
      <x:c r="R110" s="35"/>
      <x:c r="S110" s="35"/>
      <x:c r="T110" s="35"/>
      <x:c r="U110" s="35"/>
      <x:c r="V110" s="35"/>
      <x:c r="W110" s="35"/>
      <x:c r="X110" s="35"/>
      <x:c r="Y110" s="35"/>
      <x:c r="Z110" s="35"/>
      <x:c r="AA110" s="35"/>
    </x:row>
    <x:row r="111">
      <x:c r="A111" s="136" t="str">
        <x:v>Antietam | Conquest | Waterways</x:v>
      </x:c>
      <x:c r="B111" s="136" t="str">
        <x:v>Spawn | CSA CQ6_Spawnpoint_CSA_Infantry_1 [map-6/009]</x:v>
      </x:c>
      <x:c r="C111" s="136" t="str">
        <x:v>spawn</x:v>
      </x:c>
      <x:c r="D111" s="136" t="str">
        <x:v>CSA</x:v>
      </x:c>
      <x:c r="E111" s="136" t="str">
        <x:v>CQ6_Spawnpoint_CSA_Infantry_1</x:v>
      </x:c>
      <x:c r="F111" s="137" t="n">
        <x:v>2764.2333984375</x:v>
      </x:c>
      <x:c r="G111" s="137" t="n">
        <x:v>1880.502197265625</x:v>
      </x:c>
      <x:c r="H111" s="137" t="n">
        <x:v>50.30002975463867</x:v>
      </x:c>
      <x:c r="I111" s="137" t="n">
        <x:v>137.25814789006756</x:v>
      </x:c>
      <x:c r="J111" s="137" t="n">
        <x:v>600.8244738155556</x:v>
      </x:c>
      <x:c r="K111" s="136" t="str">
        <x:v>map-6</x:v>
      </x:c>
      <x:c r="L111" s="136" t="str">
        <x:v>Antietam | Conquest | Waterways||Spawn | CSA CQ6_Spawnpoint_CSA_Infantry_1 [map-6/009]</x:v>
      </x:c>
      <x:c r="M111" s="35"/>
      <x:c r="N111" s="35"/>
      <x:c r="O111" s="35"/>
      <x:c r="P111" s="35"/>
      <x:c r="Q111" s="35"/>
      <x:c r="R111" s="35"/>
      <x:c r="S111" s="35"/>
      <x:c r="T111" s="35"/>
      <x:c r="U111" s="35"/>
      <x:c r="V111" s="35"/>
      <x:c r="W111" s="35"/>
      <x:c r="X111" s="35"/>
      <x:c r="Y111" s="35"/>
      <x:c r="Z111" s="35"/>
      <x:c r="AA111" s="35"/>
    </x:row>
    <x:row r="112">
      <x:c r="A112" s="136" t="str">
        <x:v>Antietam | Conquest | Waterways</x:v>
      </x:c>
      <x:c r="B112" s="136" t="str">
        <x:v>Objective | Victory_Conquest_6 [map-6/010]</x:v>
      </x:c>
      <x:c r="C112" s="136" t="str">
        <x:v>objective</x:v>
      </x:c>
      <x:c r="D112" s="136" t="str"/>
      <x:c r="E112" s="136" t="str">
        <x:v>Victory_Conquest_6</x:v>
      </x:c>
      <x:c r="F112" s="137" t="n">
        <x:v>2769.986328125</x:v>
      </x:c>
      <x:c r="G112" s="137" t="n">
        <x:v>1228.8297119140625</x:v>
      </x:c>
      <x:c r="H112" s="137" t="n">
        <x:v>20.404699325561523</x:v>
      </x:c>
      <x:c r="I112" s="137" t="n">
        <x:v>1030.9848202060068</x:v>
      </x:c>
      <x:c r="J112" s="137" t="n">
        <x:v>1268.1313128457446</x:v>
      </x:c>
      <x:c r="K112" s="136" t="str">
        <x:v>map-6</x:v>
      </x:c>
      <x:c r="L112" s="136" t="str">
        <x:v>Antietam | Conquest | Waterways||Objective | Victory_Conquest_6 [map-6/010]</x:v>
      </x:c>
      <x:c r="M112" s="35"/>
      <x:c r="N112" s="35"/>
      <x:c r="O112" s="35"/>
      <x:c r="P112" s="35"/>
      <x:c r="Q112" s="35"/>
      <x:c r="R112" s="35"/>
      <x:c r="S112" s="35"/>
      <x:c r="T112" s="35"/>
      <x:c r="U112" s="35"/>
      <x:c r="V112" s="35"/>
      <x:c r="W112" s="35"/>
      <x:c r="X112" s="35"/>
      <x:c r="Y112" s="35"/>
      <x:c r="Z112" s="35"/>
      <x:c r="AA112" s="35"/>
    </x:row>
    <x:row r="113">
      <x:c r="A113" s="136" t="str">
        <x:v>Antietam | Conquest | Waterways</x:v>
      </x:c>
      <x:c r="B113" s="136" t="str">
        <x:v>Spawn | CSA CQ6_Spawnpoint_CSA_Infantry_0 [map-6/011]</x:v>
      </x:c>
      <x:c r="C113" s="136" t="str">
        <x:v>spawn</x:v>
      </x:c>
      <x:c r="D113" s="136" t="str">
        <x:v>CSA</x:v>
      </x:c>
      <x:c r="E113" s="136" t="str">
        <x:v>CQ6_Spawnpoint_CSA_Infantry_0</x:v>
      </x:c>
      <x:c r="F113" s="137" t="n">
        <x:v>2764.923583984375</x:v>
      </x:c>
      <x:c r="G113" s="137" t="n">
        <x:v>1858.61962890625</x:v>
      </x:c>
      <x:c r="H113" s="137" t="n">
        <x:v>47.259639739990234</x:v>
      </x:c>
      <x:c r="I113" s="137" t="n">
        <x:v>167.78429476402263</x:v>
      </x:c>
      <x:c r="J113" s="137" t="n">
        <x:v>622.5549678667567</x:v>
      </x:c>
      <x:c r="K113" s="136" t="str">
        <x:v>map-6</x:v>
      </x:c>
      <x:c r="L113" s="136" t="str">
        <x:v>Antietam | Conquest | Waterways||Spawn | CSA CQ6_Spawnpoint_CSA_Infantry_0 [map-6/011]</x:v>
      </x:c>
      <x:c r="M113" s="35"/>
      <x:c r="N113" s="35"/>
      <x:c r="O113" s="35"/>
      <x:c r="P113" s="35"/>
      <x:c r="Q113" s="35"/>
      <x:c r="R113" s="35"/>
      <x:c r="S113" s="35"/>
      <x:c r="T113" s="35"/>
      <x:c r="U113" s="35"/>
      <x:c r="V113" s="35"/>
      <x:c r="W113" s="35"/>
      <x:c r="X113" s="35"/>
      <x:c r="Y113" s="35"/>
      <x:c r="Z113" s="35"/>
      <x:c r="AA113" s="35"/>
    </x:row>
    <x:row r="114">
      <x:c r="A114" s="136" t="str">
        <x:v>Antietam | Conquest | Waterways</x:v>
      </x:c>
      <x:c r="B114" s="136" t="str">
        <x:v>Artillery | USA CQ6_Spawnpoint_USA_Artillery_Forward [map-6/012]</x:v>
      </x:c>
      <x:c r="C114" s="136" t="str">
        <x:v>battery</x:v>
      </x:c>
      <x:c r="D114" s="136" t="str">
        <x:v>USA</x:v>
      </x:c>
      <x:c r="E114" s="136" t="str">
        <x:v>CQ6_Spawnpoint_USA_Artillery_Forward</x:v>
      </x:c>
      <x:c r="F114" s="137" t="n">
        <x:v>3079.27783203125</x:v>
      </x:c>
      <x:c r="G114" s="137" t="n">
        <x:v>853.061767578125</x:v>
      </x:c>
      <x:c r="H114" s="137" t="n">
        <x:v>26.14513397216797</x:v>
      </x:c>
      <x:c r="I114" s="137" t="n">
        <x:v>1863.7586826214163</x:v>
      </x:c>
      <x:c r="J114" s="137" t="n">
        <x:v>1236.09273762385</x:v>
      </x:c>
      <x:c r="K114" s="136" t="str">
        <x:v>map-6</x:v>
      </x:c>
      <x:c r="L114" s="136" t="str">
        <x:v>Antietam | Conquest | Waterways||Artillery | USA CQ6_Spawnpoint_USA_Artillery_Forward [map-6/012]</x:v>
      </x:c>
      <x:c r="M114" s="35"/>
      <x:c r="N114" s="35"/>
      <x:c r="O114" s="35"/>
      <x:c r="P114" s="35"/>
      <x:c r="Q114" s="35"/>
      <x:c r="R114" s="35"/>
      <x:c r="S114" s="35"/>
      <x:c r="T114" s="35"/>
      <x:c r="U114" s="35"/>
      <x:c r="V114" s="35"/>
      <x:c r="W114" s="35"/>
      <x:c r="X114" s="35"/>
      <x:c r="Y114" s="35"/>
      <x:c r="Z114" s="35"/>
      <x:c r="AA114" s="35"/>
    </x:row>
    <x:row r="115">
      <x:c r="A115" s="136" t="str">
        <x:v>Antietam | Conquest | Waterways</x:v>
      </x:c>
      <x:c r="B115" s="136" t="str">
        <x:v>Gun | 12-pounder Napoleon (USA) · Entity-1748 [map-6/013]</x:v>
      </x:c>
      <x:c r="C115" s="136" t="str">
        <x:v>gun_spawn</x:v>
      </x:c>
      <x:c r="D115" s="136" t="str"/>
      <x:c r="E115" s="136" t="str">
        <x:v>12-pounder Napoleon (USA) · Entity-1748</x:v>
      </x:c>
      <x:c r="F115" s="137" t="n">
        <x:v>2888.8076171875</x:v>
      </x:c>
      <x:c r="G115" s="137" t="n">
        <x:v>1712.2392578125</x:v>
      </x:c>
      <x:c r="H115" s="137" t="n">
        <x:v>32.4732666015625</x:v>
      </x:c>
      <x:c r="I115" s="137" t="n">
        <x:v>495.7181438111601</x:v>
      </x:c>
      <x:c r="J115" s="137" t="n">
        <x:v>605.4432102093276</x:v>
      </x:c>
      <x:c r="K115" s="136" t="str">
        <x:v>map-6</x:v>
      </x:c>
      <x:c r="L115" s="136" t="str">
        <x:v>Antietam | Conquest | Waterways||Gun | 12-pounder Napoleon (USA) · Entity-1748 [map-6/013]</x:v>
      </x:c>
      <x:c r="M115" s="35"/>
      <x:c r="N115" s="35"/>
      <x:c r="O115" s="35"/>
      <x:c r="P115" s="35"/>
      <x:c r="Q115" s="35"/>
      <x:c r="R115" s="35"/>
      <x:c r="S115" s="35"/>
      <x:c r="T115" s="35"/>
      <x:c r="U115" s="35"/>
      <x:c r="V115" s="35"/>
      <x:c r="W115" s="35"/>
      <x:c r="X115" s="35"/>
      <x:c r="Y115" s="35"/>
      <x:c r="Z115" s="35"/>
      <x:c r="AA115" s="35"/>
    </x:row>
    <x:row r="116">
      <x:c r="A116" s="136" t="str">
        <x:v>Antietam | Conquest | Waterways</x:v>
      </x:c>
      <x:c r="B116" s="136" t="str">
        <x:v>Gun | 12-pounder Napoleon (USA) · Entity-1735 [map-6/014]</x:v>
      </x:c>
      <x:c r="C116" s="136" t="str">
        <x:v>gun_spawn</x:v>
      </x:c>
      <x:c r="D116" s="136" t="str"/>
      <x:c r="E116" s="136" t="str">
        <x:v>12-pounder Napoleon (USA) · Entity-1735</x:v>
      </x:c>
      <x:c r="F116" s="137" t="n">
        <x:v>3086.1806640625</x:v>
      </x:c>
      <x:c r="G116" s="137" t="n">
        <x:v>894.0855712890625</x:v>
      </x:c>
      <x:c r="H116" s="137" t="n">
        <x:v>25.487594604492188</x:v>
      </x:c>
      <x:c r="I116" s="137" t="n">
        <x:v>1815.0342373115236</x:v>
      </x:c>
      <x:c r="J116" s="137" t="n">
        <x:v>1184.1878023251502</x:v>
      </x:c>
      <x:c r="K116" s="136" t="str">
        <x:v>map-6</x:v>
      </x:c>
      <x:c r="L116" s="136" t="str">
        <x:v>Antietam | Conquest | Waterways||Gun | 12-pounder Napoleon (USA) · Entity-1735 [map-6/014]</x:v>
      </x:c>
      <x:c r="M116" s="35"/>
      <x:c r="N116" s="35"/>
      <x:c r="O116" s="35"/>
      <x:c r="P116" s="35"/>
      <x:c r="Q116" s="35"/>
      <x:c r="R116" s="35"/>
      <x:c r="S116" s="35"/>
      <x:c r="T116" s="35"/>
      <x:c r="U116" s="35"/>
      <x:c r="V116" s="35"/>
      <x:c r="W116" s="35"/>
      <x:c r="X116" s="35"/>
      <x:c r="Y116" s="35"/>
      <x:c r="Z116" s="35"/>
      <x:c r="AA116" s="35"/>
    </x:row>
    <x:row r="117">
      <x:c r="A117" s="136" t="str">
        <x:v>Antietam | Conquest | Waterways</x:v>
      </x:c>
      <x:c r="B117" s="136" t="str">
        <x:v>Gun | 3-inch Ordnance · Entity-1732 [map-6/015]</x:v>
      </x:c>
      <x:c r="C117" s="136" t="str">
        <x:v>gun_spawn</x:v>
      </x:c>
      <x:c r="D117" s="136" t="str"/>
      <x:c r="E117" s="136" t="str">
        <x:v>3-inch Ordnance · Entity-1732</x:v>
      </x:c>
      <x:c r="F117" s="137" t="n">
        <x:v>3065.66796875</x:v>
      </x:c>
      <x:c r="G117" s="137" t="n">
        <x:v>896.4903564453125</x:v>
      </x:c>
      <x:c r="H117" s="137" t="n">
        <x:v>24.03726577758789</x:v>
      </x:c>
      <x:c r="I117" s="137" t="n">
        <x:v>1790.4773956679883</x:v>
      </x:c>
      <x:c r="J117" s="137" t="n">
        <x:v>1209.6403723357391</x:v>
      </x:c>
      <x:c r="K117" s="136" t="str">
        <x:v>map-6</x:v>
      </x:c>
      <x:c r="L117" s="136" t="str">
        <x:v>Antietam | Conquest | Waterways||Gun | 3-inch Ordnance · Entity-1732 [map-6/015]</x:v>
      </x:c>
      <x:c r="M117" s="35"/>
      <x:c r="N117" s="35"/>
      <x:c r="O117" s="35"/>
      <x:c r="P117" s="35"/>
      <x:c r="Q117" s="35"/>
      <x:c r="R117" s="35"/>
      <x:c r="S117" s="35"/>
      <x:c r="T117" s="35"/>
      <x:c r="U117" s="35"/>
      <x:c r="V117" s="35"/>
      <x:c r="W117" s="35"/>
      <x:c r="X117" s="35"/>
      <x:c r="Y117" s="35"/>
      <x:c r="Z117" s="35"/>
      <x:c r="AA117" s="35"/>
    </x:row>
    <x:row r="118">
      <x:c r="A118" s="136" t="str">
        <x:v>Antietam | Conquest | Waterways</x:v>
      </x:c>
      <x:c r="B118" s="136" t="str">
        <x:v>Gun | 3-inch Ordnance · Entity-1746 [map-6/016]</x:v>
      </x:c>
      <x:c r="C118" s="136" t="str">
        <x:v>gun_spawn</x:v>
      </x:c>
      <x:c r="D118" s="136" t="str"/>
      <x:c r="E118" s="136" t="str">
        <x:v>3-inch Ordnance · Entity-1746</x:v>
      </x:c>
      <x:c r="F118" s="137" t="n">
        <x:v>2904.281494140625</x:v>
      </x:c>
      <x:c r="G118" s="137" t="n">
        <x:v>1703.69140625</x:v>
      </x:c>
      <x:c r="H118" s="137" t="n">
        <x:v>31.68741798400879</x:v>
      </x:c>
      <x:c r="I118" s="137" t="n">
        <x:v>523.4160292936222</x:v>
      </x:c>
      <x:c r="J118" s="137" t="n">
        <x:v>593.2192281602757</x:v>
      </x:c>
      <x:c r="K118" s="136" t="str">
        <x:v>map-6</x:v>
      </x:c>
      <x:c r="L118" s="136" t="str">
        <x:v>Antietam | Conquest | Waterways||Gun | 3-inch Ordnance · Entity-1746 [map-6/016]</x:v>
      </x:c>
      <x:c r="M118" s="35"/>
      <x:c r="N118" s="35"/>
      <x:c r="O118" s="35"/>
      <x:c r="P118" s="35"/>
      <x:c r="Q118" s="35"/>
      <x:c r="R118" s="35"/>
      <x:c r="S118" s="35"/>
      <x:c r="T118" s="35"/>
      <x:c r="U118" s="35"/>
      <x:c r="V118" s="35"/>
      <x:c r="W118" s="35"/>
      <x:c r="X118" s="35"/>
      <x:c r="Y118" s="35"/>
      <x:c r="Z118" s="35"/>
      <x:c r="AA118" s="35"/>
    </x:row>
    <x:row r="119">
      <x:c r="A119" s="136" t="str">
        <x:v>Antietam | Conquest | Waterways</x:v>
      </x:c>
      <x:c r="B119" s="136" t="str">
        <x:v>Gun | 12-pounder Napoleon (CSA) · Entity-1736 [map-6/017]</x:v>
      </x:c>
      <x:c r="C119" s="136" t="str">
        <x:v>gun_spawn</x:v>
      </x:c>
      <x:c r="D119" s="136" t="str"/>
      <x:c r="E119" s="136" t="str">
        <x:v>12-pounder Napoleon (CSA) · Entity-1736</x:v>
      </x:c>
      <x:c r="F119" s="137" t="n">
        <x:v>3094.5595703125</x:v>
      </x:c>
      <x:c r="G119" s="137" t="n">
        <x:v>893.1307373046875</x:v>
      </x:c>
      <x:c r="H119" s="137" t="n">
        <x:v>25.95060157775879</x:v>
      </x:c>
      <x:c r="I119" s="137" t="n">
        <x:v>1825.0276666164432</x:v>
      </x:c>
      <x:c r="J119" s="137" t="n">
        <x:v>1173.762637216707</x:v>
      </x:c>
      <x:c r="K119" s="136" t="str">
        <x:v>map-6</x:v>
      </x:c>
      <x:c r="L119" s="136" t="str">
        <x:v>Antietam | Conquest | Waterways||Gun | 12-pounder Napoleon (CSA) · Entity-1736 [map-6/017]</x:v>
      </x:c>
      <x:c r="M119" s="35"/>
      <x:c r="N119" s="35"/>
      <x:c r="O119" s="35"/>
      <x:c r="P119" s="35"/>
      <x:c r="Q119" s="35"/>
      <x:c r="R119" s="35"/>
      <x:c r="S119" s="35"/>
      <x:c r="T119" s="35"/>
      <x:c r="U119" s="35"/>
      <x:c r="V119" s="35"/>
      <x:c r="W119" s="35"/>
      <x:c r="X119" s="35"/>
      <x:c r="Y119" s="35"/>
      <x:c r="Z119" s="35"/>
      <x:c r="AA119" s="35"/>
    </x:row>
    <x:row r="120">
      <x:c r="A120" s="136" t="str">
        <x:v>Antietam | Conquest | Waterways</x:v>
      </x:c>
      <x:c r="B120" s="136" t="str">
        <x:v>Gun | 3-inch Ordnance · Entity-1734 [map-6/018]</x:v>
      </x:c>
      <x:c r="C120" s="136" t="str">
        <x:v>gun_spawn</x:v>
      </x:c>
      <x:c r="D120" s="136" t="str"/>
      <x:c r="E120" s="136" t="str">
        <x:v>3-inch Ordnance · Entity-1734</x:v>
      </x:c>
      <x:c r="F120" s="137" t="n">
        <x:v>3079.3701171875</x:v>
      </x:c>
      <x:c r="G120" s="137" t="n">
        <x:v>894.3703002929688</x:v>
      </x:c>
      <x:c r="H120" s="137" t="n">
        <x:v>25.062538146972656</x:v>
      </x:c>
      <x:c r="I120" s="137" t="n">
        <x:v>1807.5807680677108</x:v>
      </x:c>
      <x:c r="J120" s="137" t="n">
        <x:v>1193.1706681523347</x:v>
      </x:c>
      <x:c r="K120" s="136" t="str">
        <x:v>map-6</x:v>
      </x:c>
      <x:c r="L120" s="136" t="str">
        <x:v>Antietam | Conquest | Waterways||Gun | 3-inch Ordnance · Entity-1734 [map-6/018]</x:v>
      </x:c>
      <x:c r="M120" s="35"/>
      <x:c r="N120" s="35"/>
      <x:c r="O120" s="35"/>
      <x:c r="P120" s="35"/>
      <x:c r="Q120" s="35"/>
      <x:c r="R120" s="35"/>
      <x:c r="S120" s="35"/>
      <x:c r="T120" s="35"/>
      <x:c r="U120" s="35"/>
      <x:c r="V120" s="35"/>
      <x:c r="W120" s="35"/>
      <x:c r="X120" s="35"/>
      <x:c r="Y120" s="35"/>
      <x:c r="Z120" s="35"/>
      <x:c r="AA120" s="35"/>
    </x:row>
    <x:row r="121">
      <x:c r="A121" s="136" t="str">
        <x:v>Antietam | Conquest | Waterways</x:v>
      </x:c>
      <x:c r="B121" s="136" t="str">
        <x:v>Gun | 3-inch Ordnance · Entity-1745 [map-6/019]</x:v>
      </x:c>
      <x:c r="C121" s="136" t="str">
        <x:v>gun_spawn</x:v>
      </x:c>
      <x:c r="D121" s="136" t="str"/>
      <x:c r="E121" s="136" t="str">
        <x:v>3-inch Ordnance · Entity-1745</x:v>
      </x:c>
      <x:c r="F121" s="137" t="n">
        <x:v>2910.719482421875</x:v>
      </x:c>
      <x:c r="G121" s="137" t="n">
        <x:v>1700.042236328125</x:v>
      </x:c>
      <x:c r="H121" s="137" t="n">
        <x:v>31.442230224609375</x:v>
      </x:c>
      <x:c r="I121" s="137" t="n">
        <x:v>535.0662880950006</x:v>
      </x:c>
      <x:c r="J121" s="137" t="n">
        <x:v>588.2295090134248</x:v>
      </x:c>
      <x:c r="K121" s="136" t="str">
        <x:v>map-6</x:v>
      </x:c>
      <x:c r="L121" s="136" t="str">
        <x:v>Antietam | Conquest | Waterways||Gun | 3-inch Ordnance · Entity-1745 [map-6/019]</x:v>
      </x:c>
      <x:c r="M121" s="35"/>
      <x:c r="N121" s="35"/>
      <x:c r="O121" s="35"/>
      <x:c r="P121" s="35"/>
      <x:c r="Q121" s="35"/>
      <x:c r="R121" s="35"/>
      <x:c r="S121" s="35"/>
      <x:c r="T121" s="35"/>
      <x:c r="U121" s="35"/>
      <x:c r="V121" s="35"/>
      <x:c r="W121" s="35"/>
      <x:c r="X121" s="35"/>
      <x:c r="Y121" s="35"/>
      <x:c r="Z121" s="35"/>
      <x:c r="AA121" s="35"/>
    </x:row>
    <x:row r="122">
      <x:c r="A122" s="136" t="str">
        <x:v>Antietam | Conquest | Waterways</x:v>
      </x:c>
      <x:c r="B122" s="136" t="str">
        <x:v>Gun | 12-pounder Napoleon (USA) · Entity-1749 [map-6/020]</x:v>
      </x:c>
      <x:c r="C122" s="136" t="str">
        <x:v>gun_spawn</x:v>
      </x:c>
      <x:c r="D122" s="136" t="str"/>
      <x:c r="E122" s="136" t="str">
        <x:v>12-pounder Napoleon (USA) · Entity-1749</x:v>
      </x:c>
      <x:c r="F122" s="137" t="n">
        <x:v>2880.50732421875</x:v>
      </x:c>
      <x:c r="G122" s="137" t="n">
        <x:v>1717.190185546875</x:v>
      </x:c>
      <x:c r="H122" s="137" t="n">
        <x:v>32.96956253051758</x:v>
      </x:c>
      <x:c r="I122" s="137" t="n">
        <x:v>480.3624859196305</x:v>
      </x:c>
      <x:c r="J122" s="137" t="n">
        <x:v>611.6212603002232</x:v>
      </x:c>
      <x:c r="K122" s="136" t="str">
        <x:v>map-6</x:v>
      </x:c>
      <x:c r="L122" s="136" t="str">
        <x:v>Antietam | Conquest | Waterways||Gun | 12-pounder Napoleon (USA) · Entity-1749 [map-6/020]</x:v>
      </x:c>
      <x:c r="M122" s="35"/>
      <x:c r="N122" s="35"/>
      <x:c r="O122" s="35"/>
      <x:c r="P122" s="35"/>
      <x:c r="Q122" s="35"/>
      <x:c r="R122" s="35"/>
      <x:c r="S122" s="35"/>
      <x:c r="T122" s="35"/>
      <x:c r="U122" s="35"/>
      <x:c r="V122" s="35"/>
      <x:c r="W122" s="35"/>
      <x:c r="X122" s="35"/>
      <x:c r="Y122" s="35"/>
      <x:c r="Z122" s="35"/>
      <x:c r="AA122" s="35"/>
    </x:row>
    <x:row r="123">
      <x:c r="A123" s="136" t="str">
        <x:v>Antietam | Conquest | Waterways</x:v>
      </x:c>
      <x:c r="B123" s="136" t="str">
        <x:v>Gun | 3-inch Ordnance · Entity-1733 [map-6/021]</x:v>
      </x:c>
      <x:c r="C123" s="136" t="str">
        <x:v>gun_spawn</x:v>
      </x:c>
      <x:c r="D123" s="136" t="str"/>
      <x:c r="E123" s="136" t="str">
        <x:v>3-inch Ordnance · Entity-1733</x:v>
      </x:c>
      <x:c r="F123" s="137" t="n">
        <x:v>3071.750732421875</x:v>
      </x:c>
      <x:c r="G123" s="137" t="n">
        <x:v>895.4019775390625</x:v>
      </x:c>
      <x:c r="H123" s="137" t="n">
        <x:v>24.520322799682617</x:v>
      </x:c>
      <x:c r="I123" s="137" t="n">
        <x:v>1798.2706211596098</x:v>
      </x:c>
      <x:c r="J123" s="137" t="n">
        <x:v>1202.4815438230646</x:v>
      </x:c>
      <x:c r="K123" s="136" t="str">
        <x:v>map-6</x:v>
      </x:c>
      <x:c r="L123" s="136" t="str">
        <x:v>Antietam | Conquest | Waterways||Gun | 3-inch Ordnance · Entity-1733 [map-6/021]</x:v>
      </x:c>
      <x:c r="M123" s="35"/>
      <x:c r="N123" s="35"/>
      <x:c r="O123" s="35"/>
      <x:c r="P123" s="35"/>
      <x:c r="Q123" s="35"/>
      <x:c r="R123" s="35"/>
      <x:c r="S123" s="35"/>
      <x:c r="T123" s="35"/>
      <x:c r="U123" s="35"/>
      <x:c r="V123" s="35"/>
      <x:c r="W123" s="35"/>
      <x:c r="X123" s="35"/>
      <x:c r="Y123" s="35"/>
      <x:c r="Z123" s="35"/>
      <x:c r="AA123" s="35"/>
    </x:row>
    <x:row r="124">
      <x:c r="A124" s="136" t="str">
        <x:v>Antietam | Conquest | Waterways</x:v>
      </x:c>
      <x:c r="B124" s="136" t="str">
        <x:v>Gun | 3-inch Ordnance · Entity-1744 [map-6/022]</x:v>
      </x:c>
      <x:c r="C124" s="136" t="str">
        <x:v>gun_spawn</x:v>
      </x:c>
      <x:c r="D124" s="136" t="str"/>
      <x:c r="E124" s="136" t="str">
        <x:v>3-inch Ordnance · Entity-1744</x:v>
      </x:c>
      <x:c r="F124" s="137" t="n">
        <x:v>2918.33447265625</x:v>
      </x:c>
      <x:c r="G124" s="137" t="n">
        <x:v>1695.5966796875</x:v>
      </x:c>
      <x:c r="H124" s="137" t="n">
        <x:v>31.262645721435547</x:v>
      </x:c>
      <x:c r="I124" s="137" t="n">
        <x:v>549.0225245904188</x:v>
      </x:c>
      <x:c r="J124" s="137" t="n">
        <x:v>582.461457776747</x:v>
      </x:c>
      <x:c r="K124" s="136" t="str">
        <x:v>map-6</x:v>
      </x:c>
      <x:c r="L124" s="136" t="str">
        <x:v>Antietam | Conquest | Waterways||Gun | 3-inch Ordnance · Entity-1744 [map-6/022]</x:v>
      </x:c>
      <x:c r="M124" s="35"/>
      <x:c r="N124" s="35"/>
      <x:c r="O124" s="35"/>
      <x:c r="P124" s="35"/>
      <x:c r="Q124" s="35"/>
      <x:c r="R124" s="35"/>
      <x:c r="S124" s="35"/>
      <x:c r="T124" s="35"/>
      <x:c r="U124" s="35"/>
      <x:c r="V124" s="35"/>
      <x:c r="W124" s="35"/>
      <x:c r="X124" s="35"/>
      <x:c r="Y124" s="35"/>
      <x:c r="Z124" s="35"/>
      <x:c r="AA124" s="35"/>
    </x:row>
    <x:row r="125">
      <x:c r="A125" s="136" t="str">
        <x:v>Antietam | Conquest | Waterways</x:v>
      </x:c>
      <x:c r="B125" s="136" t="str">
        <x:v>Gun | 12-pounder Napoleon (USA) · Entity-1747 [map-6/023]</x:v>
      </x:c>
      <x:c r="C125" s="136" t="str">
        <x:v>gun_spawn</x:v>
      </x:c>
      <x:c r="D125" s="136" t="str"/>
      <x:c r="E125" s="136" t="str">
        <x:v>12-pounder Napoleon (USA) · Entity-1747</x:v>
      </x:c>
      <x:c r="F125" s="137" t="n">
        <x:v>2897.130859375</x:v>
      </x:c>
      <x:c r="G125" s="137" t="n">
        <x:v>1707.638916015625</x:v>
      </x:c>
      <x:c r="H125" s="137" t="n">
        <x:v>32.01325988769531</x:v>
      </x:c>
      <x:c r="I125" s="137" t="n">
        <x:v>510.62001524024805</x:v>
      </x:c>
      <x:c r="J125" s="137" t="n">
        <x:v>598.8706838591802</x:v>
      </x:c>
      <x:c r="K125" s="136" t="str">
        <x:v>map-6</x:v>
      </x:c>
      <x:c r="L125" s="136" t="str">
        <x:v>Antietam | Conquest | Waterways||Gun | 12-pounder Napoleon (USA) · Entity-1747 [map-6/023]</x:v>
      </x:c>
      <x:c r="M125" s="35"/>
      <x:c r="N125" s="35"/>
      <x:c r="O125" s="35"/>
      <x:c r="P125" s="35"/>
      <x:c r="Q125" s="35"/>
      <x:c r="R125" s="35"/>
      <x:c r="S125" s="35"/>
      <x:c r="T125" s="35"/>
      <x:c r="U125" s="35"/>
      <x:c r="V125" s="35"/>
      <x:c r="W125" s="35"/>
      <x:c r="X125" s="35"/>
      <x:c r="Y125" s="35"/>
      <x:c r="Z125" s="35"/>
      <x:c r="AA125" s="35"/>
    </x:row>
    <x:row r="126">
      <x:c r="A126" s="136" t="str">
        <x:v>Antietam | Conquest | Waterways</x:v>
      </x:c>
      <x:c r="B126" s="136" t="str">
        <x:v>Gun | 12-pounder Napoleon (CSA) · Entity-1737 [map-6/024]</x:v>
      </x:c>
      <x:c r="C126" s="136" t="str">
        <x:v>gun_spawn</x:v>
      </x:c>
      <x:c r="D126" s="136" t="str"/>
      <x:c r="E126" s="136" t="str">
        <x:v>12-pounder Napoleon (CSA) · Entity-1737</x:v>
      </x:c>
      <x:c r="F126" s="137" t="n">
        <x:v>3104.068115234375</x:v>
      </x:c>
      <x:c r="G126" s="137" t="n">
        <x:v>892.0291137695312</x:v>
      </x:c>
      <x:c r="H126" s="137" t="n">
        <x:v>26.29365348815918</x:v>
      </x:c>
      <x:c r="I126" s="137" t="n">
        <x:v>1836.3930055158894</x:v>
      </x:c>
      <x:c r="J126" s="137" t="n">
        <x:v>1161.9506680604031</x:v>
      </x:c>
      <x:c r="K126" s="136" t="str">
        <x:v>map-6</x:v>
      </x:c>
      <x:c r="L126" s="136" t="str">
        <x:v>Antietam | Conquest | Waterways||Gun | 12-pounder Napoleon (CSA) · Entity-1737 [map-6/024]</x:v>
      </x:c>
      <x:c r="M126" s="35"/>
      <x:c r="N126" s="35"/>
      <x:c r="O126" s="35"/>
      <x:c r="P126" s="35"/>
      <x:c r="Q126" s="35"/>
      <x:c r="R126" s="35"/>
      <x:c r="S126" s="35"/>
      <x:c r="T126" s="35"/>
      <x:c r="U126" s="35"/>
      <x:c r="V126" s="35"/>
      <x:c r="W126" s="35"/>
      <x:c r="X126" s="35"/>
      <x:c r="Y126" s="35"/>
      <x:c r="Z126" s="35"/>
      <x:c r="AA126" s="35"/>
    </x:row>
    <x:row r="127">
      <x:c r="A127" s="136" t="str">
        <x:v>Antietam | Contention | Smokestacks</x:v>
      </x:c>
      <x:c r="B127" s="136" t="str">
        <x:v>Spawn | USA CQ1_Spawnpoint_USA_Infantry_1 [map-7/001]</x:v>
      </x:c>
      <x:c r="C127" s="136" t="str">
        <x:v>spawn</x:v>
      </x:c>
      <x:c r="D127" s="136" t="str">
        <x:v>USA</x:v>
      </x:c>
      <x:c r="E127" s="136" t="str">
        <x:v>CQ1_Spawnpoint_USA_Infantry_1</x:v>
      </x:c>
      <x:c r="F127" s="137" t="n">
        <x:v>1528.3228759765625</x:v>
      </x:c>
      <x:c r="G127" s="137" t="n">
        <x:v>2374.1455078125</x:v>
      </x:c>
      <x:c r="H127" s="137" t="n">
        <x:v>60.9242057800293</x:v>
      </x:c>
      <x:c r="I127" s="137" t="n">
        <x:v>1150.95803660246</x:v>
      </x:c>
      <x:c r="J127" s="137" t="n">
        <x:v>824.8726645348191</x:v>
      </x:c>
      <x:c r="K127" s="136" t="str">
        <x:v>map-7</x:v>
      </x:c>
      <x:c r="L127" s="136" t="str">
        <x:v>Antietam | Contention | Smokestacks||Spawn | USA CQ1_Spawnpoint_USA_Infantry_1 [map-7/001]</x:v>
      </x:c>
      <x:c r="M127" s="35"/>
      <x:c r="N127" s="35"/>
      <x:c r="O127" s="35"/>
      <x:c r="P127" s="35"/>
      <x:c r="Q127" s="35"/>
      <x:c r="R127" s="35"/>
      <x:c r="S127" s="35"/>
      <x:c r="T127" s="35"/>
      <x:c r="U127" s="35"/>
      <x:c r="V127" s="35"/>
      <x:c r="W127" s="35"/>
      <x:c r="X127" s="35"/>
      <x:c r="Y127" s="35"/>
      <x:c r="Z127" s="35"/>
      <x:c r="AA127" s="35"/>
    </x:row>
    <x:row r="128">
      <x:c r="A128" s="136" t="str">
        <x:v>Antietam | Contention | Smokestacks</x:v>
      </x:c>
      <x:c r="B128" s="136" t="str">
        <x:v>Artillery | USA CQ1_Spawnpoint_USA_Artillery_Forward [map-7/002]</x:v>
      </x:c>
      <x:c r="C128" s="136" t="str">
        <x:v>battery</x:v>
      </x:c>
      <x:c r="D128" s="136" t="str">
        <x:v>USA</x:v>
      </x:c>
      <x:c r="E128" s="136" t="str">
        <x:v>CQ1_Spawnpoint_USA_Artillery_Forward</x:v>
      </x:c>
      <x:c r="F128" s="137" t="n">
        <x:v>1286.4127197265625</x:v>
      </x:c>
      <x:c r="G128" s="137" t="n">
        <x:v>1925.4268798828125</x:v>
      </x:c>
      <x:c r="H128" s="137" t="n">
        <x:v>61.41531753540039</x:v>
      </x:c>
      <x:c r="I128" s="137" t="n">
        <x:v>1450.6985543444443</x:v>
      </x:c>
      <x:c r="J128" s="137" t="n">
        <x:v>1485.5765871942217</x:v>
      </x:c>
      <x:c r="K128" s="136" t="str">
        <x:v>map-7</x:v>
      </x:c>
      <x:c r="L128" s="136" t="str">
        <x:v>Antietam | Contention | Smokestacks||Artillery | USA CQ1_Spawnpoint_USA_Artillery_Forward [map-7/002]</x:v>
      </x:c>
      <x:c r="M128" s="35"/>
      <x:c r="N128" s="35"/>
      <x:c r="O128" s="35"/>
      <x:c r="P128" s="35"/>
      <x:c r="Q128" s="35"/>
      <x:c r="R128" s="35"/>
      <x:c r="S128" s="35"/>
      <x:c r="T128" s="35"/>
      <x:c r="U128" s="35"/>
      <x:c r="V128" s="35"/>
      <x:c r="W128" s="35"/>
      <x:c r="X128" s="35"/>
      <x:c r="Y128" s="35"/>
      <x:c r="Z128" s="35"/>
      <x:c r="AA128" s="35"/>
    </x:row>
    <x:row r="129">
      <x:c r="A129" s="136" t="str">
        <x:v>Antietam | Contention | Smokestacks</x:v>
      </x:c>
      <x:c r="B129" s="136" t="str">
        <x:v>Artillery | CSA CQ1_Spawnpoint_CSA_Artillery_Forward [map-7/003]</x:v>
      </x:c>
      <x:c r="C129" s="136" t="str">
        <x:v>battery</x:v>
      </x:c>
      <x:c r="D129" s="136" t="str">
        <x:v>CSA</x:v>
      </x:c>
      <x:c r="E129" s="136" t="str">
        <x:v>CQ1_Spawnpoint_CSA_Artillery_Forward</x:v>
      </x:c>
      <x:c r="F129" s="137" t="n">
        <x:v>1017.8574829101562</x:v>
      </x:c>
      <x:c r="G129" s="137" t="n">
        <x:v>2291.580810546875</x:v>
      </x:c>
      <x:c r="H129" s="137" t="n">
        <x:v>63.15972900390625</x:v>
      </x:c>
      <x:c r="I129" s="137" t="n">
        <x:v>804.7355468160304</x:v>
      </x:c>
      <x:c r="J129" s="137" t="n">
        <x:v>1474.5437008242388</x:v>
      </x:c>
      <x:c r="K129" s="136" t="str">
        <x:v>map-7</x:v>
      </x:c>
      <x:c r="L129" s="136" t="str">
        <x:v>Antietam | Contention | Smokestacks||Artillery | CSA CQ1_Spawnpoint_CSA_Artillery_Forward [map-7/003]</x:v>
      </x:c>
      <x:c r="M129" s="35"/>
      <x:c r="N129" s="35"/>
      <x:c r="O129" s="35"/>
      <x:c r="P129" s="35"/>
      <x:c r="Q129" s="35"/>
      <x:c r="R129" s="35"/>
      <x:c r="S129" s="35"/>
      <x:c r="T129" s="35"/>
      <x:c r="U129" s="35"/>
      <x:c r="V129" s="35"/>
      <x:c r="W129" s="35"/>
      <x:c r="X129" s="35"/>
      <x:c r="Y129" s="35"/>
      <x:c r="Z129" s="35"/>
      <x:c r="AA129" s="35"/>
    </x:row>
    <x:row r="130">
      <x:c r="A130" s="136" t="str">
        <x:v>Antietam | Contention | Smokestacks</x:v>
      </x:c>
      <x:c r="B130" s="136" t="str">
        <x:v>Spawn | USA CQ1_Spawnpoint_USA_Cavalry_0 [map-7/004]</x:v>
      </x:c>
      <x:c r="C130" s="136" t="str">
        <x:v>spawn</x:v>
      </x:c>
      <x:c r="D130" s="136" t="str">
        <x:v>USA</x:v>
      </x:c>
      <x:c r="E130" s="136" t="str">
        <x:v>CQ1_Spawnpoint_USA_Cavalry_0</x:v>
      </x:c>
      <x:c r="F130" s="137" t="n">
        <x:v>1659.078857421875</x:v>
      </x:c>
      <x:c r="G130" s="137" t="n">
        <x:v>2152.5048828125</x:v>
      </x:c>
      <x:c r="H130" s="137" t="n">
        <x:v>51.36182403564453</x:v>
      </x:c>
      <x:c r="I130" s="137" t="n">
        <x:v>1514.5749799015227</x:v>
      </x:c>
      <x:c r="J130" s="137" t="n">
        <x:v>867.5993962566807</x:v>
      </x:c>
      <x:c r="K130" s="136" t="str">
        <x:v>map-7</x:v>
      </x:c>
      <x:c r="L130" s="136" t="str">
        <x:v>Antietam | Contention | Smokestacks||Spawn | USA CQ1_Spawnpoint_USA_Cavalry_0 [map-7/004]</x:v>
      </x:c>
      <x:c r="M130" s="35"/>
      <x:c r="N130" s="35"/>
      <x:c r="O130" s="35"/>
      <x:c r="P130" s="35"/>
      <x:c r="Q130" s="35"/>
      <x:c r="R130" s="35"/>
      <x:c r="S130" s="35"/>
      <x:c r="T130" s="35"/>
      <x:c r="U130" s="35"/>
      <x:c r="V130" s="35"/>
      <x:c r="W130" s="35"/>
      <x:c r="X130" s="35"/>
      <x:c r="Y130" s="35"/>
      <x:c r="Z130" s="35"/>
      <x:c r="AA130" s="35"/>
    </x:row>
    <x:row r="131">
      <x:c r="A131" s="136" t="str">
        <x:v>Antietam | Contention | Smokestacks</x:v>
      </x:c>
      <x:c r="B131" s="136" t="str">
        <x:v>Spawn | USA CQ1_Spawnpoint_USA_Infantry_2 [map-7/005]</x:v>
      </x:c>
      <x:c r="C131" s="136" t="str">
        <x:v>spawn</x:v>
      </x:c>
      <x:c r="D131" s="136" t="str">
        <x:v>USA</x:v>
      </x:c>
      <x:c r="E131" s="136" t="str">
        <x:v>CQ1_Spawnpoint_USA_Infantry_2</x:v>
      </x:c>
      <x:c r="F131" s="137" t="n">
        <x:v>1533.16796875</x:v>
      </x:c>
      <x:c r="G131" s="137" t="n">
        <x:v>2364.78076171875</x:v>
      </x:c>
      <x:c r="H131" s="137" t="n">
        <x:v>60.98234939575195</x:v>
      </x:c>
      <x:c r="I131" s="137" t="n">
        <x:v>1165.7361454004515</x:v>
      </x:c>
      <x:c r="J131" s="137" t="n">
        <x:v>827.4481953400034</x:v>
      </x:c>
      <x:c r="K131" s="136" t="str">
        <x:v>map-7</x:v>
      </x:c>
      <x:c r="L131" s="136" t="str">
        <x:v>Antietam | Contention | Smokestacks||Spawn | USA CQ1_Spawnpoint_USA_Infantry_2 [map-7/005]</x:v>
      </x:c>
      <x:c r="M131" s="35"/>
      <x:c r="N131" s="35"/>
      <x:c r="O131" s="35"/>
      <x:c r="P131" s="35"/>
      <x:c r="Q131" s="35"/>
      <x:c r="R131" s="35"/>
      <x:c r="S131" s="35"/>
      <x:c r="T131" s="35"/>
      <x:c r="U131" s="35"/>
      <x:c r="V131" s="35"/>
      <x:c r="W131" s="35"/>
      <x:c r="X131" s="35"/>
      <x:c r="Y131" s="35"/>
      <x:c r="Z131" s="35"/>
      <x:c r="AA131" s="35"/>
    </x:row>
    <x:row r="132">
      <x:c r="A132" s="136" t="str">
        <x:v>Antietam | Contention | Smokestacks</x:v>
      </x:c>
      <x:c r="B132" s="136" t="str">
        <x:v>Spawn | CSA CQ1_Spawnpoint_CSA_Infantry_1 [map-7/006]</x:v>
      </x:c>
      <x:c r="C132" s="136" t="str">
        <x:v>spawn</x:v>
      </x:c>
      <x:c r="D132" s="136" t="str">
        <x:v>CSA</x:v>
      </x:c>
      <x:c r="E132" s="136" t="str">
        <x:v>CQ1_Spawnpoint_CSA_Infantry_1</x:v>
      </x:c>
      <x:c r="F132" s="137" t="n">
        <x:v>1277.200927734375</x:v>
      </x:c>
      <x:c r="G132" s="137" t="n">
        <x:v>2604.766845703125</x:v>
      </x:c>
      <x:c r="H132" s="137" t="n">
        <x:v>64.19061279296875</x:v>
      </x:c>
      <x:c r="I132" s="137" t="n">
        <x:v>673.4875416197598</x:v>
      </x:c>
      <x:c r="J132" s="137" t="n">
        <x:v>910.8298249449618</x:v>
      </x:c>
      <x:c r="K132" s="136" t="str">
        <x:v>map-7</x:v>
      </x:c>
      <x:c r="L132" s="136" t="str">
        <x:v>Antietam | Contention | Smokestacks||Spawn | CSA CQ1_Spawnpoint_CSA_Infantry_1 [map-7/006]</x:v>
      </x:c>
      <x:c r="M132" s="35"/>
      <x:c r="N132" s="35"/>
      <x:c r="O132" s="35"/>
      <x:c r="P132" s="35"/>
      <x:c r="Q132" s="35"/>
      <x:c r="R132" s="35"/>
      <x:c r="S132" s="35"/>
      <x:c r="T132" s="35"/>
      <x:c r="U132" s="35"/>
      <x:c r="V132" s="35"/>
      <x:c r="W132" s="35"/>
      <x:c r="X132" s="35"/>
      <x:c r="Y132" s="35"/>
      <x:c r="Z132" s="35"/>
      <x:c r="AA132" s="35"/>
    </x:row>
    <x:row r="133">
      <x:c r="A133" s="136" t="str">
        <x:v>Antietam | Contention | Smokestacks</x:v>
      </x:c>
      <x:c r="B133" s="136" t="str">
        <x:v>Spawn | USA CQ1_Spawnpoint_USA_Infantry_0 [map-7/007]</x:v>
      </x:c>
      <x:c r="C133" s="136" t="str">
        <x:v>spawn</x:v>
      </x:c>
      <x:c r="D133" s="136" t="str">
        <x:v>USA</x:v>
      </x:c>
      <x:c r="E133" s="136" t="str">
        <x:v>CQ1_Spawnpoint_USA_Infantry_0</x:v>
      </x:c>
      <x:c r="F133" s="137" t="n">
        <x:v>1554.003662109375</x:v>
      </x:c>
      <x:c r="G133" s="137" t="n">
        <x:v>2377.672119140625</x:v>
      </x:c>
      <x:c r="H133" s="137" t="n">
        <x:v>60.68226623535156</x:v>
      </x:c>
      <x:c r="I133" s="137" t="n">
        <x:v>1169.0861174830177</x:v>
      </x:c>
      <x:c r="J133" s="137" t="n">
        <x:v>792.7288291110548</x:v>
      </x:c>
      <x:c r="K133" s="136" t="str">
        <x:v>map-7</x:v>
      </x:c>
      <x:c r="L133" s="136" t="str">
        <x:v>Antietam | Contention | Smokestacks||Spawn | USA CQ1_Spawnpoint_USA_Infantry_0 [map-7/007]</x:v>
      </x:c>
      <x:c r="M133" s="35"/>
      <x:c r="N133" s="35"/>
      <x:c r="O133" s="35"/>
      <x:c r="P133" s="35"/>
      <x:c r="Q133" s="35"/>
      <x:c r="R133" s="35"/>
      <x:c r="S133" s="35"/>
      <x:c r="T133" s="35"/>
      <x:c r="U133" s="35"/>
      <x:c r="V133" s="35"/>
      <x:c r="W133" s="35"/>
      <x:c r="X133" s="35"/>
      <x:c r="Y133" s="35"/>
      <x:c r="Z133" s="35"/>
      <x:c r="AA133" s="35"/>
    </x:row>
    <x:row r="134">
      <x:c r="A134" s="136" t="str">
        <x:v>Antietam | Contention | Smokestacks</x:v>
      </x:c>
      <x:c r="B134" s="136" t="str">
        <x:v>Artillery | USA CQ1_Spawnpoint_USA_Artillery_Staging [map-7/008]</x:v>
      </x:c>
      <x:c r="C134" s="136" t="str">
        <x:v>battery</x:v>
      </x:c>
      <x:c r="D134" s="136" t="str">
        <x:v>USA</x:v>
      </x:c>
      <x:c r="E134" s="136" t="str">
        <x:v>CQ1_Spawnpoint_USA_Artillery_Staging</x:v>
      </x:c>
      <x:c r="F134" s="137" t="n">
        <x:v>1523.5146484375</x:v>
      </x:c>
      <x:c r="G134" s="137" t="n">
        <x:v>2349.201171875</x:v>
      </x:c>
      <x:c r="H134" s="137" t="n">
        <x:v>60.70691680908203</x:v>
      </x:c>
      <x:c r="I134" s="137" t="n">
        <x:v>1175.0628512087703</x:v>
      </x:c>
      <x:c r="J134" s="137" t="n">
        <x:v>851.8093837909151</x:v>
      </x:c>
      <x:c r="K134" s="136" t="str">
        <x:v>map-7</x:v>
      </x:c>
      <x:c r="L134" s="136" t="str">
        <x:v>Antietam | Contention | Smokestacks||Artillery | USA CQ1_Spawnpoint_USA_Artillery_Staging [map-7/008]</x:v>
      </x:c>
      <x:c r="M134" s="35"/>
      <x:c r="N134" s="35"/>
      <x:c r="O134" s="35"/>
      <x:c r="P134" s="35"/>
      <x:c r="Q134" s="35"/>
      <x:c r="R134" s="35"/>
      <x:c r="S134" s="35"/>
      <x:c r="T134" s="35"/>
      <x:c r="U134" s="35"/>
      <x:c r="V134" s="35"/>
      <x:c r="W134" s="35"/>
      <x:c r="X134" s="35"/>
      <x:c r="Y134" s="35"/>
      <x:c r="Z134" s="35"/>
      <x:c r="AA134" s="35"/>
    </x:row>
    <x:row r="135">
      <x:c r="A135" s="136" t="str">
        <x:v>Antietam | Contention | Smokestacks</x:v>
      </x:c>
      <x:c r="B135" s="136" t="str">
        <x:v>Objective | Victory_Conquest_1 [map-7/009]</x:v>
      </x:c>
      <x:c r="C135" s="136" t="str">
        <x:v>objective</x:v>
      </x:c>
      <x:c r="D135" s="136" t="str"/>
      <x:c r="E135" s="136" t="str">
        <x:v>Victory_Conquest_1</x:v>
      </x:c>
      <x:c r="F135" s="137" t="n">
        <x:v>1076.52001953125</x:v>
      </x:c>
      <x:c r="G135" s="137" t="n">
        <x:v>2162.361328125</x:v>
      </x:c>
      <x:c r="H135" s="137" t="n">
        <x:v>60.24380874633789</x:v>
      </x:c>
      <x:c r="I135" s="137" t="n">
        <x:v>1001.5942749770053</x:v>
      </x:c>
      <x:c r="J135" s="137" t="n">
        <x:v>1519.3673491665538</x:v>
      </x:c>
      <x:c r="K135" s="136" t="str">
        <x:v>map-7</x:v>
      </x:c>
      <x:c r="L135" s="136" t="str">
        <x:v>Antietam | Contention | Smokestacks||Objective | Victory_Conquest_1 [map-7/009]</x:v>
      </x:c>
      <x:c r="M135" s="35"/>
      <x:c r="N135" s="35"/>
      <x:c r="O135" s="35"/>
      <x:c r="P135" s="35"/>
      <x:c r="Q135" s="35"/>
      <x:c r="R135" s="35"/>
      <x:c r="S135" s="35"/>
      <x:c r="T135" s="35"/>
      <x:c r="U135" s="35"/>
      <x:c r="V135" s="35"/>
      <x:c r="W135" s="35"/>
      <x:c r="X135" s="35"/>
      <x:c r="Y135" s="35"/>
      <x:c r="Z135" s="35"/>
      <x:c r="AA135" s="35"/>
    </x:row>
    <x:row r="136">
      <x:c r="A136" s="136" t="str">
        <x:v>Antietam | Contention | Smokestacks</x:v>
      </x:c>
      <x:c r="B136" s="136" t="str">
        <x:v>Spawn | CSA CQ1_Spawnpoint_CSA_Infantry_2 [map-7/010]</x:v>
      </x:c>
      <x:c r="C136" s="136" t="str">
        <x:v>spawn</x:v>
      </x:c>
      <x:c r="D136" s="136" t="str">
        <x:v>CSA</x:v>
      </x:c>
      <x:c r="E136" s="136" t="str">
        <x:v>CQ1_Spawnpoint_CSA_Infantry_2</x:v>
      </x:c>
      <x:c r="F136" s="137" t="n">
        <x:v>1249.4161376953125</x:v>
      </x:c>
      <x:c r="G136" s="137" t="n">
        <x:v>2567.864501953125</x:v>
      </x:c>
      <x:c r="H136" s="137" t="n">
        <x:v>61.365135192871094</x:v>
      </x:c>
      <x:c r="I136" s="137" t="n">
        <x:v>691.3413144641459</x:v>
      </x:c>
      <x:c r="J136" s="137" t="n">
        <x:v>974.1083281667958</x:v>
      </x:c>
      <x:c r="K136" s="136" t="str">
        <x:v>map-7</x:v>
      </x:c>
      <x:c r="L136" s="136" t="str">
        <x:v>Antietam | Contention | Smokestacks||Spawn | CSA CQ1_Spawnpoint_CSA_Infantry_2 [map-7/010]</x:v>
      </x:c>
      <x:c r="M136" s="35"/>
      <x:c r="N136" s="35"/>
      <x:c r="O136" s="35"/>
      <x:c r="P136" s="35"/>
      <x:c r="Q136" s="35"/>
      <x:c r="R136" s="35"/>
      <x:c r="S136" s="35"/>
      <x:c r="T136" s="35"/>
      <x:c r="U136" s="35"/>
      <x:c r="V136" s="35"/>
      <x:c r="W136" s="35"/>
      <x:c r="X136" s="35"/>
      <x:c r="Y136" s="35"/>
      <x:c r="Z136" s="35"/>
      <x:c r="AA136" s="35"/>
    </x:row>
    <x:row r="137">
      <x:c r="A137" s="136" t="str">
        <x:v>Antietam | Contention | Smokestacks</x:v>
      </x:c>
      <x:c r="B137" s="136" t="str">
        <x:v>Spawn | CSA CQ1_Spawnpoint_CSA_Cavalry_0 [map-7/011]</x:v>
      </x:c>
      <x:c r="C137" s="136" t="str">
        <x:v>spawn</x:v>
      </x:c>
      <x:c r="D137" s="136" t="str">
        <x:v>CSA</x:v>
      </x:c>
      <x:c r="E137" s="136" t="str">
        <x:v>CQ1_Spawnpoint_CSA_Cavalry_0</x:v>
      </x:c>
      <x:c r="F137" s="137" t="n">
        <x:v>1132.9976806640625</x:v>
      </x:c>
      <x:c r="G137" s="137" t="n">
        <x:v>2689.689453125</x:v>
      </x:c>
      <x:c r="H137" s="137" t="n">
        <x:v>59.3381233215332</x:v>
      </x:c>
      <x:c r="I137" s="137" t="n">
        <x:v>453.1047913333722</x:v>
      </x:c>
      <x:c r="J137" s="137" t="n">
        <x:v>1001.1135580750455</x:v>
      </x:c>
      <x:c r="K137" s="136" t="str">
        <x:v>map-7</x:v>
      </x:c>
      <x:c r="L137" s="136" t="str">
        <x:v>Antietam | Contention | Smokestacks||Spawn | CSA CQ1_Spawnpoint_CSA_Cavalry_0 [map-7/011]</x:v>
      </x:c>
      <x:c r="M137" s="35"/>
      <x:c r="N137" s="35"/>
      <x:c r="O137" s="35"/>
      <x:c r="P137" s="35"/>
      <x:c r="Q137" s="35"/>
      <x:c r="R137" s="35"/>
      <x:c r="S137" s="35"/>
      <x:c r="T137" s="35"/>
      <x:c r="U137" s="35"/>
      <x:c r="V137" s="35"/>
      <x:c r="W137" s="35"/>
      <x:c r="X137" s="35"/>
      <x:c r="Y137" s="35"/>
      <x:c r="Z137" s="35"/>
      <x:c r="AA137" s="35"/>
    </x:row>
    <x:row r="138">
      <x:c r="A138" s="136" t="str">
        <x:v>Antietam | Contention | Smokestacks</x:v>
      </x:c>
      <x:c r="B138" s="136" t="str">
        <x:v>Spawn | CSA CQ1_Spawnpoint_CSA_Infantry_0 [map-7/012]</x:v>
      </x:c>
      <x:c r="C138" s="136" t="str">
        <x:v>spawn</x:v>
      </x:c>
      <x:c r="D138" s="136" t="str">
        <x:v>CSA</x:v>
      </x:c>
      <x:c r="E138" s="136" t="str">
        <x:v>CQ1_Spawnpoint_CSA_Infantry_0</x:v>
      </x:c>
      <x:c r="F138" s="137" t="n">
        <x:v>1295.4146728515625</x:v>
      </x:c>
      <x:c r="G138" s="137" t="n">
        <x:v>2623.69140625</x:v>
      </x:c>
      <x:c r="H138" s="137" t="n">
        <x:v>63.075408935546875</x:v>
      </x:c>
      <x:c r="I138" s="137" t="n">
        <x:v>667.7470306720988</x:v>
      </x:c>
      <x:c r="J138" s="137" t="n">
        <x:v>873.8850781700557</x:v>
      </x:c>
      <x:c r="K138" s="136" t="str">
        <x:v>map-7</x:v>
      </x:c>
      <x:c r="L138" s="136" t="str">
        <x:v>Antietam | Contention | Smokestacks||Spawn | CSA CQ1_Spawnpoint_CSA_Infantry_0 [map-7/012]</x:v>
      </x:c>
      <x:c r="M138" s="35"/>
      <x:c r="N138" s="35"/>
      <x:c r="O138" s="35"/>
      <x:c r="P138" s="35"/>
      <x:c r="Q138" s="35"/>
      <x:c r="R138" s="35"/>
      <x:c r="S138" s="35"/>
      <x:c r="T138" s="35"/>
      <x:c r="U138" s="35"/>
      <x:c r="V138" s="35"/>
      <x:c r="W138" s="35"/>
      <x:c r="X138" s="35"/>
      <x:c r="Y138" s="35"/>
      <x:c r="Z138" s="35"/>
      <x:c r="AA138" s="35"/>
    </x:row>
    <x:row r="139">
      <x:c r="A139" s="136" t="str">
        <x:v>Antietam | Contention | Smokestacks</x:v>
      </x:c>
      <x:c r="B139" s="136" t="str">
        <x:v>Artillery | CSA CQ1_Spawnpoint_CSA_Artillery_Staging [map-7/013]</x:v>
      </x:c>
      <x:c r="C139" s="136" t="str">
        <x:v>battery</x:v>
      </x:c>
      <x:c r="D139" s="136" t="str">
        <x:v>CSA</x:v>
      </x:c>
      <x:c r="E139" s="136" t="str">
        <x:v>CQ1_Spawnpoint_CSA_Artillery_Staging</x:v>
      </x:c>
      <x:c r="F139" s="137" t="n">
        <x:v>1258.6995849609375</x:v>
      </x:c>
      <x:c r="G139" s="137" t="n">
        <x:v>2587.535888671875</x:v>
      </x:c>
      <x:c r="H139" s="137" t="n">
        <x:v>62.91508102416992</x:v>
      </x:c>
      <x:c r="I139" s="137" t="n">
        <x:v>677.0624993129692</x:v>
      </x:c>
      <x:c r="J139" s="137" t="n">
        <x:v>946.6416486750504</x:v>
      </x:c>
      <x:c r="K139" s="136" t="str">
        <x:v>map-7</x:v>
      </x:c>
      <x:c r="L139" s="136" t="str">
        <x:v>Antietam | Contention | Smokestacks||Artillery | CSA CQ1_Spawnpoint_CSA_Artillery_Staging [map-7/013]</x:v>
      </x:c>
      <x:c r="M139" s="35"/>
      <x:c r="N139" s="35"/>
      <x:c r="O139" s="35"/>
      <x:c r="P139" s="35"/>
      <x:c r="Q139" s="35"/>
      <x:c r="R139" s="35"/>
      <x:c r="S139" s="35"/>
      <x:c r="T139" s="35"/>
      <x:c r="U139" s="35"/>
      <x:c r="V139" s="35"/>
      <x:c r="W139" s="35"/>
      <x:c r="X139" s="35"/>
      <x:c r="Y139" s="35"/>
      <x:c r="Z139" s="35"/>
      <x:c r="AA139" s="35"/>
    </x:row>
    <x:row r="140">
      <x:c r="A140" s="136" t="str">
        <x:v>Antietam | Contention | Smokestacks</x:v>
      </x:c>
      <x:c r="B140" s="136" t="str">
        <x:v>Gun | 12-pounder Napoleon (CSA) · Entity-1617 [map-7/014]</x:v>
      </x:c>
      <x:c r="C140" s="136" t="str">
        <x:v>gun_spawn</x:v>
      </x:c>
      <x:c r="D140" s="136" t="str"/>
      <x:c r="E140" s="136" t="str">
        <x:v>12-pounder Napoleon (CSA) · Entity-1617</x:v>
      </x:c>
      <x:c r="F140" s="137" t="n">
        <x:v>1288.2528076171875</x:v>
      </x:c>
      <x:c r="G140" s="137" t="n">
        <x:v>1972.53271484375</x:v>
      </x:c>
      <x:c r="H140" s="137" t="n">
        <x:v>63.267364501953125</x:v>
      </x:c>
      <x:c r="I140" s="137" t="n">
        <x:v>1398.9415686786513</x:v>
      </x:c>
      <x:c r="J140" s="137" t="n">
        <x:v>1442.9138495843974</x:v>
      </x:c>
      <x:c r="K140" s="136" t="str">
        <x:v>map-7</x:v>
      </x:c>
      <x:c r="L140" s="136" t="str">
        <x:v>Antietam | Contention | Smokestacks||Gun | 12-pounder Napoleon (CSA) · Entity-1617 [map-7/014]</x:v>
      </x:c>
      <x:c r="M140" s="35"/>
      <x:c r="N140" s="35"/>
      <x:c r="O140" s="35"/>
      <x:c r="P140" s="35"/>
      <x:c r="Q140" s="35"/>
      <x:c r="R140" s="35"/>
      <x:c r="S140" s="35"/>
      <x:c r="T140" s="35"/>
      <x:c r="U140" s="35"/>
      <x:c r="V140" s="35"/>
      <x:c r="W140" s="35"/>
      <x:c r="X140" s="35"/>
      <x:c r="Y140" s="35"/>
      <x:c r="Z140" s="35"/>
      <x:c r="AA140" s="35"/>
    </x:row>
    <x:row r="141">
      <x:c r="A141" s="136" t="str">
        <x:v>Antietam | Contention | Smokestacks</x:v>
      </x:c>
      <x:c r="B141" s="136" t="str">
        <x:v>Gun | 3-inch Ordnance · Entity-1626 [map-7/015]</x:v>
      </x:c>
      <x:c r="C141" s="136" t="str">
        <x:v>gun_spawn</x:v>
      </x:c>
      <x:c r="D141" s="136" t="str"/>
      <x:c r="E141" s="136" t="str">
        <x:v>3-inch Ordnance · Entity-1626</x:v>
      </x:c>
      <x:c r="F141" s="137" t="n">
        <x:v>1250.5130615234375</x:v>
      </x:c>
      <x:c r="G141" s="137" t="n">
        <x:v>1958.68896484375</x:v>
      </x:c>
      <x:c r="H141" s="137" t="n">
        <x:v>62.40275955200195</x:v>
      </x:c>
      <x:c r="I141" s="137" t="n">
        <x:v>1382.108829684755</x:v>
      </x:c>
      <x:c r="J141" s="137" t="n">
        <x:v>1497.612263868855</x:v>
      </x:c>
      <x:c r="K141" s="136" t="str">
        <x:v>map-7</x:v>
      </x:c>
      <x:c r="L141" s="136" t="str">
        <x:v>Antietam | Contention | Smokestacks||Gun | 3-inch Ordnance · Entity-1626 [map-7/015]</x:v>
      </x:c>
      <x:c r="M141" s="35"/>
      <x:c r="N141" s="35"/>
      <x:c r="O141" s="35"/>
      <x:c r="P141" s="35"/>
      <x:c r="Q141" s="35"/>
      <x:c r="R141" s="35"/>
      <x:c r="S141" s="35"/>
      <x:c r="T141" s="35"/>
      <x:c r="U141" s="35"/>
      <x:c r="V141" s="35"/>
      <x:c r="W141" s="35"/>
      <x:c r="X141" s="35"/>
      <x:c r="Y141" s="35"/>
      <x:c r="Z141" s="35"/>
      <x:c r="AA141" s="35"/>
    </x:row>
    <x:row r="142">
      <x:c r="A142" s="136" t="str">
        <x:v>Antietam | Contention | Smokestacks</x:v>
      </x:c>
      <x:c r="B142" s="136" t="str">
        <x:v>Gun | 10-pounder Parrott · Entity-1606 [map-7/016]</x:v>
      </x:c>
      <x:c r="C142" s="136" t="str">
        <x:v>gun_spawn</x:v>
      </x:c>
      <x:c r="D142" s="136" t="str"/>
      <x:c r="E142" s="136" t="str">
        <x:v>10-pounder Parrott · Entity-1606</x:v>
      </x:c>
      <x:c r="F142" s="137" t="n">
        <x:v>1056.94140625</x:v>
      </x:c>
      <x:c r="G142" s="137" t="n">
        <x:v>2283.4951171875</x:v>
      </x:c>
      <x:c r="H142" s="137" t="n">
        <x:v>63.35283660888672</x:v>
      </x:c>
      <x:c r="I142" s="137" t="n">
        <x:v>847.5587898327257</x:v>
      </x:c>
      <x:c r="J142" s="137" t="n">
        <x:v>1437.211971278696</x:v>
      </x:c>
      <x:c r="K142" s="136" t="str">
        <x:v>map-7</x:v>
      </x:c>
      <x:c r="L142" s="136" t="str">
        <x:v>Antietam | Contention | Smokestacks||Gun | 10-pounder Parrott · Entity-1606 [map-7/016]</x:v>
      </x:c>
      <x:c r="M142" s="35"/>
      <x:c r="N142" s="35"/>
      <x:c r="O142" s="35"/>
      <x:c r="P142" s="35"/>
      <x:c r="Q142" s="35"/>
      <x:c r="R142" s="35"/>
      <x:c r="S142" s="35"/>
      <x:c r="T142" s="35"/>
      <x:c r="U142" s="35"/>
      <x:c r="V142" s="35"/>
      <x:c r="W142" s="35"/>
      <x:c r="X142" s="35"/>
      <x:c r="Y142" s="35"/>
      <x:c r="Z142" s="35"/>
      <x:c r="AA142" s="35"/>
    </x:row>
    <x:row r="143">
      <x:c r="A143" s="136" t="str">
        <x:v>Antietam | Contention | Smokestacks</x:v>
      </x:c>
      <x:c r="B143" s="136" t="str">
        <x:v>Gun | 3-inch Ordnance · Entity-1622 [map-7/017]</x:v>
      </x:c>
      <x:c r="C143" s="136" t="str">
        <x:v>gun_spawn</x:v>
      </x:c>
      <x:c r="D143" s="136" t="str"/>
      <x:c r="E143" s="136" t="str">
        <x:v>3-inch Ordnance · Entity-1622</x:v>
      </x:c>
      <x:c r="F143" s="137" t="n">
        <x:v>1264.8319091796875</x:v>
      </x:c>
      <x:c r="G143" s="137" t="n">
        <x:v>1963.3388671875</x:v>
      </x:c>
      <x:c r="H143" s="137" t="n">
        <x:v>62.91366195678711</x:v>
      </x:c>
      <x:c r="I143" s="137" t="n">
        <x:v>1389.1776737395826</x:v>
      </x:c>
      <x:c r="J143" s="137" t="n">
        <x:v>1477.3781705631907</x:v>
      </x:c>
      <x:c r="K143" s="136" t="str">
        <x:v>map-7</x:v>
      </x:c>
      <x:c r="L143" s="136" t="str">
        <x:v>Antietam | Contention | Smokestacks||Gun | 3-inch Ordnance · Entity-1622 [map-7/017]</x:v>
      </x:c>
      <x:c r="M143" s="35"/>
      <x:c r="N143" s="35"/>
      <x:c r="O143" s="35"/>
      <x:c r="P143" s="35"/>
      <x:c r="Q143" s="35"/>
      <x:c r="R143" s="35"/>
      <x:c r="S143" s="35"/>
      <x:c r="T143" s="35"/>
      <x:c r="U143" s="35"/>
      <x:c r="V143" s="35"/>
      <x:c r="W143" s="35"/>
      <x:c r="X143" s="35"/>
      <x:c r="Y143" s="35"/>
      <x:c r="Z143" s="35"/>
      <x:c r="AA143" s="35"/>
    </x:row>
    <x:row r="144">
      <x:c r="A144" s="136" t="str">
        <x:v>Antietam | Contention | Smokestacks</x:v>
      </x:c>
      <x:c r="B144" s="136" t="str">
        <x:v>Gun | 12-pounder Napoleon (USA) · Entity-1609 [map-7/018]</x:v>
      </x:c>
      <x:c r="C144" s="136" t="str">
        <x:v>gun_spawn</x:v>
      </x:c>
      <x:c r="D144" s="136" t="str"/>
      <x:c r="E144" s="136" t="str">
        <x:v>12-pounder Napoleon (USA) · Entity-1609</x:v>
      </x:c>
      <x:c r="F144" s="137" t="n">
        <x:v>1047.1380615234375</x:v>
      </x:c>
      <x:c r="G144" s="137" t="n">
        <x:v>2257.974365234375</x:v>
      </x:c>
      <x:c r="H144" s="137" t="n">
        <x:v>62.706844329833984</x:v>
      </x:c>
      <x:c r="I144" s="137" t="n">
        <x:v>868.0135091338599</x:v>
      </x:c>
      <x:c r="J144" s="137" t="n">
        <x:v>1470.3065656356437</x:v>
      </x:c>
      <x:c r="K144" s="136" t="str">
        <x:v>map-7</x:v>
      </x:c>
      <x:c r="L144" s="136" t="str">
        <x:v>Antietam | Contention | Smokestacks||Gun | 12-pounder Napoleon (USA) · Entity-1609 [map-7/018]</x:v>
      </x:c>
      <x:c r="M144" s="35"/>
      <x:c r="N144" s="35"/>
      <x:c r="O144" s="35"/>
      <x:c r="P144" s="35"/>
      <x:c r="Q144" s="35"/>
      <x:c r="R144" s="35"/>
      <x:c r="S144" s="35"/>
      <x:c r="T144" s="35"/>
      <x:c r="U144" s="35"/>
      <x:c r="V144" s="35"/>
      <x:c r="W144" s="35"/>
      <x:c r="X144" s="35"/>
      <x:c r="Y144" s="35"/>
      <x:c r="Z144" s="35"/>
      <x:c r="AA144" s="35"/>
    </x:row>
    <x:row r="145">
      <x:c r="A145" s="136" t="str">
        <x:v>Antietam | Contention | Smokestacks</x:v>
      </x:c>
      <x:c r="B145" s="136" t="str">
        <x:v>Gun | 10-pounder Parrott · Entity-1604 [map-7/019]</x:v>
      </x:c>
      <x:c r="C145" s="136" t="str">
        <x:v>gun_spawn</x:v>
      </x:c>
      <x:c r="D145" s="136" t="str"/>
      <x:c r="E145" s="136" t="str">
        <x:v>10-pounder Parrott · Entity-1604</x:v>
      </x:c>
      <x:c r="F145" s="137" t="n">
        <x:v>1062.8499755859375</x:v>
      </x:c>
      <x:c r="G145" s="137" t="n">
        <x:v>2298.59814453125</x:v>
      </x:c>
      <x:c r="H145" s="137" t="n">
        <x:v>63.37196731567383</x:v>
      </x:c>
      <x:c r="I145" s="137" t="n">
        <x:v>835.5459882113383</x:v>
      </x:c>
      <x:c r="J145" s="137" t="n">
        <x:v>1417.505508197064</x:v>
      </x:c>
      <x:c r="K145" s="136" t="str">
        <x:v>map-7</x:v>
      </x:c>
      <x:c r="L145" s="136" t="str">
        <x:v>Antietam | Contention | Smokestacks||Gun | 10-pounder Parrott · Entity-1604 [map-7/019]</x:v>
      </x:c>
      <x:c r="M145" s="35"/>
      <x:c r="N145" s="35"/>
      <x:c r="O145" s="35"/>
      <x:c r="P145" s="35"/>
      <x:c r="Q145" s="35"/>
      <x:c r="R145" s="35"/>
      <x:c r="S145" s="35"/>
      <x:c r="T145" s="35"/>
      <x:c r="U145" s="35"/>
      <x:c r="V145" s="35"/>
      <x:c r="W145" s="35"/>
      <x:c r="X145" s="35"/>
      <x:c r="Y145" s="35"/>
      <x:c r="Z145" s="35"/>
      <x:c r="AA145" s="35"/>
    </x:row>
    <x:row r="146">
      <x:c r="A146" s="136" t="str">
        <x:v>Antietam | Contention | Smokestacks</x:v>
      </x:c>
      <x:c r="B146" s="136" t="str">
        <x:v>Gun | 12-pounder Napoleon (USA) · Entity-1608 [map-7/020]</x:v>
      </x:c>
      <x:c r="C146" s="136" t="str">
        <x:v>gun_spawn</x:v>
      </x:c>
      <x:c r="D146" s="136" t="str"/>
      <x:c r="E146" s="136" t="str">
        <x:v>12-pounder Napoleon (USA) · Entity-1608</x:v>
      </x:c>
      <x:c r="F146" s="137" t="n">
        <x:v>1050.7960205078125</x:v>
      </x:c>
      <x:c r="G146" s="137" t="n">
        <x:v>2266.920166015625</x:v>
      </x:c>
      <x:c r="H146" s="137" t="n">
        <x:v>63.04673767089844</x:v>
      </x:c>
      <x:c r="I146" s="137" t="n">
        <x:v>861.0343842920288</x:v>
      </x:c>
      <x:c r="J146" s="137" t="n">
        <x:v>1458.4547597431751</x:v>
      </x:c>
      <x:c r="K146" s="136" t="str">
        <x:v>map-7</x:v>
      </x:c>
      <x:c r="L146" s="136" t="str">
        <x:v>Antietam | Contention | Smokestacks||Gun | 12-pounder Napoleon (USA) · Entity-1608 [map-7/020]</x:v>
      </x:c>
      <x:c r="M146" s="35"/>
      <x:c r="N146" s="35"/>
      <x:c r="O146" s="35"/>
      <x:c r="P146" s="35"/>
      <x:c r="Q146" s="35"/>
      <x:c r="R146" s="35"/>
      <x:c r="S146" s="35"/>
      <x:c r="T146" s="35"/>
      <x:c r="U146" s="35"/>
      <x:c r="V146" s="35"/>
      <x:c r="W146" s="35"/>
      <x:c r="X146" s="35"/>
      <x:c r="Y146" s="35"/>
      <x:c r="Z146" s="35"/>
      <x:c r="AA146" s="35"/>
    </x:row>
    <x:row r="147">
      <x:c r="A147" s="136" t="str">
        <x:v>Antietam | Contention | Smokestacks</x:v>
      </x:c>
      <x:c r="B147" s="136" t="str">
        <x:v>Gun | 12-pounder Napoleon (USA) · Entity-1621 [map-7/021]</x:v>
      </x:c>
      <x:c r="C147" s="136" t="str">
        <x:v>gun_spawn</x:v>
      </x:c>
      <x:c r="D147" s="136" t="str"/>
      <x:c r="E147" s="136" t="str">
        <x:v>12-pounder Napoleon (USA) · Entity-1621</x:v>
      </x:c>
      <x:c r="F147" s="137" t="n">
        <x:v>1271.0360107421875</x:v>
      </x:c>
      <x:c r="G147" s="137" t="n">
        <x:v>1966.1629638671875</x:v>
      </x:c>
      <x:c r="H147" s="137" t="n">
        <x:v>63.1087646484375</x:v>
      </x:c>
      <x:c r="I147" s="137" t="n">
        <x:v>1391.323949890003</x:v>
      </x:c>
      <x:c r="J147" s="137" t="n">
        <x:v>1467.9138967843867</x:v>
      </x:c>
      <x:c r="K147" s="136" t="str">
        <x:v>map-7</x:v>
      </x:c>
      <x:c r="L147" s="136" t="str">
        <x:v>Antietam | Contention | Smokestacks||Gun | 12-pounder Napoleon (USA) · Entity-1621 [map-7/021]</x:v>
      </x:c>
      <x:c r="M147" s="35"/>
      <x:c r="N147" s="35"/>
      <x:c r="O147" s="35"/>
      <x:c r="P147" s="35"/>
      <x:c r="Q147" s="35"/>
      <x:c r="R147" s="35"/>
      <x:c r="S147" s="35"/>
      <x:c r="T147" s="35"/>
      <x:c r="U147" s="35"/>
      <x:c r="V147" s="35"/>
      <x:c r="W147" s="35"/>
      <x:c r="X147" s="35"/>
      <x:c r="Y147" s="35"/>
      <x:c r="Z147" s="35"/>
      <x:c r="AA147" s="35"/>
    </x:row>
    <x:row r="148">
      <x:c r="A148" s="136" t="str">
        <x:v>Antietam | Contention | Smokestacks</x:v>
      </x:c>
      <x:c r="B148" s="136" t="str">
        <x:v>Gun | 10-pounder Parrott · Entity-1605 [map-7/022]</x:v>
      </x:c>
      <x:c r="C148" s="136" t="str">
        <x:v>gun_spawn</x:v>
      </x:c>
      <x:c r="D148" s="136" t="str"/>
      <x:c r="E148" s="136" t="str">
        <x:v>10-pounder Parrott · Entity-1605</x:v>
      </x:c>
      <x:c r="F148" s="137" t="n">
        <x:v>1059.5897216796875</x:v>
      </x:c>
      <x:c r="G148" s="137" t="n">
        <x:v>2290.405517578125</x:v>
      </x:c>
      <x:c r="H148" s="137" t="n">
        <x:v>63.37594223022461</x:v>
      </x:c>
      <x:c r="I148" s="137" t="n">
        <x:v>842.0148139485018</x:v>
      </x:c>
      <x:c r="J148" s="137" t="n">
        <x:v>1428.2577765166156</x:v>
      </x:c>
      <x:c r="K148" s="136" t="str">
        <x:v>map-7</x:v>
      </x:c>
      <x:c r="L148" s="136" t="str">
        <x:v>Antietam | Contention | Smokestacks||Gun | 10-pounder Parrott · Entity-1605 [map-7/022]</x:v>
      </x:c>
      <x:c r="M148" s="35"/>
      <x:c r="N148" s="35"/>
      <x:c r="O148" s="35"/>
      <x:c r="P148" s="35"/>
      <x:c r="Q148" s="35"/>
      <x:c r="R148" s="35"/>
      <x:c r="S148" s="35"/>
      <x:c r="T148" s="35"/>
      <x:c r="U148" s="35"/>
      <x:c r="V148" s="35"/>
      <x:c r="W148" s="35"/>
      <x:c r="X148" s="35"/>
      <x:c r="Y148" s="35"/>
      <x:c r="Z148" s="35"/>
      <x:c r="AA148" s="35"/>
    </x:row>
    <x:row r="149">
      <x:c r="A149" s="136" t="str">
        <x:v>Antietam | Contention | Smokestacks</x:v>
      </x:c>
      <x:c r="B149" s="136" t="str">
        <x:v>Gun | 12-pounder Napoleon (CSA) · Entity-1618 [map-7/023]</x:v>
      </x:c>
      <x:c r="C149" s="136" t="str">
        <x:v>gun_spawn</x:v>
      </x:c>
      <x:c r="D149" s="136" t="str"/>
      <x:c r="E149" s="136" t="str">
        <x:v>12-pounder Napoleon (CSA) · Entity-1618</x:v>
      </x:c>
      <x:c r="F149" s="137" t="n">
        <x:v>1278.942138671875</x:v>
      </x:c>
      <x:c r="G149" s="137" t="n">
        <x:v>1969.097412109375</x:v>
      </x:c>
      <x:c r="H149" s="137" t="n">
        <x:v>63.320281982421875</x:v>
      </x:c>
      <x:c r="I149" s="137" t="n">
        <x:v>1394.811400224385</x:v>
      </x:c>
      <x:c r="J149" s="137" t="n">
        <x:v>1456.425529305915</x:v>
      </x:c>
      <x:c r="K149" s="136" t="str">
        <x:v>map-7</x:v>
      </x:c>
      <x:c r="L149" s="136" t="str">
        <x:v>Antietam | Contention | Smokestacks||Gun | 12-pounder Napoleon (CSA) · Entity-1618 [map-7/023]</x:v>
      </x:c>
      <x:c r="M149" s="35"/>
      <x:c r="N149" s="35"/>
      <x:c r="O149" s="35"/>
      <x:c r="P149" s="35"/>
      <x:c r="Q149" s="35"/>
      <x:c r="R149" s="35"/>
      <x:c r="S149" s="35"/>
      <x:c r="T149" s="35"/>
      <x:c r="U149" s="35"/>
      <x:c r="V149" s="35"/>
      <x:c r="W149" s="35"/>
      <x:c r="X149" s="35"/>
      <x:c r="Y149" s="35"/>
      <x:c r="Z149" s="35"/>
      <x:c r="AA149" s="35"/>
    </x:row>
    <x:row r="150">
      <x:c r="A150" s="136" t="str">
        <x:v>Antietam | Contention | Smokestacks</x:v>
      </x:c>
      <x:c r="B150" s="136" t="str">
        <x:v>Gun | 3-inch Ordnance · Entity-1625 [map-7/024]</x:v>
      </x:c>
      <x:c r="C150" s="136" t="str">
        <x:v>gun_spawn</x:v>
      </x:c>
      <x:c r="D150" s="136" t="str"/>
      <x:c r="E150" s="136" t="str">
        <x:v>3-inch Ordnance · Entity-1625</x:v>
      </x:c>
      <x:c r="F150" s="137" t="n">
        <x:v>1257.568603515625</x:v>
      </x:c>
      <x:c r="G150" s="137" t="n">
        <x:v>1960.8155517578125</x:v>
      </x:c>
      <x:c r="H150" s="137" t="n">
        <x:v>62.66165542602539</x:v>
      </x:c>
      <x:c r="I150" s="137" t="n">
        <x:v>1385.7783924854216</x:v>
      </x:c>
      <x:c r="J150" s="137" t="n">
        <x:v>1487.7838264856473</x:v>
      </x:c>
      <x:c r="K150" s="136" t="str">
        <x:v>map-7</x:v>
      </x:c>
      <x:c r="L150" s="136" t="str">
        <x:v>Antietam | Contention | Smokestacks||Gun | 3-inch Ordnance · Entity-1625 [map-7/024]</x:v>
      </x:c>
      <x:c r="M150" s="35"/>
      <x:c r="N150" s="35"/>
      <x:c r="O150" s="35"/>
      <x:c r="P150" s="35"/>
      <x:c r="Q150" s="35"/>
      <x:c r="R150" s="35"/>
      <x:c r="S150" s="35"/>
      <x:c r="T150" s="35"/>
      <x:c r="U150" s="35"/>
      <x:c r="V150" s="35"/>
      <x:c r="W150" s="35"/>
      <x:c r="X150" s="35"/>
      <x:c r="Y150" s="35"/>
      <x:c r="Z150" s="35"/>
      <x:c r="AA150" s="35"/>
    </x:row>
    <x:row r="151">
      <x:c r="A151" s="136" t="str">
        <x:v>Antietam | Contention | Smokestacks</x:v>
      </x:c>
      <x:c r="B151" s="136" t="str">
        <x:v>Gun | 12-pounder Napoleon (USA) · Entity-1607 [map-7/025]</x:v>
      </x:c>
      <x:c r="C151" s="136" t="str">
        <x:v>gun_spawn</x:v>
      </x:c>
      <x:c r="D151" s="136" t="str"/>
      <x:c r="E151" s="136" t="str">
        <x:v>12-pounder Napoleon (USA) · Entity-1607</x:v>
      </x:c>
      <x:c r="F151" s="137" t="n">
        <x:v>1054.104248046875</x:v>
      </x:c>
      <x:c r="G151" s="137" t="n">
        <x:v>2275.8359375</x:v>
      </x:c>
      <x:c r="H151" s="137" t="n">
        <x:v>63.286869049072266</x:v>
      </x:c>
      <x:c r="I151" s="137" t="n">
        <x:v>853.7880036501126</x:v>
      </x:c>
      <x:c r="J151" s="137" t="n">
        <x:v>1447.0251985652965</x:v>
      </x:c>
      <x:c r="K151" s="136" t="str">
        <x:v>map-7</x:v>
      </x:c>
      <x:c r="L151" s="136" t="str">
        <x:v>Antietam | Contention | Smokestacks||Gun | 12-pounder Napoleon (USA) · Entity-1607 [map-7/025]</x:v>
      </x:c>
      <x:c r="M151" s="35"/>
      <x:c r="N151" s="35"/>
      <x:c r="O151" s="35"/>
      <x:c r="P151" s="35"/>
      <x:c r="Q151" s="35"/>
      <x:c r="R151" s="35"/>
      <x:c r="S151" s="35"/>
      <x:c r="T151" s="35"/>
      <x:c r="U151" s="35"/>
      <x:c r="V151" s="35"/>
      <x:c r="W151" s="35"/>
      <x:c r="X151" s="35"/>
      <x:c r="Y151" s="35"/>
      <x:c r="Z151" s="35"/>
      <x:c r="AA151" s="35"/>
    </x:row>
    <x:row r="152">
      <x:c r="A152" s="136" t="str">
        <x:v>Antietam | Contention | Forest Stream</x:v>
      </x:c>
      <x:c r="B152" s="136" t="str">
        <x:v>Spawn | USA CQ2_Spawnpoint_USA_Infantry_2 [map-8/001]</x:v>
      </x:c>
      <x:c r="C152" s="136" t="str">
        <x:v>spawn</x:v>
      </x:c>
      <x:c r="D152" s="136" t="str">
        <x:v>USA</x:v>
      </x:c>
      <x:c r="E152" s="136" t="str">
        <x:v>CQ2_Spawnpoint_USA_Infantry_2</x:v>
      </x:c>
      <x:c r="F152" s="137" t="n">
        <x:v>1425.909912109375</x:v>
      </x:c>
      <x:c r="G152" s="137" t="n">
        <x:v>1265.8194580078125</x:v>
      </x:c>
      <x:c r="H152" s="137" t="n">
        <x:v>35.30018997192383</x:v>
      </x:c>
      <x:c r="I152" s="137" t="n">
        <x:v>1242.262851317815</x:v>
      </x:c>
      <x:c r="J152" s="137" t="n">
        <x:v>108.31135463017594</x:v>
      </x:c>
      <x:c r="K152" s="136" t="str">
        <x:v>map-8</x:v>
      </x:c>
      <x:c r="L152" s="136" t="str">
        <x:v>Antietam | Contention | Forest Stream||Spawn | USA CQ2_Spawnpoint_USA_Infantry_2 [map-8/001]</x:v>
      </x:c>
      <x:c r="M152" s="35"/>
      <x:c r="N152" s="35"/>
      <x:c r="O152" s="35"/>
      <x:c r="P152" s="35"/>
      <x:c r="Q152" s="35"/>
      <x:c r="R152" s="35"/>
      <x:c r="S152" s="35"/>
      <x:c r="T152" s="35"/>
      <x:c r="U152" s="35"/>
      <x:c r="V152" s="35"/>
      <x:c r="W152" s="35"/>
      <x:c r="X152" s="35"/>
      <x:c r="Y152" s="35"/>
      <x:c r="Z152" s="35"/>
      <x:c r="AA152" s="35"/>
    </x:row>
    <x:row r="153">
      <x:c r="A153" s="136" t="str">
        <x:v>Antietam | Contention | Forest Stream</x:v>
      </x:c>
      <x:c r="B153" s="136" t="str">
        <x:v>Spawn | USA CQ2_Spawnpoint_USA_Infantry_1 [map-8/002]</x:v>
      </x:c>
      <x:c r="C153" s="136" t="str">
        <x:v>spawn</x:v>
      </x:c>
      <x:c r="D153" s="136" t="str">
        <x:v>USA</x:v>
      </x:c>
      <x:c r="E153" s="136" t="str">
        <x:v>CQ2_Spawnpoint_USA_Infantry_1</x:v>
      </x:c>
      <x:c r="F153" s="137" t="n">
        <x:v>1369.7467041015625</x:v>
      </x:c>
      <x:c r="G153" s="137" t="n">
        <x:v>1257.857177734375</x:v>
      </x:c>
      <x:c r="H153" s="137" t="n">
        <x:v>35.48969650268555</x:v>
      </x:c>
      <x:c r="I153" s="137" t="n">
        <x:v>1183.515346924267</x:v>
      </x:c>
      <x:c r="J153" s="137" t="n">
        <x:v>213.21064685861734</x:v>
      </x:c>
      <x:c r="K153" s="136" t="str">
        <x:v>map-8</x:v>
      </x:c>
      <x:c r="L153" s="136" t="str">
        <x:v>Antietam | Contention | Forest Stream||Spawn | USA CQ2_Spawnpoint_USA_Infantry_1 [map-8/002]</x:v>
      </x:c>
      <x:c r="M153" s="35"/>
      <x:c r="N153" s="35"/>
      <x:c r="O153" s="35"/>
      <x:c r="P153" s="35"/>
      <x:c r="Q153" s="35"/>
      <x:c r="R153" s="35"/>
      <x:c r="S153" s="35"/>
      <x:c r="T153" s="35"/>
      <x:c r="U153" s="35"/>
      <x:c r="V153" s="35"/>
      <x:c r="W153" s="35"/>
      <x:c r="X153" s="35"/>
      <x:c r="Y153" s="35"/>
      <x:c r="Z153" s="35"/>
      <x:c r="AA153" s="35"/>
    </x:row>
    <x:row r="154">
      <x:c r="A154" s="136" t="str">
        <x:v>Antietam | Contention | Forest Stream</x:v>
      </x:c>
      <x:c r="B154" s="136" t="str">
        <x:v>Spawn | CSA CQ2_Spawnpoint_CSA_Infantry_2 [map-8/003]</x:v>
      </x:c>
      <x:c r="C154" s="136" t="str">
        <x:v>spawn</x:v>
      </x:c>
      <x:c r="D154" s="136" t="str">
        <x:v>CSA</x:v>
      </x:c>
      <x:c r="E154" s="136" t="str">
        <x:v>CQ2_Spawnpoint_CSA_Infantry_2</x:v>
      </x:c>
      <x:c r="F154" s="137" t="n">
        <x:v>526.0059204101562</x:v>
      </x:c>
      <x:c r="G154" s="137" t="n">
        <x:v>1214.2486572265625</x:v>
      </x:c>
      <x:c r="H154" s="137" t="n">
        <x:v>49.267765045166016</x:v>
      </x:c>
      <x:c r="I154" s="137" t="n">
        <x:v>172.2931912466759</x:v>
      </x:c>
      <x:c r="J154" s="137" t="n">
        <x:v>1691.7023471653629</x:v>
      </x:c>
      <x:c r="K154" s="136" t="str">
        <x:v>map-8</x:v>
      </x:c>
      <x:c r="L154" s="136" t="str">
        <x:v>Antietam | Contention | Forest Stream||Spawn | CSA CQ2_Spawnpoint_CSA_Infantry_2 [map-8/003]</x:v>
      </x:c>
      <x:c r="M154" s="35"/>
      <x:c r="N154" s="35"/>
      <x:c r="O154" s="35"/>
      <x:c r="P154" s="35"/>
      <x:c r="Q154" s="35"/>
      <x:c r="R154" s="35"/>
      <x:c r="S154" s="35"/>
      <x:c r="T154" s="35"/>
      <x:c r="U154" s="35"/>
      <x:c r="V154" s="35"/>
      <x:c r="W154" s="35"/>
      <x:c r="X154" s="35"/>
      <x:c r="Y154" s="35"/>
      <x:c r="Z154" s="35"/>
      <x:c r="AA154" s="35"/>
    </x:row>
    <x:row r="155">
      <x:c r="A155" s="136" t="str">
        <x:v>Antietam | Contention | Forest Stream</x:v>
      </x:c>
      <x:c r="B155" s="136" t="str">
        <x:v>Artillery | USA CQ2_Spawnpoint_USA_Artillery_Staging [map-8/004]</x:v>
      </x:c>
      <x:c r="C155" s="136" t="str">
        <x:v>battery</x:v>
      </x:c>
      <x:c r="D155" s="136" t="str">
        <x:v>USA</x:v>
      </x:c>
      <x:c r="E155" s="136" t="str">
        <x:v>CQ2_Spawnpoint_USA_Artillery_Staging</x:v>
      </x:c>
      <x:c r="F155" s="137" t="n">
        <x:v>1342.2955322265625</x:v>
      </x:c>
      <x:c r="G155" s="137" t="n">
        <x:v>1253.419921875</x:v>
      </x:c>
      <x:c r="H155" s="137" t="n">
        <x:v>36.0858154296875</x:v>
      </x:c>
      <x:c r="I155" s="137" t="n">
        <x:v>1155.7243696836192</x:v>
      </x:c>
      <x:c r="J155" s="137" t="n">
        <x:v>265.1818940114638</x:v>
      </x:c>
      <x:c r="K155" s="136" t="str">
        <x:v>map-8</x:v>
      </x:c>
      <x:c r="L155" s="136" t="str">
        <x:v>Antietam | Contention | Forest Stream||Artillery | USA CQ2_Spawnpoint_USA_Artillery_Staging [map-8/004]</x:v>
      </x:c>
      <x:c r="M155" s="35"/>
      <x:c r="N155" s="35"/>
      <x:c r="O155" s="35"/>
      <x:c r="P155" s="35"/>
      <x:c r="Q155" s="35"/>
      <x:c r="R155" s="35"/>
      <x:c r="S155" s="35"/>
      <x:c r="T155" s="35"/>
      <x:c r="U155" s="35"/>
      <x:c r="V155" s="35"/>
      <x:c r="W155" s="35"/>
      <x:c r="X155" s="35"/>
      <x:c r="Y155" s="35"/>
      <x:c r="Z155" s="35"/>
      <x:c r="AA155" s="35"/>
    </x:row>
    <x:row r="156">
      <x:c r="A156" s="136" t="str">
        <x:v>Antietam | Contention | Forest Stream</x:v>
      </x:c>
      <x:c r="B156" s="136" t="str">
        <x:v>Spawn | CSA CQ2_Spawnpoint_CSA_Infantry_0 [map-8/005]</x:v>
      </x:c>
      <x:c r="C156" s="136" t="str">
        <x:v>spawn</x:v>
      </x:c>
      <x:c r="D156" s="136" t="str">
        <x:v>CSA</x:v>
      </x:c>
      <x:c r="E156" s="136" t="str">
        <x:v>CQ2_Spawnpoint_CSA_Infantry_0</x:v>
      </x:c>
      <x:c r="F156" s="137" t="n">
        <x:v>551.0617065429688</x:v>
      </x:c>
      <x:c r="G156" s="137" t="n">
        <x:v>1196.0472412109375</x:v>
      </x:c>
      <x:c r="H156" s="137" t="n">
        <x:v>49.20278549194336</x:v>
      </x:c>
      <x:c r="I156" s="137" t="n">
        <x:v>235.32335961568637</x:v>
      </x:c>
      <x:c r="J156" s="137" t="n">
        <x:v>1672.7833058303388</x:v>
      </x:c>
      <x:c r="K156" s="136" t="str">
        <x:v>map-8</x:v>
      </x:c>
      <x:c r="L156" s="136" t="str">
        <x:v>Antietam | Contention | Forest Stream||Spawn | CSA CQ2_Spawnpoint_CSA_Infantry_0 [map-8/005]</x:v>
      </x:c>
      <x:c r="M156" s="35"/>
      <x:c r="N156" s="35"/>
      <x:c r="O156" s="35"/>
      <x:c r="P156" s="35"/>
      <x:c r="Q156" s="35"/>
      <x:c r="R156" s="35"/>
      <x:c r="S156" s="35"/>
      <x:c r="T156" s="35"/>
      <x:c r="U156" s="35"/>
      <x:c r="V156" s="35"/>
      <x:c r="W156" s="35"/>
      <x:c r="X156" s="35"/>
      <x:c r="Y156" s="35"/>
      <x:c r="Z156" s="35"/>
      <x:c r="AA156" s="35"/>
    </x:row>
    <x:row r="157">
      <x:c r="A157" s="136" t="str">
        <x:v>Antietam | Contention | Forest Stream</x:v>
      </x:c>
      <x:c r="B157" s="136" t="str">
        <x:v>Artillery | USA CQ2_Spawnpoint_USA_Artillery_Forward [map-8/006]</x:v>
      </x:c>
      <x:c r="C157" s="136" t="str">
        <x:v>battery</x:v>
      </x:c>
      <x:c r="D157" s="136" t="str">
        <x:v>USA</x:v>
      </x:c>
      <x:c r="E157" s="136" t="str">
        <x:v>CQ2_Spawnpoint_USA_Artillery_Forward</x:v>
      </x:c>
      <x:c r="F157" s="137" t="n">
        <x:v>1150.6058349609375</x:v>
      </x:c>
      <x:c r="G157" s="137" t="n">
        <x:v>1227.20703125</x:v>
      </x:c>
      <x:c r="H157" s="137" t="n">
        <x:v>41.009830474853516</x:v>
      </x:c>
      <x:c r="I157" s="137" t="n">
        <x:v>953.5841634539556</x:v>
      </x:c>
      <x:c r="J157" s="137" t="n">
        <x:v>621.9776862581771</x:v>
      </x:c>
      <x:c r="K157" s="136" t="str">
        <x:v>map-8</x:v>
      </x:c>
      <x:c r="L157" s="136" t="str">
        <x:v>Antietam | Contention | Forest Stream||Artillery | USA CQ2_Spawnpoint_USA_Artillery_Forward [map-8/006]</x:v>
      </x:c>
      <x:c r="M157" s="35"/>
      <x:c r="N157" s="35"/>
      <x:c r="O157" s="35"/>
      <x:c r="P157" s="35"/>
      <x:c r="Q157" s="35"/>
      <x:c r="R157" s="35"/>
      <x:c r="S157" s="35"/>
      <x:c r="T157" s="35"/>
      <x:c r="U157" s="35"/>
      <x:c r="V157" s="35"/>
      <x:c r="W157" s="35"/>
      <x:c r="X157" s="35"/>
      <x:c r="Y157" s="35"/>
      <x:c r="Z157" s="35"/>
      <x:c r="AA157" s="35"/>
    </x:row>
    <x:row r="158">
      <x:c r="A158" s="136" t="str">
        <x:v>Antietam | Contention | Forest Stream</x:v>
      </x:c>
      <x:c r="B158" s="136" t="str">
        <x:v>Artillery | CSA CQ2_Spawnpoint_CSA_Artillery_Forward [map-8/007]</x:v>
      </x:c>
      <x:c r="C158" s="136" t="str">
        <x:v>battery</x:v>
      </x:c>
      <x:c r="D158" s="136" t="str">
        <x:v>CSA</x:v>
      </x:c>
      <x:c r="E158" s="136" t="str">
        <x:v>CQ2_Spawnpoint_CSA_Artillery_Forward</x:v>
      </x:c>
      <x:c r="F158" s="137" t="n">
        <x:v>954.84521484375</x:v>
      </x:c>
      <x:c r="G158" s="137" t="n">
        <x:v>1123.0242919921875</x:v>
      </x:c>
      <x:c r="H158" s="137" t="n">
        <x:v>48.89228057861328</x:v>
      </x:c>
      <x:c r="I158" s="137" t="n">
        <x:v>878.1854103960488</x:v>
      </x:c>
      <x:c r="J158" s="137" t="n">
        <x:v>1085.5624621066797</x:v>
      </x:c>
      <x:c r="K158" s="136" t="str">
        <x:v>map-8</x:v>
      </x:c>
      <x:c r="L158" s="136" t="str">
        <x:v>Antietam | Contention | Forest Stream||Artillery | CSA CQ2_Spawnpoint_CSA_Artillery_Forward [map-8/007]</x:v>
      </x:c>
      <x:c r="M158" s="35"/>
      <x:c r="N158" s="35"/>
      <x:c r="O158" s="35"/>
      <x:c r="P158" s="35"/>
      <x:c r="Q158" s="35"/>
      <x:c r="R158" s="35"/>
      <x:c r="S158" s="35"/>
      <x:c r="T158" s="35"/>
      <x:c r="U158" s="35"/>
      <x:c r="V158" s="35"/>
      <x:c r="W158" s="35"/>
      <x:c r="X158" s="35"/>
      <x:c r="Y158" s="35"/>
      <x:c r="Z158" s="35"/>
      <x:c r="AA158" s="35"/>
    </x:row>
    <x:row r="159">
      <x:c r="A159" s="136" t="str">
        <x:v>Antietam | Contention | Forest Stream</x:v>
      </x:c>
      <x:c r="B159" s="136" t="str">
        <x:v>Spawn | USA CQ2_Spawnpoint_USA_Infantry_0 [map-8/008]</x:v>
      </x:c>
      <x:c r="C159" s="136" t="str">
        <x:v>spawn</x:v>
      </x:c>
      <x:c r="D159" s="136" t="str">
        <x:v>USA</x:v>
      </x:c>
      <x:c r="E159" s="136" t="str">
        <x:v>CQ2_Spawnpoint_USA_Infantry_0</x:v>
      </x:c>
      <x:c r="F159" s="137" t="n">
        <x:v>1393.7734375</x:v>
      </x:c>
      <x:c r="G159" s="137" t="n">
        <x:v>1261.1033935546875</x:v>
      </x:c>
      <x:c r="H159" s="137" t="n">
        <x:v>35.55898666381836</x:v>
      </x:c>
      <x:c r="I159" s="137" t="n">
        <x:v>1208.91858124799</x:v>
      </x:c>
      <x:c r="J159" s="137" t="n">
        <x:v>168.53965410276518</x:v>
      </x:c>
      <x:c r="K159" s="136" t="str">
        <x:v>map-8</x:v>
      </x:c>
      <x:c r="L159" s="136" t="str">
        <x:v>Antietam | Contention | Forest Stream||Spawn | USA CQ2_Spawnpoint_USA_Infantry_0 [map-8/008]</x:v>
      </x:c>
      <x:c r="M159" s="35"/>
      <x:c r="N159" s="35"/>
      <x:c r="O159" s="35"/>
      <x:c r="P159" s="35"/>
      <x:c r="Q159" s="35"/>
      <x:c r="R159" s="35"/>
      <x:c r="S159" s="35"/>
      <x:c r="T159" s="35"/>
      <x:c r="U159" s="35"/>
      <x:c r="V159" s="35"/>
      <x:c r="W159" s="35"/>
      <x:c r="X159" s="35"/>
      <x:c r="Y159" s="35"/>
      <x:c r="Z159" s="35"/>
      <x:c r="AA159" s="35"/>
    </x:row>
    <x:row r="160">
      <x:c r="A160" s="136" t="str">
        <x:v>Antietam | Contention | Forest Stream</x:v>
      </x:c>
      <x:c r="B160" s="136" t="str">
        <x:v>Spawn | CSA CQ2_Spawnpoint_CSA_Infantry_1 [map-8/009]</x:v>
      </x:c>
      <x:c r="C160" s="136" t="str">
        <x:v>spawn</x:v>
      </x:c>
      <x:c r="D160" s="136" t="str">
        <x:v>CSA</x:v>
      </x:c>
      <x:c r="E160" s="136" t="str">
        <x:v>CQ2_Spawnpoint_CSA_Infantry_1</x:v>
      </x:c>
      <x:c r="F160" s="137" t="n">
        <x:v>576.2258911132812</x:v>
      </x:c>
      <x:c r="G160" s="137" t="n">
        <x:v>1181.2467041015625</x:v>
      </x:c>
      <x:c r="H160" s="137" t="n">
        <x:v>49.795265197753906</x:v>
      </x:c>
      <x:c r="I160" s="137" t="n">
        <x:v>292.7363884141812</x:v>
      </x:c>
      <x:c r="J160" s="137" t="n">
        <x:v>1649.3229756938383</x:v>
      </x:c>
      <x:c r="K160" s="136" t="str">
        <x:v>map-8</x:v>
      </x:c>
      <x:c r="L160" s="136" t="str">
        <x:v>Antietam | Contention | Forest Stream||Spawn | CSA CQ2_Spawnpoint_CSA_Infantry_1 [map-8/009]</x:v>
      </x:c>
      <x:c r="M160" s="35"/>
      <x:c r="N160" s="35"/>
      <x:c r="O160" s="35"/>
      <x:c r="P160" s="35"/>
      <x:c r="Q160" s="35"/>
      <x:c r="R160" s="35"/>
      <x:c r="S160" s="35"/>
      <x:c r="T160" s="35"/>
      <x:c r="U160" s="35"/>
      <x:c r="V160" s="35"/>
      <x:c r="W160" s="35"/>
      <x:c r="X160" s="35"/>
      <x:c r="Y160" s="35"/>
      <x:c r="Z160" s="35"/>
      <x:c r="AA160" s="35"/>
    </x:row>
    <x:row r="161">
      <x:c r="A161" s="136" t="str">
        <x:v>Antietam | Contention | Forest Stream</x:v>
      </x:c>
      <x:c r="B161" s="136" t="str">
        <x:v>Objective | Victory_Conquest_2 [map-8/010]</x:v>
      </x:c>
      <x:c r="C161" s="136" t="str">
        <x:v>objective</x:v>
      </x:c>
      <x:c r="D161" s="136" t="str"/>
      <x:c r="E161" s="136" t="str">
        <x:v>Victory_Conquest_2</x:v>
      </x:c>
      <x:c r="F161" s="137" t="n">
        <x:v>885.1463012695312</x:v>
      </x:c>
      <x:c r="G161" s="137" t="n">
        <x:v>786.0621337890625</x:v>
      </x:c>
      <x:c r="H161" s="137" t="n">
        <x:v>13.410579681396484</x:v>
      </x:c>
      <x:c r="I161" s="137" t="n">
        <x:v>1358.9167728559753</x:v>
      </x:c>
      <x:c r="J161" s="137" t="n">
        <x:v>1634.9257869415103</x:v>
      </x:c>
      <x:c r="K161" s="136" t="str">
        <x:v>map-8</x:v>
      </x:c>
      <x:c r="L161" s="136" t="str">
        <x:v>Antietam | Contention | Forest Stream||Objective | Victory_Conquest_2 [map-8/010]</x:v>
      </x:c>
      <x:c r="M161" s="35"/>
      <x:c r="N161" s="35"/>
      <x:c r="O161" s="35"/>
      <x:c r="P161" s="35"/>
      <x:c r="Q161" s="35"/>
      <x:c r="R161" s="35"/>
      <x:c r="S161" s="35"/>
      <x:c r="T161" s="35"/>
      <x:c r="U161" s="35"/>
      <x:c r="V161" s="35"/>
      <x:c r="W161" s="35"/>
      <x:c r="X161" s="35"/>
      <x:c r="Y161" s="35"/>
      <x:c r="Z161" s="35"/>
      <x:c r="AA161" s="35"/>
    </x:row>
    <x:row r="162">
      <x:c r="A162" s="136" t="str">
        <x:v>Antietam | Contention | Forest Stream</x:v>
      </x:c>
      <x:c r="B162" s="136" t="str">
        <x:v>Artillery | CSA CQ2_Spawnpoint_CSA_Artillery_Staging [map-8/011]</x:v>
      </x:c>
      <x:c r="C162" s="136" t="str">
        <x:v>battery</x:v>
      </x:c>
      <x:c r="D162" s="136" t="str">
        <x:v>CSA</x:v>
      </x:c>
      <x:c r="E162" s="136" t="str">
        <x:v>CQ2_Spawnpoint_CSA_Artillery_Staging</x:v>
      </x:c>
      <x:c r="F162" s="137" t="n">
        <x:v>602.40625</x:v>
      </x:c>
      <x:c r="G162" s="137" t="n">
        <x:v>1167.1627197265625</x:v>
      </x:c>
      <x:c r="H162" s="137" t="n">
        <x:v>49.90680694580078</x:v>
      </x:c>
      <x:c r="I162" s="137" t="n">
        <x:v>350.2433189944426</x:v>
      </x:c>
      <x:c r="J162" s="137" t="n">
        <x:v>1623.230982876978</x:v>
      </x:c>
      <x:c r="K162" s="136" t="str">
        <x:v>map-8</x:v>
      </x:c>
      <x:c r="L162" s="136" t="str">
        <x:v>Antietam | Contention | Forest Stream||Artillery | CSA CQ2_Spawnpoint_CSA_Artillery_Staging [map-8/011]</x:v>
      </x:c>
      <x:c r="M162" s="35"/>
      <x:c r="N162" s="35"/>
      <x:c r="O162" s="35"/>
      <x:c r="P162" s="35"/>
      <x:c r="Q162" s="35"/>
      <x:c r="R162" s="35"/>
      <x:c r="S162" s="35"/>
      <x:c r="T162" s="35"/>
      <x:c r="U162" s="35"/>
      <x:c r="V162" s="35"/>
      <x:c r="W162" s="35"/>
      <x:c r="X162" s="35"/>
      <x:c r="Y162" s="35"/>
      <x:c r="Z162" s="35"/>
      <x:c r="AA162" s="35"/>
    </x:row>
    <x:row r="163">
      <x:c r="A163" s="136" t="str">
        <x:v>Antietam | Contention | Forest Stream</x:v>
      </x:c>
      <x:c r="B163" s="136" t="str">
        <x:v>Gun | 3-inch Ordnance · Entity-1635 [map-8/012]</x:v>
      </x:c>
      <x:c r="C163" s="136" t="str">
        <x:v>gun_spawn</x:v>
      </x:c>
      <x:c r="D163" s="136" t="str"/>
      <x:c r="E163" s="136" t="str">
        <x:v>3-inch Ordnance · Entity-1635</x:v>
      </x:c>
      <x:c r="F163" s="137" t="n">
        <x:v>1161.5146484375</x:v>
      </x:c>
      <x:c r="G163" s="137" t="n">
        <x:v>1190.165771484375</x:v>
      </x:c>
      <x:c r="H163" s="137" t="n">
        <x:v>33.807945251464844</x:v>
      </x:c>
      <x:c r="I163" s="137" t="n">
        <x:v>1030.3110456792824</x:v>
      </x:c>
      <x:c r="J163" s="137" t="n">
        <x:v>651.0562867860033</x:v>
      </x:c>
      <x:c r="K163" s="136" t="str">
        <x:v>map-8</x:v>
      </x:c>
      <x:c r="L163" s="136" t="str">
        <x:v>Antietam | Contention | Forest Stream||Gun | 3-inch Ordnance · Entity-1635 [map-8/012]</x:v>
      </x:c>
      <x:c r="M163" s="35"/>
      <x:c r="N163" s="35"/>
      <x:c r="O163" s="35"/>
      <x:c r="P163" s="35"/>
      <x:c r="Q163" s="35"/>
      <x:c r="R163" s="35"/>
      <x:c r="S163" s="35"/>
      <x:c r="T163" s="35"/>
      <x:c r="U163" s="35"/>
      <x:c r="V163" s="35"/>
      <x:c r="W163" s="35"/>
      <x:c r="X163" s="35"/>
      <x:c r="Y163" s="35"/>
      <x:c r="Z163" s="35"/>
      <x:c r="AA163" s="35"/>
    </x:row>
    <x:row r="164">
      <x:c r="A164" s="136" t="str">
        <x:v>Antietam | Contention | Forest Stream</x:v>
      </x:c>
      <x:c r="B164" s="136" t="str">
        <x:v>Gun | 3-inch Ordnance · Entity-1648 [map-8/013]</x:v>
      </x:c>
      <x:c r="C164" s="136" t="str">
        <x:v>gun_spawn</x:v>
      </x:c>
      <x:c r="D164" s="136" t="str"/>
      <x:c r="E164" s="136" t="str">
        <x:v>3-inch Ordnance · Entity-1648</x:v>
      </x:c>
      <x:c r="F164" s="137" t="n">
        <x:v>992.2389526367188</x:v>
      </x:c>
      <x:c r="G164" s="137" t="n">
        <x:v>1110.1373291015625</x:v>
      </x:c>
      <x:c r="H164" s="137" t="n">
        <x:v>47.165199279785156</x:v>
      </x:c>
      <x:c r="I164" s="137" t="n">
        <x:v>948.0864073809897</x:v>
      </x:c>
      <x:c r="J164" s="137" t="n">
        <x:v>1039.0298727954596</x:v>
      </x:c>
      <x:c r="K164" s="136" t="str">
        <x:v>map-8</x:v>
      </x:c>
      <x:c r="L164" s="136" t="str">
        <x:v>Antietam | Contention | Forest Stream||Gun | 3-inch Ordnance · Entity-1648 [map-8/013]</x:v>
      </x:c>
      <x:c r="M164" s="35"/>
      <x:c r="N164" s="35"/>
      <x:c r="O164" s="35"/>
      <x:c r="P164" s="35"/>
      <x:c r="Q164" s="35"/>
      <x:c r="R164" s="35"/>
      <x:c r="S164" s="35"/>
      <x:c r="T164" s="35"/>
      <x:c r="U164" s="35"/>
      <x:c r="V164" s="35"/>
      <x:c r="W164" s="35"/>
      <x:c r="X164" s="35"/>
      <x:c r="Y164" s="35"/>
      <x:c r="Z164" s="35"/>
      <x:c r="AA164" s="35"/>
    </x:row>
    <x:row r="165">
      <x:c r="A165" s="136" t="str">
        <x:v>Antietam | Contention | Forest Stream</x:v>
      </x:c>
      <x:c r="B165" s="136" t="str">
        <x:v>Gun | 12-pounder Napoleon (CSA) · Entity-1650 [map-8/014]</x:v>
      </x:c>
      <x:c r="C165" s="136" t="str">
        <x:v>gun_spawn</x:v>
      </x:c>
      <x:c r="D165" s="136" t="str"/>
      <x:c r="E165" s="136" t="str">
        <x:v>12-pounder Napoleon (CSA) · Entity-1650</x:v>
      </x:c>
      <x:c r="F165" s="137" t="n">
        <x:v>985.8418579101562</x:v>
      </x:c>
      <x:c r="G165" s="137" t="n">
        <x:v>1096.3048095703125</x:v>
      </x:c>
      <x:c r="H165" s="137" t="n">
        <x:v>47.0897331237793</x:v>
      </x:c>
      <x:c r="I165" s="137" t="n">
        <x:v>963.2736286225831</x:v>
      </x:c>
      <x:c r="J165" s="137" t="n">
        <x:v>1067.5433793160084</x:v>
      </x:c>
      <x:c r="K165" s="136" t="str">
        <x:v>map-8</x:v>
      </x:c>
      <x:c r="L165" s="136" t="str">
        <x:v>Antietam | Contention | Forest Stream||Gun | 12-pounder Napoleon (CSA) · Entity-1650 [map-8/014]</x:v>
      </x:c>
      <x:c r="M165" s="35"/>
      <x:c r="N165" s="35"/>
      <x:c r="O165" s="35"/>
      <x:c r="P165" s="35"/>
      <x:c r="Q165" s="35"/>
      <x:c r="R165" s="35"/>
      <x:c r="S165" s="35"/>
      <x:c r="T165" s="35"/>
      <x:c r="U165" s="35"/>
      <x:c r="V165" s="35"/>
      <x:c r="W165" s="35"/>
      <x:c r="X165" s="35"/>
      <x:c r="Y165" s="35"/>
      <x:c r="Z165" s="35"/>
      <x:c r="AA165" s="35"/>
    </x:row>
    <x:row r="166">
      <x:c r="A166" s="136" t="str">
        <x:v>Antietam | Contention | Forest Stream</x:v>
      </x:c>
      <x:c r="B166" s="136" t="str">
        <x:v>Gun | 12-pounder Napoleon (USA) · Entity-1639 [map-8/015]</x:v>
      </x:c>
      <x:c r="C166" s="136" t="str">
        <x:v>gun_spawn</x:v>
      </x:c>
      <x:c r="D166" s="136" t="str"/>
      <x:c r="E166" s="136" t="str">
        <x:v>12-pounder Napoleon (USA) · Entity-1639</x:v>
      </x:c>
      <x:c r="F166" s="137" t="n">
        <x:v>1126.777587890625</x:v>
      </x:c>
      <x:c r="G166" s="137" t="n">
        <x:v>1189.7650146484375</x:v>
      </x:c>
      <x:c r="H166" s="137" t="n">
        <x:v>38.231632232666016</x:v>
      </x:c>
      <x:c r="I166" s="137" t="n">
        <x:v>986.3181084751118</x:v>
      </x:c>
      <x:c r="J166" s="137" t="n">
        <x:v>710.1389071080094</x:v>
      </x:c>
      <x:c r="K166" s="136" t="str">
        <x:v>map-8</x:v>
      </x:c>
      <x:c r="L166" s="136" t="str">
        <x:v>Antietam | Contention | Forest Stream||Gun | 12-pounder Napoleon (USA) · Entity-1639 [map-8/015]</x:v>
      </x:c>
      <x:c r="M166" s="35"/>
      <x:c r="N166" s="35"/>
      <x:c r="O166" s="35"/>
      <x:c r="P166" s="35"/>
      <x:c r="Q166" s="35"/>
      <x:c r="R166" s="35"/>
      <x:c r="S166" s="35"/>
      <x:c r="T166" s="35"/>
      <x:c r="U166" s="35"/>
      <x:c r="V166" s="35"/>
      <x:c r="W166" s="35"/>
      <x:c r="X166" s="35"/>
      <x:c r="Y166" s="35"/>
      <x:c r="Z166" s="35"/>
      <x:c r="AA166" s="35"/>
    </x:row>
    <x:row r="167">
      <x:c r="A167" s="136" t="str">
        <x:v>Antietam | Contention | Forest Stream</x:v>
      </x:c>
      <x:c r="B167" s="136" t="str">
        <x:v>Gun | 12-pounder Napoleon (USA) · Entity-1638 [map-8/016]</x:v>
      </x:c>
      <x:c r="C167" s="136" t="str">
        <x:v>gun_spawn</x:v>
      </x:c>
      <x:c r="D167" s="136" t="str"/>
      <x:c r="E167" s="136" t="str">
        <x:v>12-pounder Napoleon (USA) · Entity-1638</x:v>
      </x:c>
      <x:c r="F167" s="137" t="n">
        <x:v>1136.44189453125</x:v>
      </x:c>
      <x:c r="G167" s="137" t="n">
        <x:v>1189.66796875</x:v>
      </x:c>
      <x:c r="H167" s="137" t="n">
        <x:v>36.69645309448242</x:v>
      </x:c>
      <x:c r="I167" s="137" t="n">
        <x:v>998.9105122282319</x:v>
      </x:c>
      <x:c r="J167" s="137" t="n">
        <x:v>693.9686101962665</x:v>
      </x:c>
      <x:c r="K167" s="136" t="str">
        <x:v>map-8</x:v>
      </x:c>
      <x:c r="L167" s="136" t="str">
        <x:v>Antietam | Contention | Forest Stream||Gun | 12-pounder Napoleon (USA) · Entity-1638 [map-8/016]</x:v>
      </x:c>
      <x:c r="M167" s="35"/>
      <x:c r="N167" s="35"/>
      <x:c r="O167" s="35"/>
      <x:c r="P167" s="35"/>
      <x:c r="Q167" s="35"/>
      <x:c r="R167" s="35"/>
      <x:c r="S167" s="35"/>
      <x:c r="T167" s="35"/>
      <x:c r="U167" s="35"/>
      <x:c r="V167" s="35"/>
      <x:c r="W167" s="35"/>
      <x:c r="X167" s="35"/>
      <x:c r="Y167" s="35"/>
      <x:c r="Z167" s="35"/>
      <x:c r="AA167" s="35"/>
    </x:row>
    <x:row r="168">
      <x:c r="A168" s="136" t="str">
        <x:v>Antietam | Contention | Forest Stream</x:v>
      </x:c>
      <x:c r="B168" s="136" t="str">
        <x:v>Gun | 3-inch Ordnance · Entity-1634 [map-8/017]</x:v>
      </x:c>
      <x:c r="C168" s="136" t="str">
        <x:v>gun_spawn</x:v>
      </x:c>
      <x:c r="D168" s="136" t="str"/>
      <x:c r="E168" s="136" t="str">
        <x:v>3-inch Ordnance · Entity-1634</x:v>
      </x:c>
      <x:c r="F168" s="137" t="n">
        <x:v>1170.3321533203125</x:v>
      </x:c>
      <x:c r="G168" s="137" t="n">
        <x:v>1190.1602783203125</x:v>
      </x:c>
      <x:c r="H168" s="137" t="n">
        <x:v>33.062931060791016</x:v>
      </x:c>
      <x:c r="I168" s="137" t="n">
        <x:v>1041.659508607941</x:v>
      </x:c>
      <x:c r="J168" s="137" t="n">
        <x:v>636.1964216924994</x:v>
      </x:c>
      <x:c r="K168" s="136" t="str">
        <x:v>map-8</x:v>
      </x:c>
      <x:c r="L168" s="136" t="str">
        <x:v>Antietam | Contention | Forest Stream||Gun | 3-inch Ordnance · Entity-1634 [map-8/017]</x:v>
      </x:c>
      <x:c r="M168" s="35"/>
      <x:c r="N168" s="35"/>
      <x:c r="O168" s="35"/>
      <x:c r="P168" s="35"/>
      <x:c r="Q168" s="35"/>
      <x:c r="R168" s="35"/>
      <x:c r="S168" s="35"/>
      <x:c r="T168" s="35"/>
      <x:c r="U168" s="35"/>
      <x:c r="V168" s="35"/>
      <x:c r="W168" s="35"/>
      <x:c r="X168" s="35"/>
      <x:c r="Y168" s="35"/>
      <x:c r="Z168" s="35"/>
      <x:c r="AA168" s="35"/>
    </x:row>
    <x:row r="169">
      <x:c r="A169" s="136" t="str">
        <x:v>Antietam | Contention | Forest Stream</x:v>
      </x:c>
      <x:c r="B169" s="136" t="str">
        <x:v>Gun | 3-inch Ordnance · Entity-1647 [map-8/018]</x:v>
      </x:c>
      <x:c r="C169" s="136" t="str">
        <x:v>gun_spawn</x:v>
      </x:c>
      <x:c r="D169" s="136" t="str"/>
      <x:c r="E169" s="136" t="str">
        <x:v>3-inch Ordnance · Entity-1647</x:v>
      </x:c>
      <x:c r="F169" s="137" t="n">
        <x:v>995.83251953125</x:v>
      </x:c>
      <x:c r="G169" s="137" t="n">
        <x:v>1116.9349365234375</x:v>
      </x:c>
      <x:c r="H169" s="137" t="n">
        <x:v>47.16301727294922</x:v>
      </x:c>
      <x:c r="I169" s="137" t="n">
        <x:v>941.2016236197948</x:v>
      </x:c>
      <x:c r="J169" s="137" t="n">
        <x:v>1024.2591533780221</x:v>
      </x:c>
      <x:c r="K169" s="136" t="str">
        <x:v>map-8</x:v>
      </x:c>
      <x:c r="L169" s="136" t="str">
        <x:v>Antietam | Contention | Forest Stream||Gun | 3-inch Ordnance · Entity-1647 [map-8/018]</x:v>
      </x:c>
      <x:c r="M169" s="35"/>
      <x:c r="N169" s="35"/>
      <x:c r="O169" s="35"/>
      <x:c r="P169" s="35"/>
      <x:c r="Q169" s="35"/>
      <x:c r="R169" s="35"/>
      <x:c r="S169" s="35"/>
      <x:c r="T169" s="35"/>
      <x:c r="U169" s="35"/>
      <x:c r="V169" s="35"/>
      <x:c r="W169" s="35"/>
      <x:c r="X169" s="35"/>
      <x:c r="Y169" s="35"/>
      <x:c r="Z169" s="35"/>
      <x:c r="AA169" s="35"/>
    </x:row>
    <x:row r="170">
      <x:c r="A170" s="136" t="str">
        <x:v>Antietam | Contention | Forest Stream</x:v>
      </x:c>
      <x:c r="B170" s="136" t="str">
        <x:v>Gun | 3-inch Ordnance · Entity-1636 [map-8/019]</x:v>
      </x:c>
      <x:c r="C170" s="136" t="str">
        <x:v>gun_spawn</x:v>
      </x:c>
      <x:c r="D170" s="136" t="str"/>
      <x:c r="E170" s="136" t="str">
        <x:v>3-inch Ordnance · Entity-1636</x:v>
      </x:c>
      <x:c r="F170" s="137" t="n">
        <x:v>1154.1146240234375</x:v>
      </x:c>
      <x:c r="G170" s="137" t="n">
        <x:v>1190.0758056640625</x:v>
      </x:c>
      <x:c r="H170" s="137" t="n">
        <x:v>34.527000427246094</x:v>
      </x:c>
      <x:c r="I170" s="137" t="n">
        <x:v>1020.9470188814329</x:v>
      </x:c>
      <x:c r="J170" s="137" t="n">
        <x:v>663.6485236495797</x:v>
      </x:c>
      <x:c r="K170" s="136" t="str">
        <x:v>map-8</x:v>
      </x:c>
      <x:c r="L170" s="136" t="str">
        <x:v>Antietam | Contention | Forest Stream||Gun | 3-inch Ordnance · Entity-1636 [map-8/019]</x:v>
      </x:c>
      <x:c r="M170" s="35"/>
      <x:c r="N170" s="35"/>
      <x:c r="O170" s="35"/>
      <x:c r="P170" s="35"/>
      <x:c r="Q170" s="35"/>
      <x:c r="R170" s="35"/>
      <x:c r="S170" s="35"/>
      <x:c r="T170" s="35"/>
      <x:c r="U170" s="35"/>
      <x:c r="V170" s="35"/>
      <x:c r="W170" s="35"/>
      <x:c r="X170" s="35"/>
      <x:c r="Y170" s="35"/>
      <x:c r="Z170" s="35"/>
      <x:c r="AA170" s="35"/>
    </x:row>
    <x:row r="171">
      <x:c r="A171" s="136" t="str">
        <x:v>Antietam | Contention | Forest Stream</x:v>
      </x:c>
      <x:c r="B171" s="136" t="str">
        <x:v>Gun | 12-pounder Napoleon (CSA) · Entity-1651 [map-8/020]</x:v>
      </x:c>
      <x:c r="C171" s="136" t="str">
        <x:v>gun_spawn</x:v>
      </x:c>
      <x:c r="D171" s="136" t="str"/>
      <x:c r="E171" s="136" t="str">
        <x:v>12-pounder Napoleon (CSA) · Entity-1651</x:v>
      </x:c>
      <x:c r="F171" s="137" t="n">
        <x:v>981.3722534179688</x:v>
      </x:c>
      <x:c r="G171" s="137" t="n">
        <x:v>1087.4439697265625</x:v>
      </x:c>
      <x:c r="H171" s="137" t="n">
        <x:v>46.862884521484375</x:v>
      </x:c>
      <x:c r="I171" s="137" t="n">
        <x:v>972.5241974977589</x:v>
      </x:c>
      <x:c r="J171" s="137" t="n">
        <x:v>1086.4353685086178</x:v>
      </x:c>
      <x:c r="K171" s="136" t="str">
        <x:v>map-8</x:v>
      </x:c>
      <x:c r="L171" s="136" t="str">
        <x:v>Antietam | Contention | Forest Stream||Gun | 12-pounder Napoleon (CSA) · Entity-1651 [map-8/020]</x:v>
      </x:c>
      <x:c r="M171" s="35"/>
      <x:c r="N171" s="35"/>
      <x:c r="O171" s="35"/>
      <x:c r="P171" s="35"/>
      <x:c r="Q171" s="35"/>
      <x:c r="R171" s="35"/>
      <x:c r="S171" s="35"/>
      <x:c r="T171" s="35"/>
      <x:c r="U171" s="35"/>
      <x:c r="V171" s="35"/>
      <x:c r="W171" s="35"/>
      <x:c r="X171" s="35"/>
      <x:c r="Y171" s="35"/>
      <x:c r="Z171" s="35"/>
      <x:c r="AA171" s="35"/>
    </x:row>
    <x:row r="172">
      <x:c r="A172" s="136" t="str">
        <x:v>Antietam | Contention | Forest Stream</x:v>
      </x:c>
      <x:c r="B172" s="136" t="str">
        <x:v>Gun | 12-pounder Napoleon (USA) · Entity-1637 [map-8/021]</x:v>
      </x:c>
      <x:c r="C172" s="136" t="str">
        <x:v>gun_spawn</x:v>
      </x:c>
      <x:c r="D172" s="136" t="str"/>
      <x:c r="E172" s="136" t="str">
        <x:v>12-pounder Napoleon (USA) · Entity-1637</x:v>
      </x:c>
      <x:c r="F172" s="137" t="n">
        <x:v>1145.94921875</x:v>
      </x:c>
      <x:c r="G172" s="137" t="n">
        <x:v>1189.885009765625</x:v>
      </x:c>
      <x:c r="H172" s="137" t="n">
        <x:v>35.4361686706543</x:v>
      </x:c>
      <x:c r="I172" s="137" t="n">
        <x:v>1010.7693962399667</x:v>
      </x:c>
      <x:c r="J172" s="137" t="n">
        <x:v>677.6604665186219</x:v>
      </x:c>
      <x:c r="K172" s="136" t="str">
        <x:v>map-8</x:v>
      </x:c>
      <x:c r="L172" s="136" t="str">
        <x:v>Antietam | Contention | Forest Stream||Gun | 12-pounder Napoleon (USA) · Entity-1637 [map-8/021]</x:v>
      </x:c>
      <x:c r="M172" s="35"/>
      <x:c r="N172" s="35"/>
      <x:c r="O172" s="35"/>
      <x:c r="P172" s="35"/>
      <x:c r="Q172" s="35"/>
      <x:c r="R172" s="35"/>
      <x:c r="S172" s="35"/>
      <x:c r="T172" s="35"/>
      <x:c r="U172" s="35"/>
      <x:c r="V172" s="35"/>
      <x:c r="W172" s="35"/>
      <x:c r="X172" s="35"/>
      <x:c r="Y172" s="35"/>
      <x:c r="Z172" s="35"/>
      <x:c r="AA172" s="35"/>
    </x:row>
    <x:row r="173">
      <x:c r="A173" s="136" t="str">
        <x:v>Antietam | Contention | Forest Stream</x:v>
      </x:c>
      <x:c r="B173" s="136" t="str">
        <x:v>Gun | 3-inch Ordnance · Entity-1646 [map-8/022]</x:v>
      </x:c>
      <x:c r="C173" s="136" t="str">
        <x:v>gun_spawn</x:v>
      </x:c>
      <x:c r="D173" s="136" t="str"/>
      <x:c r="E173" s="136" t="str">
        <x:v>3-inch Ordnance · Entity-1646</x:v>
      </x:c>
      <x:c r="F173" s="137" t="n">
        <x:v>999.5443725585938</x:v>
      </x:c>
      <x:c r="G173" s="137" t="n">
        <x:v>1123.3009033203125</x:v>
      </x:c>
      <x:c r="H173" s="137" t="n">
        <x:v>47.12861633300781</x:v>
      </x:c>
      <x:c r="I173" s="137" t="n">
        <x:v>935.1995755028796</x:v>
      </x:c>
      <x:c r="J173" s="137" t="n">
        <x:v>1009.8421805598433</x:v>
      </x:c>
      <x:c r="K173" s="136" t="str">
        <x:v>map-8</x:v>
      </x:c>
      <x:c r="L173" s="136" t="str">
        <x:v>Antietam | Contention | Forest Stream||Gun | 3-inch Ordnance · Entity-1646 [map-8/022]</x:v>
      </x:c>
      <x:c r="M173" s="35"/>
      <x:c r="N173" s="35"/>
      <x:c r="O173" s="35"/>
      <x:c r="P173" s="35"/>
      <x:c r="Q173" s="35"/>
      <x:c r="R173" s="35"/>
      <x:c r="S173" s="35"/>
      <x:c r="T173" s="35"/>
      <x:c r="U173" s="35"/>
      <x:c r="V173" s="35"/>
      <x:c r="W173" s="35"/>
      <x:c r="X173" s="35"/>
      <x:c r="Y173" s="35"/>
      <x:c r="Z173" s="35"/>
      <x:c r="AA173" s="35"/>
    </x:row>
    <x:row r="174">
      <x:c r="A174" s="136" t="str">
        <x:v>Antietam | Contention | Forest Stream</x:v>
      </x:c>
      <x:c r="B174" s="136" t="str">
        <x:v>Gun | 12-pounder Napoleon (USA) · Entity-1649 [map-8/023]</x:v>
      </x:c>
      <x:c r="C174" s="136" t="str">
        <x:v>gun_spawn</x:v>
      </x:c>
      <x:c r="D174" s="136" t="str"/>
      <x:c r="E174" s="136" t="str">
        <x:v>12-pounder Napoleon (USA) · Entity-1649</x:v>
      </x:c>
      <x:c r="F174" s="137" t="n">
        <x:v>989.6253051757812</x:v>
      </x:c>
      <x:c r="G174" s="137" t="n">
        <x:v>1103.8416748046875</x:v>
      </x:c>
      <x:c r="H174" s="137" t="n">
        <x:v>47.11859130859375</x:v>
      </x:c>
      <x:c r="I174" s="137" t="n">
        <x:v>955.3817143298639</x:v>
      </x:c>
      <x:c r="J174" s="137" t="n">
        <x:v>1051.505085740529</x:v>
      </x:c>
      <x:c r="K174" s="136" t="str">
        <x:v>map-8</x:v>
      </x:c>
      <x:c r="L174" s="136" t="str">
        <x:v>Antietam | Contention | Forest Stream||Gun | 12-pounder Napoleon (USA) · Entity-1649 [map-8/023]</x:v>
      </x:c>
      <x:c r="M174" s="35"/>
      <x:c r="N174" s="35"/>
      <x:c r="O174" s="35"/>
      <x:c r="P174" s="35"/>
      <x:c r="Q174" s="35"/>
      <x:c r="R174" s="35"/>
      <x:c r="S174" s="35"/>
      <x:c r="T174" s="35"/>
      <x:c r="U174" s="35"/>
      <x:c r="V174" s="35"/>
      <x:c r="W174" s="35"/>
      <x:c r="X174" s="35"/>
      <x:c r="Y174" s="35"/>
      <x:c r="Z174" s="35"/>
      <x:c r="AA174" s="35"/>
    </x:row>
    <x:row r="175">
      <x:c r="A175" s="136" t="str">
        <x:v>Antietam | Contention | Framing Fencelines</x:v>
      </x:c>
      <x:c r="B175" s="136" t="str">
        <x:v>Spawn | CSA CQ3_Spawnpoint_CSA_Infantry_2 [map-9/001]</x:v>
      </x:c>
      <x:c r="C175" s="136" t="str">
        <x:v>spawn</x:v>
      </x:c>
      <x:c r="D175" s="136" t="str">
        <x:v>CSA</x:v>
      </x:c>
      <x:c r="E175" s="136" t="str">
        <x:v>CQ3_Spawnpoint_CSA_Infantry_2</x:v>
      </x:c>
      <x:c r="F175" s="137" t="n">
        <x:v>926.87744140625</x:v>
      </x:c>
      <x:c r="G175" s="137" t="n">
        <x:v>1316.06689453125</x:v>
      </x:c>
      <x:c r="H175" s="137" t="n">
        <x:v>56.90690994262695</x:v>
      </x:c>
      <x:c r="I175" s="137" t="n">
        <x:v>1843.1845176909624</x:v>
      </x:c>
      <x:c r="J175" s="137" t="n">
        <x:v>983.4014628720774</x:v>
      </x:c>
      <x:c r="K175" s="136" t="str">
        <x:v>map-9</x:v>
      </x:c>
      <x:c r="L175" s="136" t="str">
        <x:v>Antietam | Contention | Framing Fencelines||Spawn | CSA CQ3_Spawnpoint_CSA_Infantry_2 [map-9/001]</x:v>
      </x:c>
      <x:c r="M175" s="35"/>
      <x:c r="N175" s="35"/>
      <x:c r="O175" s="35"/>
      <x:c r="P175" s="35"/>
      <x:c r="Q175" s="35"/>
      <x:c r="R175" s="35"/>
      <x:c r="S175" s="35"/>
      <x:c r="T175" s="35"/>
      <x:c r="U175" s="35"/>
      <x:c r="V175" s="35"/>
      <x:c r="W175" s="35"/>
      <x:c r="X175" s="35"/>
      <x:c r="Y175" s="35"/>
      <x:c r="Z175" s="35"/>
      <x:c r="AA175" s="35"/>
    </x:row>
    <x:row r="176">
      <x:c r="A176" s="136" t="str">
        <x:v>Antietam | Contention | Framing Fencelines</x:v>
      </x:c>
      <x:c r="B176" s="136" t="str">
        <x:v>Spawn | CSA CQ3_Spawnpoint_CSA_Infantry_0 [map-9/002]</x:v>
      </x:c>
      <x:c r="C176" s="136" t="str">
        <x:v>spawn</x:v>
      </x:c>
      <x:c r="D176" s="136" t="str">
        <x:v>CSA</x:v>
      </x:c>
      <x:c r="E176" s="136" t="str">
        <x:v>CQ3_Spawnpoint_CSA_Infantry_0</x:v>
      </x:c>
      <x:c r="F176" s="137" t="n">
        <x:v>890.5552368164062</x:v>
      </x:c>
      <x:c r="G176" s="137" t="n">
        <x:v>1323.7996826171875</x:v>
      </x:c>
      <x:c r="H176" s="137" t="n">
        <x:v>60.633392333984375</x:v>
      </x:c>
      <x:c r="I176" s="137" t="n">
        <x:v>1791.68742806875</x:v>
      </x:c>
      <x:c r="J176" s="137" t="n">
        <x:v>1027.65353482657</x:v>
      </x:c>
      <x:c r="K176" s="136" t="str">
        <x:v>map-9</x:v>
      </x:c>
      <x:c r="L176" s="136" t="str">
        <x:v>Antietam | Contention | Framing Fencelines||Spawn | CSA CQ3_Spawnpoint_CSA_Infantry_0 [map-9/002]</x:v>
      </x:c>
      <x:c r="M176" s="35"/>
      <x:c r="N176" s="35"/>
      <x:c r="O176" s="35"/>
      <x:c r="P176" s="35"/>
      <x:c r="Q176" s="35"/>
      <x:c r="R176" s="35"/>
      <x:c r="S176" s="35"/>
      <x:c r="T176" s="35"/>
      <x:c r="U176" s="35"/>
      <x:c r="V176" s="35"/>
      <x:c r="W176" s="35"/>
      <x:c r="X176" s="35"/>
      <x:c r="Y176" s="35"/>
      <x:c r="Z176" s="35"/>
      <x:c r="AA176" s="35"/>
    </x:row>
    <x:row r="177">
      <x:c r="A177" s="136" t="str">
        <x:v>Antietam | Contention | Framing Fencelines</x:v>
      </x:c>
      <x:c r="B177" s="136" t="str">
        <x:v>Spawn | USA CQ3_Spawnpoint_USA_Infantry_2 [map-9/003]</x:v>
      </x:c>
      <x:c r="C177" s="136" t="str">
        <x:v>spawn</x:v>
      </x:c>
      <x:c r="D177" s="136" t="str">
        <x:v>USA</x:v>
      </x:c>
      <x:c r="E177" s="136" t="str">
        <x:v>CQ3_Spawnpoint_USA_Infantry_2</x:v>
      </x:c>
      <x:c r="F177" s="137" t="n">
        <x:v>284.81103515625</x:v>
      </x:c>
      <x:c r="G177" s="137" t="n">
        <x:v>1451.764892578125</x:v>
      </x:c>
      <x:c r="H177" s="137" t="n">
        <x:v>59.933433532714844</x:v>
      </x:c>
      <x:c r="I177" s="137" t="n">
        <x:v>934.3192640122771</x:v>
      </x:c>
      <x:c r="J177" s="137" t="n">
        <x:v>1766.743791431689</x:v>
      </x:c>
      <x:c r="K177" s="136" t="str">
        <x:v>map-9</x:v>
      </x:c>
      <x:c r="L177" s="136" t="str">
        <x:v>Antietam | Contention | Framing Fencelines||Spawn | USA CQ3_Spawnpoint_USA_Infantry_2 [map-9/003]</x:v>
      </x:c>
      <x:c r="M177" s="35"/>
      <x:c r="N177" s="35"/>
      <x:c r="O177" s="35"/>
      <x:c r="P177" s="35"/>
      <x:c r="Q177" s="35"/>
      <x:c r="R177" s="35"/>
      <x:c r="S177" s="35"/>
      <x:c r="T177" s="35"/>
      <x:c r="U177" s="35"/>
      <x:c r="V177" s="35"/>
      <x:c r="W177" s="35"/>
      <x:c r="X177" s="35"/>
      <x:c r="Y177" s="35"/>
      <x:c r="Z177" s="35"/>
      <x:c r="AA177" s="35"/>
    </x:row>
    <x:row r="178">
      <x:c r="A178" s="136" t="str">
        <x:v>Antietam | Contention | Framing Fencelines</x:v>
      </x:c>
      <x:c r="B178" s="136" t="str">
        <x:v>Artillery | USA CQ3_Spawnpoint_USA_Artillery_Forward [map-9/004]</x:v>
      </x:c>
      <x:c r="C178" s="136" t="str">
        <x:v>battery</x:v>
      </x:c>
      <x:c r="D178" s="136" t="str">
        <x:v>USA</x:v>
      </x:c>
      <x:c r="E178" s="136" t="str">
        <x:v>CQ3_Spawnpoint_USA_Artillery_Forward</x:v>
      </x:c>
      <x:c r="F178" s="137" t="n">
        <x:v>371.3629455566406</x:v>
      </x:c>
      <x:c r="G178" s="137" t="n">
        <x:v>1651.671142578125</x:v>
      </x:c>
      <x:c r="H178" s="137" t="n">
        <x:v>60.949039459228516</x:v>
      </x:c>
      <x:c r="I178" s="137" t="n">
        <x:v>739.2536045453884</x:v>
      </x:c>
      <x:c r="J178" s="137" t="n">
        <x:v>1419.756314056916</x:v>
      </x:c>
      <x:c r="K178" s="136" t="str">
        <x:v>map-9</x:v>
      </x:c>
      <x:c r="L178" s="136" t="str">
        <x:v>Antietam | Contention | Framing Fencelines||Artillery | USA CQ3_Spawnpoint_USA_Artillery_Forward [map-9/004]</x:v>
      </x:c>
      <x:c r="M178" s="35"/>
      <x:c r="N178" s="35"/>
      <x:c r="O178" s="35"/>
      <x:c r="P178" s="35"/>
      <x:c r="Q178" s="35"/>
      <x:c r="R178" s="35"/>
      <x:c r="S178" s="35"/>
      <x:c r="T178" s="35"/>
      <x:c r="U178" s="35"/>
      <x:c r="V178" s="35"/>
      <x:c r="W178" s="35"/>
      <x:c r="X178" s="35"/>
      <x:c r="Y178" s="35"/>
      <x:c r="Z178" s="35"/>
      <x:c r="AA178" s="35"/>
    </x:row>
    <x:row r="179">
      <x:c r="A179" s="136" t="str">
        <x:v>Antietam | Contention | Framing Fencelines</x:v>
      </x:c>
      <x:c r="B179" s="136" t="str">
        <x:v>Spawn | CSA CQ3_Spawnpoint_CSA_Infantry_1 [map-9/005]</x:v>
      </x:c>
      <x:c r="C179" s="136" t="str">
        <x:v>spawn</x:v>
      </x:c>
      <x:c r="D179" s="136" t="str">
        <x:v>CSA</x:v>
      </x:c>
      <x:c r="E179" s="136" t="str">
        <x:v>CQ3_Spawnpoint_CSA_Infantry_1</x:v>
      </x:c>
      <x:c r="F179" s="137" t="n">
        <x:v>912.737060546875</x:v>
      </x:c>
      <x:c r="G179" s="137" t="n">
        <x:v>1316.22802734375</x:v>
      </x:c>
      <x:c r="H179" s="137" t="n">
        <x:v>57.50151062011719</x:v>
      </x:c>
      <x:c r="I179" s="137" t="n">
        <x:v>1827.2835378027673</x:v>
      </x:c>
      <x:c r="J179" s="137" t="n">
        <x:v>1003.7810992168326</x:v>
      </x:c>
      <x:c r="K179" s="136" t="str">
        <x:v>map-9</x:v>
      </x:c>
      <x:c r="L179" s="136" t="str">
        <x:v>Antietam | Contention | Framing Fencelines||Spawn | CSA CQ3_Spawnpoint_CSA_Infantry_1 [map-9/005]</x:v>
      </x:c>
      <x:c r="M179" s="35"/>
      <x:c r="N179" s="35"/>
      <x:c r="O179" s="35"/>
      <x:c r="P179" s="35"/>
      <x:c r="Q179" s="35"/>
      <x:c r="R179" s="35"/>
      <x:c r="S179" s="35"/>
      <x:c r="T179" s="35"/>
      <x:c r="U179" s="35"/>
      <x:c r="V179" s="35"/>
      <x:c r="W179" s="35"/>
      <x:c r="X179" s="35"/>
      <x:c r="Y179" s="35"/>
      <x:c r="Z179" s="35"/>
      <x:c r="AA179" s="35"/>
    </x:row>
    <x:row r="180">
      <x:c r="A180" s="136" t="str">
        <x:v>Antietam | Contention | Framing Fencelines</x:v>
      </x:c>
      <x:c r="B180" s="136" t="str">
        <x:v>Artillery | CSA CQ3_Spawnpoint_CSA_Artillery_Forward [map-9/006]</x:v>
      </x:c>
      <x:c r="C180" s="136" t="str">
        <x:v>battery</x:v>
      </x:c>
      <x:c r="D180" s="136" t="str">
        <x:v>CSA</x:v>
      </x:c>
      <x:c r="E180" s="136" t="str">
        <x:v>CQ3_Spawnpoint_CSA_Artillery_Forward</x:v>
      </x:c>
      <x:c r="F180" s="137" t="n">
        <x:v>814.6019897460938</x:v>
      </x:c>
      <x:c r="G180" s="137" t="n">
        <x:v>1451.5107421875</x:v>
      </x:c>
      <x:c r="H180" s="137" t="n">
        <x:v>70.72966766357422</x:v>
      </x:c>
      <x:c r="I180" s="137" t="n">
        <x:v>1521.6568302004507</x:v>
      </x:c>
      <x:c r="J180" s="137" t="n">
        <x:v>996.7919926391055</x:v>
      </x:c>
      <x:c r="K180" s="136" t="str">
        <x:v>map-9</x:v>
      </x:c>
      <x:c r="L180" s="136" t="str">
        <x:v>Antietam | Contention | Framing Fencelines||Artillery | CSA CQ3_Spawnpoint_CSA_Artillery_Forward [map-9/006]</x:v>
      </x:c>
      <x:c r="M180" s="35"/>
      <x:c r="N180" s="35"/>
      <x:c r="O180" s="35"/>
      <x:c r="P180" s="35"/>
      <x:c r="Q180" s="35"/>
      <x:c r="R180" s="35"/>
      <x:c r="S180" s="35"/>
      <x:c r="T180" s="35"/>
      <x:c r="U180" s="35"/>
      <x:c r="V180" s="35"/>
      <x:c r="W180" s="35"/>
      <x:c r="X180" s="35"/>
      <x:c r="Y180" s="35"/>
      <x:c r="Z180" s="35"/>
      <x:c r="AA180" s="35"/>
    </x:row>
    <x:row r="181">
      <x:c r="A181" s="136" t="str">
        <x:v>Antietam | Contention | Framing Fencelines</x:v>
      </x:c>
      <x:c r="B181" s="136" t="str">
        <x:v>Objective | Victory_Conquest_3 [map-9/007]</x:v>
      </x:c>
      <x:c r="C181" s="136" t="str">
        <x:v>objective</x:v>
      </x:c>
      <x:c r="D181" s="136" t="str"/>
      <x:c r="E181" s="136" t="str">
        <x:v>Victory_Conquest_3</x:v>
      </x:c>
      <x:c r="F181" s="137" t="n">
        <x:v>944.1259765625</x:v>
      </x:c>
      <x:c r="G181" s="137" t="n">
        <x:v>1587.4041748046875</x:v>
      </x:c>
      <x:c r="H181" s="137" t="n">
        <x:v>64.59215545654297</x:v>
      </x:c>
      <x:c r="I181" s="137" t="n">
        <x:v>1467.3699756432475</x:v>
      </x:c>
      <x:c r="J181" s="137" t="n">
        <x:v>658.1466872070722</x:v>
      </x:c>
      <x:c r="K181" s="136" t="str">
        <x:v>map-9</x:v>
      </x:c>
      <x:c r="L181" s="136" t="str">
        <x:v>Antietam | Contention | Framing Fencelines||Objective | Victory_Conquest_3 [map-9/007]</x:v>
      </x:c>
      <x:c r="M181" s="35"/>
      <x:c r="N181" s="35"/>
      <x:c r="O181" s="35"/>
      <x:c r="P181" s="35"/>
      <x:c r="Q181" s="35"/>
      <x:c r="R181" s="35"/>
      <x:c r="S181" s="35"/>
      <x:c r="T181" s="35"/>
      <x:c r="U181" s="35"/>
      <x:c r="V181" s="35"/>
      <x:c r="W181" s="35"/>
      <x:c r="X181" s="35"/>
      <x:c r="Y181" s="35"/>
      <x:c r="Z181" s="35"/>
      <x:c r="AA181" s="35"/>
    </x:row>
    <x:row r="182">
      <x:c r="A182" s="136" t="str">
        <x:v>Antietam | Contention | Framing Fencelines</x:v>
      </x:c>
      <x:c r="B182" s="136" t="str">
        <x:v>Artillery | USA CQ3_Spawnpoint_USA_Artillery_Staging [map-9/008]</x:v>
      </x:c>
      <x:c r="C182" s="136" t="str">
        <x:v>battery</x:v>
      </x:c>
      <x:c r="D182" s="136" t="str">
        <x:v>USA</x:v>
      </x:c>
      <x:c r="E182" s="136" t="str">
        <x:v>CQ3_Spawnpoint_USA_Artillery_Staging</x:v>
      </x:c>
      <x:c r="F182" s="137" t="n">
        <x:v>270.0237731933594</x:v>
      </x:c>
      <x:c r="G182" s="137" t="n">
        <x:v>1445.5123291015625</x:v>
      </x:c>
      <x:c r="H182" s="137" t="n">
        <x:v>58.076820373535156</x:v>
      </x:c>
      <x:c r="I182" s="137" t="n">
        <x:v>927.0365633666981</x:v>
      </x:c>
      <x:c r="J182" s="137" t="n">
        <x:v>1795.1593087577432</x:v>
      </x:c>
      <x:c r="K182" s="136" t="str">
        <x:v>map-9</x:v>
      </x:c>
      <x:c r="L182" s="136" t="str">
        <x:v>Antietam | Contention | Framing Fencelines||Artillery | USA CQ3_Spawnpoint_USA_Artillery_Staging [map-9/008]</x:v>
      </x:c>
      <x:c r="M182" s="35"/>
      <x:c r="N182" s="35"/>
      <x:c r="O182" s="35"/>
      <x:c r="P182" s="35"/>
      <x:c r="Q182" s="35"/>
      <x:c r="R182" s="35"/>
      <x:c r="S182" s="35"/>
      <x:c r="T182" s="35"/>
      <x:c r="U182" s="35"/>
      <x:c r="V182" s="35"/>
      <x:c r="W182" s="35"/>
      <x:c r="X182" s="35"/>
      <x:c r="Y182" s="35"/>
      <x:c r="Z182" s="35"/>
      <x:c r="AA182" s="35"/>
    </x:row>
    <x:row r="183">
      <x:c r="A183" s="136" t="str">
        <x:v>Antietam | Contention | Framing Fencelines</x:v>
      </x:c>
      <x:c r="B183" s="136" t="str">
        <x:v>Spawn | USA CQ3_Spawnpoint_USA_Infantry_0 [map-9/009]</x:v>
      </x:c>
      <x:c r="C183" s="136" t="str">
        <x:v>spawn</x:v>
      </x:c>
      <x:c r="D183" s="136" t="str">
        <x:v>USA</x:v>
      </x:c>
      <x:c r="E183" s="136" t="str">
        <x:v>CQ3_Spawnpoint_USA_Infantry_0</x:v>
      </x:c>
      <x:c r="F183" s="137" t="n">
        <x:v>255.62005615234375</x:v>
      </x:c>
      <x:c r="G183" s="137" t="n">
        <x:v>1462.60791015625</x:v>
      </x:c>
      <x:c r="H183" s="137" t="n">
        <x:v>57.26398468017578</x:v>
      </x:c>
      <x:c r="I183" s="137" t="n">
        <x:v>886.1961633445667</x:v>
      </x:c>
      <x:c r="J183" s="137" t="n">
        <x:v>1797.1873594787905</x:v>
      </x:c>
      <x:c r="K183" s="136" t="str">
        <x:v>map-9</x:v>
      </x:c>
      <x:c r="L183" s="136" t="str">
        <x:v>Antietam | Contention | Framing Fencelines||Spawn | USA CQ3_Spawnpoint_USA_Infantry_0 [map-9/009]</x:v>
      </x:c>
      <x:c r="M183" s="35"/>
      <x:c r="N183" s="35"/>
      <x:c r="O183" s="35"/>
      <x:c r="P183" s="35"/>
      <x:c r="Q183" s="35"/>
      <x:c r="R183" s="35"/>
      <x:c r="S183" s="35"/>
      <x:c r="T183" s="35"/>
      <x:c r="U183" s="35"/>
      <x:c r="V183" s="35"/>
      <x:c r="W183" s="35"/>
      <x:c r="X183" s="35"/>
      <x:c r="Y183" s="35"/>
      <x:c r="Z183" s="35"/>
      <x:c r="AA183" s="35"/>
    </x:row>
    <x:row r="184">
      <x:c r="A184" s="136" t="str">
        <x:v>Antietam | Contention | Framing Fencelines</x:v>
      </x:c>
      <x:c r="B184" s="136" t="str">
        <x:v>Spawn | USA CQ3_Spawnpoint_USA_Cavalry_0 [map-9/010]</x:v>
      </x:c>
      <x:c r="C184" s="136" t="str">
        <x:v>spawn</x:v>
      </x:c>
      <x:c r="D184" s="136" t="str">
        <x:v>USA</x:v>
      </x:c>
      <x:c r="E184" s="136" t="str">
        <x:v>CQ3_Spawnpoint_USA_Cavalry_0</x:v>
      </x:c>
      <x:c r="F184" s="137" t="n">
        <x:v>216.28057861328125</x:v>
      </x:c>
      <x:c r="G184" s="137" t="n">
        <x:v>1320.3955078125</x:v>
      </x:c>
      <x:c r="H184" s="137" t="n">
        <x:v>57.355560302734375</x:v>
      </x:c>
      <x:c r="I184" s="137" t="n">
        <x:v>1049.5976240362447</x:v>
      </x:c>
      <x:c r="J184" s="137" t="n">
        <x:v>2011.7091537795536</x:v>
      </x:c>
      <x:c r="K184" s="136" t="str">
        <x:v>map-9</x:v>
      </x:c>
      <x:c r="L184" s="136" t="str">
        <x:v>Antietam | Contention | Framing Fencelines||Spawn | USA CQ3_Spawnpoint_USA_Cavalry_0 [map-9/010]</x:v>
      </x:c>
      <x:c r="M184" s="35"/>
      <x:c r="N184" s="35"/>
      <x:c r="O184" s="35"/>
      <x:c r="P184" s="35"/>
      <x:c r="Q184" s="35"/>
      <x:c r="R184" s="35"/>
      <x:c r="S184" s="35"/>
      <x:c r="T184" s="35"/>
      <x:c r="U184" s="35"/>
      <x:c r="V184" s="35"/>
      <x:c r="W184" s="35"/>
      <x:c r="X184" s="35"/>
      <x:c r="Y184" s="35"/>
      <x:c r="Z184" s="35"/>
      <x:c r="AA184" s="35"/>
    </x:row>
    <x:row r="185">
      <x:c r="A185" s="136" t="str">
        <x:v>Antietam | Contention | Framing Fencelines</x:v>
      </x:c>
      <x:c r="B185" s="136" t="str">
        <x:v>Spawn | USA CQ3_Spawnpoint_USA_Infantry_1 [map-9/011]</x:v>
      </x:c>
      <x:c r="C185" s="136" t="str">
        <x:v>spawn</x:v>
      </x:c>
      <x:c r="D185" s="136" t="str">
        <x:v>USA</x:v>
      </x:c>
      <x:c r="E185" s="136" t="str">
        <x:v>CQ3_Spawnpoint_USA_Infantry_1</x:v>
      </x:c>
      <x:c r="F185" s="137" t="n">
        <x:v>282.1822204589844</x:v>
      </x:c>
      <x:c r="G185" s="137" t="n">
        <x:v>1462.6708984375</x:v>
      </x:c>
      <x:c r="H185" s="137" t="n">
        <x:v>60.0921630859375</x:v>
      </x:c>
      <x:c r="I185" s="137" t="n">
        <x:v>915.533321904029</x:v>
      </x:c>
      <x:c r="J185" s="137" t="n">
        <x:v>1758.5004548076656</x:v>
      </x:c>
      <x:c r="K185" s="136" t="str">
        <x:v>map-9</x:v>
      </x:c>
      <x:c r="L185" s="136" t="str">
        <x:v>Antietam | Contention | Framing Fencelines||Spawn | USA CQ3_Spawnpoint_USA_Infantry_1 [map-9/011]</x:v>
      </x:c>
      <x:c r="M185" s="35"/>
      <x:c r="N185" s="35"/>
      <x:c r="O185" s="35"/>
      <x:c r="P185" s="35"/>
      <x:c r="Q185" s="35"/>
      <x:c r="R185" s="35"/>
      <x:c r="S185" s="35"/>
      <x:c r="T185" s="35"/>
      <x:c r="U185" s="35"/>
      <x:c r="V185" s="35"/>
      <x:c r="W185" s="35"/>
      <x:c r="X185" s="35"/>
      <x:c r="Y185" s="35"/>
      <x:c r="Z185" s="35"/>
      <x:c r="AA185" s="35"/>
    </x:row>
    <x:row r="186">
      <x:c r="A186" s="136" t="str">
        <x:v>Antietam | Contention | Framing Fencelines</x:v>
      </x:c>
      <x:c r="B186" s="136" t="str">
        <x:v>Artillery | CSA CQ3_Spawnpoint_CSA_Artillery_Staging [map-9/012]</x:v>
      </x:c>
      <x:c r="C186" s="136" t="str">
        <x:v>battery</x:v>
      </x:c>
      <x:c r="D186" s="136" t="str">
        <x:v>CSA</x:v>
      </x:c>
      <x:c r="E186" s="136" t="str">
        <x:v>CQ3_Spawnpoint_CSA_Artillery_Staging</x:v>
      </x:c>
      <x:c r="F186" s="137" t="n">
        <x:v>865.4881591796875</x:v>
      </x:c>
      <x:c r="G186" s="137" t="n">
        <x:v>1333.303955078125</x:v>
      </x:c>
      <x:c r="H186" s="137" t="n">
        <x:v>61.98637771606445</x:v>
      </x:c>
      <x:c r="I186" s="137" t="n">
        <x:v>1750.081803020817</x:v>
      </x:c>
      <x:c r="J186" s="137" t="n">
        <x:v>1053.5826392827328</x:v>
      </x:c>
      <x:c r="K186" s="136" t="str">
        <x:v>map-9</x:v>
      </x:c>
      <x:c r="L186" s="136" t="str">
        <x:v>Antietam | Contention | Framing Fencelines||Artillery | CSA CQ3_Spawnpoint_CSA_Artillery_Staging [map-9/012]</x:v>
      </x:c>
      <x:c r="M186" s="35"/>
      <x:c r="N186" s="35"/>
      <x:c r="O186" s="35"/>
      <x:c r="P186" s="35"/>
      <x:c r="Q186" s="35"/>
      <x:c r="R186" s="35"/>
      <x:c r="S186" s="35"/>
      <x:c r="T186" s="35"/>
      <x:c r="U186" s="35"/>
      <x:c r="V186" s="35"/>
      <x:c r="W186" s="35"/>
      <x:c r="X186" s="35"/>
      <x:c r="Y186" s="35"/>
      <x:c r="Z186" s="35"/>
      <x:c r="AA186" s="35"/>
    </x:row>
    <x:row r="187">
      <x:c r="A187" s="136" t="str">
        <x:v>Antietam | Contention | Framing Fencelines</x:v>
      </x:c>
      <x:c r="B187" s="136" t="str">
        <x:v>Gun | 3-inch Ordnance · Entity-1655 [map-9/013]</x:v>
      </x:c>
      <x:c r="C187" s="136" t="str">
        <x:v>gun_spawn</x:v>
      </x:c>
      <x:c r="D187" s="136" t="str"/>
      <x:c r="E187" s="136" t="str">
        <x:v>3-inch Ordnance · Entity-1655</x:v>
      </x:c>
      <x:c r="F187" s="137" t="n">
        <x:v>411.8895263671875</x:v>
      </x:c>
      <x:c r="G187" s="137" t="n">
        <x:v>1666.26318359375</x:v>
      </x:c>
      <x:c r="H187" s="137" t="n">
        <x:v>62.64501953125</x:v>
      </x:c>
      <x:c r="I187" s="137" t="n">
        <x:v>762.9155920857805</x:v>
      </x:c>
      <x:c r="J187" s="137" t="n">
        <x:v>1344.6939710934805</x:v>
      </x:c>
      <x:c r="K187" s="136" t="str">
        <x:v>map-9</x:v>
      </x:c>
      <x:c r="L187" s="136" t="str">
        <x:v>Antietam | Contention | Framing Fencelines||Gun | 3-inch Ordnance · Entity-1655 [map-9/013]</x:v>
      </x:c>
      <x:c r="M187" s="35"/>
      <x:c r="N187" s="35"/>
      <x:c r="O187" s="35"/>
      <x:c r="P187" s="35"/>
      <x:c r="Q187" s="35"/>
      <x:c r="R187" s="35"/>
      <x:c r="S187" s="35"/>
      <x:c r="T187" s="35"/>
      <x:c r="U187" s="35"/>
      <x:c r="V187" s="35"/>
      <x:c r="W187" s="35"/>
      <x:c r="X187" s="35"/>
      <x:c r="Y187" s="35"/>
      <x:c r="Z187" s="35"/>
      <x:c r="AA187" s="35"/>
    </x:row>
    <x:row r="188">
      <x:c r="A188" s="136" t="str">
        <x:v>Antietam | Contention | Framing Fencelines</x:v>
      </x:c>
      <x:c r="B188" s="136" t="str">
        <x:v>Gun | 3-inch Ordnance · Entity-1676 [map-9/014]</x:v>
      </x:c>
      <x:c r="C188" s="136" t="str">
        <x:v>gun_spawn</x:v>
      </x:c>
      <x:c r="D188" s="136" t="str"/>
      <x:c r="E188" s="136" t="str">
        <x:v>3-inch Ordnance · Entity-1676</x:v>
      </x:c>
      <x:c r="F188" s="137" t="n">
        <x:v>790.70751953125</x:v>
      </x:c>
      <x:c r="G188" s="137" t="n">
        <x:v>1486.66796875</x:v>
      </x:c>
      <x:c r="H188" s="137" t="n">
        <x:v>71.4107437133789</x:v>
      </x:c>
      <x:c r="I188" s="137" t="n">
        <x:v>1444.013133962713</x:v>
      </x:c>
      <x:c r="J188" s="137" t="n">
        <x:v>992.6366662616465</x:v>
      </x:c>
      <x:c r="K188" s="136" t="str">
        <x:v>map-9</x:v>
      </x:c>
      <x:c r="L188" s="136" t="str">
        <x:v>Antietam | Contention | Framing Fencelines||Gun | 3-inch Ordnance · Entity-1676 [map-9/014]</x:v>
      </x:c>
      <x:c r="M188" s="35"/>
      <x:c r="N188" s="35"/>
      <x:c r="O188" s="35"/>
      <x:c r="P188" s="35"/>
      <x:c r="Q188" s="35"/>
      <x:c r="R188" s="35"/>
      <x:c r="S188" s="35"/>
      <x:c r="T188" s="35"/>
      <x:c r="U188" s="35"/>
      <x:c r="V188" s="35"/>
      <x:c r="W188" s="35"/>
      <x:c r="X188" s="35"/>
      <x:c r="Y188" s="35"/>
      <x:c r="Z188" s="35"/>
      <x:c r="AA188" s="35"/>
    </x:row>
    <x:row r="189">
      <x:c r="A189" s="136" t="str">
        <x:v>Antietam | Contention | Framing Fencelines</x:v>
      </x:c>
      <x:c r="B189" s="136" t="str">
        <x:v>Gun | 12-pounder Napoleon (USA) · Entity-1659 [map-9/015]</x:v>
      </x:c>
      <x:c r="C189" s="136" t="str">
        <x:v>gun_spawn</x:v>
      </x:c>
      <x:c r="D189" s="136" t="str"/>
      <x:c r="E189" s="136" t="str">
        <x:v>12-pounder Napoleon (USA) · Entity-1659</x:v>
      </x:c>
      <x:c r="F189" s="137" t="n">
        <x:v>411.1995849609375</x:v>
      </x:c>
      <x:c r="G189" s="137" t="n">
        <x:v>1631.5306396484375</x:v>
      </x:c>
      <x:c r="H189" s="137" t="n">
        <x:v>60.98453903198242</x:v>
      </x:c>
      <x:c r="I189" s="137" t="n">
        <x:v>812.7035349864092</x:v>
      </x:c>
      <x:c r="J189" s="137" t="n">
        <x:v>1384.1213537589617</x:v>
      </x:c>
      <x:c r="K189" s="136" t="str">
        <x:v>map-9</x:v>
      </x:c>
      <x:c r="L189" s="136" t="str">
        <x:v>Antietam | Contention | Framing Fencelines||Gun | 12-pounder Napoleon (USA) · Entity-1659 [map-9/015]</x:v>
      </x:c>
      <x:c r="M189" s="35"/>
      <x:c r="N189" s="35"/>
      <x:c r="O189" s="35"/>
      <x:c r="P189" s="35"/>
      <x:c r="Q189" s="35"/>
      <x:c r="R189" s="35"/>
      <x:c r="S189" s="35"/>
      <x:c r="T189" s="35"/>
      <x:c r="U189" s="35"/>
      <x:c r="V189" s="35"/>
      <x:c r="W189" s="35"/>
      <x:c r="X189" s="35"/>
      <x:c r="Y189" s="35"/>
      <x:c r="Z189" s="35"/>
      <x:c r="AA189" s="35"/>
    </x:row>
    <x:row r="190">
      <x:c r="A190" s="136" t="str">
        <x:v>Antietam | Contention | Framing Fencelines</x:v>
      </x:c>
      <x:c r="B190" s="136" t="str">
        <x:v>Gun | 12-pounder Napoleon (USA) · Entity-1658 [map-9/016]</x:v>
      </x:c>
      <x:c r="C190" s="136" t="str">
        <x:v>gun_spawn</x:v>
      </x:c>
      <x:c r="D190" s="136" t="str"/>
      <x:c r="E190" s="136" t="str">
        <x:v>12-pounder Napoleon (USA) · Entity-1658</x:v>
      </x:c>
      <x:c r="F190" s="137" t="n">
        <x:v>411.6000061035156</x:v>
      </x:c>
      <x:c r="G190" s="137" t="n">
        <x:v>1641.1871337890625</x:v>
      </x:c>
      <x:c r="H190" s="137" t="n">
        <x:v>61.40102767944336</x:v>
      </x:c>
      <x:c r="I190" s="137" t="n">
        <x:v>799.0923862631054</x:v>
      </x:c>
      <x:c r="J190" s="137" t="n">
        <x:v>1372.856307404323</x:v>
      </x:c>
      <x:c r="K190" s="136" t="str">
        <x:v>map-9</x:v>
      </x:c>
      <x:c r="L190" s="136" t="str">
        <x:v>Antietam | Contention | Framing Fencelines||Gun | 12-pounder Napoleon (USA) · Entity-1658 [map-9/016]</x:v>
      </x:c>
      <x:c r="M190" s="35"/>
      <x:c r="N190" s="35"/>
      <x:c r="O190" s="35"/>
      <x:c r="P190" s="35"/>
      <x:c r="Q190" s="35"/>
      <x:c r="R190" s="35"/>
      <x:c r="S190" s="35"/>
      <x:c r="T190" s="35"/>
      <x:c r="U190" s="35"/>
      <x:c r="V190" s="35"/>
      <x:c r="W190" s="35"/>
      <x:c r="X190" s="35"/>
      <x:c r="Y190" s="35"/>
      <x:c r="Z190" s="35"/>
      <x:c r="AA190" s="35"/>
    </x:row>
    <x:row r="191">
      <x:c r="A191" s="136" t="str">
        <x:v>Antietam | Contention | Framing Fencelines</x:v>
      </x:c>
      <x:c r="B191" s="136" t="str">
        <x:v>Gun | 12-pounder Napoleon (CSA) · Entity-1673 [map-9/017]</x:v>
      </x:c>
      <x:c r="C191" s="136" t="str">
        <x:v>gun_spawn</x:v>
      </x:c>
      <x:c r="D191" s="136" t="str"/>
      <x:c r="E191" s="136" t="str">
        <x:v>12-pounder Napoleon (CSA) · Entity-1673</x:v>
      </x:c>
      <x:c r="F191" s="137" t="n">
        <x:v>812.4586181640625</x:v>
      </x:c>
      <x:c r="G191" s="137" t="n">
        <x:v>1493.900390625</x:v>
      </x:c>
      <x:c r="H191" s="137" t="n">
        <x:v>69.40543365478516</x:v>
      </x:c>
      <x:c r="I191" s="137" t="n">
        <x:v>1457.5850711044536</x:v>
      </x:c>
      <x:c r="J191" s="137" t="n">
        <x:v>953.0128135665769</x:v>
      </x:c>
      <x:c r="K191" s="136" t="str">
        <x:v>map-9</x:v>
      </x:c>
      <x:c r="L191" s="136" t="str">
        <x:v>Antietam | Contention | Framing Fencelines||Gun | 12-pounder Napoleon (CSA) · Entity-1673 [map-9/017]</x:v>
      </x:c>
      <x:c r="M191" s="35"/>
      <x:c r="N191" s="35"/>
      <x:c r="O191" s="35"/>
      <x:c r="P191" s="35"/>
      <x:c r="Q191" s="35"/>
      <x:c r="R191" s="35"/>
      <x:c r="S191" s="35"/>
      <x:c r="T191" s="35"/>
      <x:c r="U191" s="35"/>
      <x:c r="V191" s="35"/>
      <x:c r="W191" s="35"/>
      <x:c r="X191" s="35"/>
      <x:c r="Y191" s="35"/>
      <x:c r="Z191" s="35"/>
      <x:c r="AA191" s="35"/>
    </x:row>
    <x:row r="192">
      <x:c r="A192" s="136" t="str">
        <x:v>Antietam | Contention | Framing Fencelines</x:v>
      </x:c>
      <x:c r="B192" s="136" t="str">
        <x:v>Gun | 3-inch Ordnance · Entity-1677 [map-9/018]</x:v>
      </x:c>
      <x:c r="C192" s="136" t="str">
        <x:v>gun_spawn</x:v>
      </x:c>
      <x:c r="D192" s="136" t="str"/>
      <x:c r="E192" s="136" t="str">
        <x:v>3-inch Ordnance · Entity-1677</x:v>
      </x:c>
      <x:c r="F192" s="137" t="n">
        <x:v>783.556884765625</x:v>
      </x:c>
      <x:c r="G192" s="137" t="n">
        <x:v>1484.886962890625</x:v>
      </x:c>
      <x:c r="H192" s="137" t="n">
        <x:v>71.29142761230469</x:v>
      </x:c>
      <x:c r="I192" s="137" t="n">
        <x:v>1438.6829895323117</x:v>
      </x:c>
      <x:c r="J192" s="137" t="n">
        <x:v>1005.0028793454244</x:v>
      </x:c>
      <x:c r="K192" s="136" t="str">
        <x:v>map-9</x:v>
      </x:c>
      <x:c r="L192" s="136" t="str">
        <x:v>Antietam | Contention | Framing Fencelines||Gun | 3-inch Ordnance · Entity-1677 [map-9/018]</x:v>
      </x:c>
      <x:c r="M192" s="35"/>
      <x:c r="N192" s="35"/>
      <x:c r="O192" s="35"/>
      <x:c r="P192" s="35"/>
      <x:c r="Q192" s="35"/>
      <x:c r="R192" s="35"/>
      <x:c r="S192" s="35"/>
      <x:c r="T192" s="35"/>
      <x:c r="U192" s="35"/>
      <x:c r="V192" s="35"/>
      <x:c r="W192" s="35"/>
      <x:c r="X192" s="35"/>
      <x:c r="Y192" s="35"/>
      <x:c r="Z192" s="35"/>
      <x:c r="AA192" s="35"/>
    </x:row>
    <x:row r="193">
      <x:c r="A193" s="136" t="str">
        <x:v>Antietam | Contention | Framing Fencelines</x:v>
      </x:c>
      <x:c r="B193" s="136" t="str">
        <x:v>Gun | 3-inch Ordnance · Entity-1675 [map-9/019]</x:v>
      </x:c>
      <x:c r="C193" s="136" t="str">
        <x:v>gun_spawn</x:v>
      </x:c>
      <x:c r="D193" s="136" t="str"/>
      <x:c r="E193" s="136" t="str">
        <x:v>3-inch Ordnance · Entity-1675</x:v>
      </x:c>
      <x:c r="F193" s="137" t="n">
        <x:v>798.0849609375</x:v>
      </x:c>
      <x:c r="G193" s="137" t="n">
        <x:v>1488.8349609375</x:v>
      </x:c>
      <x:c r="H193" s="137" t="n">
        <x:v>71.1401138305664</x:v>
      </x:c>
      <x:c r="I193" s="137" t="n">
        <x:v>1449.0327693165561</x:v>
      </x:c>
      <x:c r="J193" s="137" t="n">
        <x:v>979.5136985206666</x:v>
      </x:c>
      <x:c r="K193" s="136" t="str">
        <x:v>map-9</x:v>
      </x:c>
      <x:c r="L193" s="136" t="str">
        <x:v>Antietam | Contention | Framing Fencelines||Gun | 3-inch Ordnance · Entity-1675 [map-9/019]</x:v>
      </x:c>
      <x:c r="M193" s="35"/>
      <x:c r="N193" s="35"/>
      <x:c r="O193" s="35"/>
      <x:c r="P193" s="35"/>
      <x:c r="Q193" s="35"/>
      <x:c r="R193" s="35"/>
      <x:c r="S193" s="35"/>
      <x:c r="T193" s="35"/>
      <x:c r="U193" s="35"/>
      <x:c r="V193" s="35"/>
      <x:c r="W193" s="35"/>
      <x:c r="X193" s="35"/>
      <x:c r="Y193" s="35"/>
      <x:c r="Z193" s="35"/>
      <x:c r="AA193" s="35"/>
    </x:row>
    <x:row r="194">
      <x:c r="A194" s="136" t="str">
        <x:v>Antietam | Contention | Framing Fencelines</x:v>
      </x:c>
      <x:c r="B194" s="136" t="str">
        <x:v>Gun | 12-pounder Napoleon (CSA) · Entity-1672 [map-9/020]</x:v>
      </x:c>
      <x:c r="C194" s="136" t="str">
        <x:v>gun_spawn</x:v>
      </x:c>
      <x:c r="D194" s="136" t="str"/>
      <x:c r="E194" s="136" t="str">
        <x:v>12-pounder Napoleon (CSA) · Entity-1672</x:v>
      </x:c>
      <x:c r="F194" s="137" t="n">
        <x:v>821.9254150390625</x:v>
      </x:c>
      <x:c r="G194" s="137" t="n">
        <x:v>1496.878662109375</x:v>
      </x:c>
      <x:c r="H194" s="137" t="n">
        <x:v>68.17044067382812</x:v>
      </x:c>
      <x:c r="I194" s="137" t="n">
        <x:v>1463.7387550941323</x:v>
      </x:c>
      <x:c r="J194" s="137" t="n">
        <x:v>935.9547392967378</x:v>
      </x:c>
      <x:c r="K194" s="136" t="str">
        <x:v>map-9</x:v>
      </x:c>
      <x:c r="L194" s="136" t="str">
        <x:v>Antietam | Contention | Framing Fencelines||Gun | 12-pounder Napoleon (CSA) · Entity-1672 [map-9/020]</x:v>
      </x:c>
      <x:c r="M194" s="35"/>
      <x:c r="N194" s="35"/>
      <x:c r="O194" s="35"/>
      <x:c r="P194" s="35"/>
      <x:c r="Q194" s="35"/>
      <x:c r="R194" s="35"/>
      <x:c r="S194" s="35"/>
      <x:c r="T194" s="35"/>
      <x:c r="U194" s="35"/>
      <x:c r="V194" s="35"/>
      <x:c r="W194" s="35"/>
      <x:c r="X194" s="35"/>
      <x:c r="Y194" s="35"/>
      <x:c r="Z194" s="35"/>
      <x:c r="AA194" s="35"/>
    </x:row>
    <x:row r="195">
      <x:c r="A195" s="136" t="str">
        <x:v>Antietam | Contention | Framing Fencelines</x:v>
      </x:c>
      <x:c r="B195" s="136" t="str">
        <x:v>Gun | 3-inch Ordnance · Entity-1654 [map-9/021]</x:v>
      </x:c>
      <x:c r="C195" s="136" t="str">
        <x:v>gun_spawn</x:v>
      </x:c>
      <x:c r="D195" s="136" t="str"/>
      <x:c r="E195" s="136" t="str">
        <x:v>3-inch Ordnance · Entity-1654</x:v>
      </x:c>
      <x:c r="F195" s="137" t="n">
        <x:v>412.17181396484375</x:v>
      </x:c>
      <x:c r="G195" s="137" t="n">
        <x:v>1675.076171875</x:v>
      </x:c>
      <x:c r="H195" s="137" t="n">
        <x:v>63.14280700683594</x:v>
      </x:c>
      <x:c r="I195" s="137" t="n">
        <x:v>750.4012620573188</x:v>
      </x:c>
      <x:c r="J195" s="137" t="n">
        <x:v>1334.5338356987368</x:v>
      </x:c>
      <x:c r="K195" s="136" t="str">
        <x:v>map-9</x:v>
      </x:c>
      <x:c r="L195" s="136" t="str">
        <x:v>Antietam | Contention | Framing Fencelines||Gun | 3-inch Ordnance · Entity-1654 [map-9/021]</x:v>
      </x:c>
      <x:c r="M195" s="35"/>
      <x:c r="N195" s="35"/>
      <x:c r="O195" s="35"/>
      <x:c r="P195" s="35"/>
      <x:c r="Q195" s="35"/>
      <x:c r="R195" s="35"/>
      <x:c r="S195" s="35"/>
      <x:c r="T195" s="35"/>
      <x:c r="U195" s="35"/>
      <x:c r="V195" s="35"/>
      <x:c r="W195" s="35"/>
      <x:c r="X195" s="35"/>
      <x:c r="Y195" s="35"/>
      <x:c r="Z195" s="35"/>
      <x:c r="AA195" s="35"/>
    </x:row>
    <x:row r="196">
      <x:c r="A196" s="136" t="str">
        <x:v>Antietam | Contention | Framing Fencelines</x:v>
      </x:c>
      <x:c r="B196" s="136" t="str">
        <x:v>Gun | 3-inch Ordnance · Entity-1656 [map-9/022]</x:v>
      </x:c>
      <x:c r="C196" s="136" t="str">
        <x:v>gun_spawn</x:v>
      </x:c>
      <x:c r="D196" s="136" t="str"/>
      <x:c r="E196" s="136" t="str">
        <x:v>3-inch Ordnance · Entity-1656</x:v>
      </x:c>
      <x:c r="F196" s="137" t="n">
        <x:v>411.74700927734375</x:v>
      </x:c>
      <x:c r="G196" s="137" t="n">
        <x:v>1658.864013671875</x:v>
      </x:c>
      <x:c r="H196" s="137" t="n">
        <x:v>62.22173309326172</x:v>
      </x:c>
      <x:c r="I196" s="137" t="n">
        <x:v>773.5269999983561</x:v>
      </x:c>
      <x:c r="J196" s="137" t="n">
        <x:v>1353.0868069405574</x:v>
      </x:c>
      <x:c r="K196" s="136" t="str">
        <x:v>map-9</x:v>
      </x:c>
      <x:c r="L196" s="136" t="str">
        <x:v>Antietam | Contention | Framing Fencelines||Gun | 3-inch Ordnance · Entity-1656 [map-9/022]</x:v>
      </x:c>
      <x:c r="M196" s="35"/>
      <x:c r="N196" s="35"/>
      <x:c r="O196" s="35"/>
      <x:c r="P196" s="35"/>
      <x:c r="Q196" s="35"/>
      <x:c r="R196" s="35"/>
      <x:c r="S196" s="35"/>
      <x:c r="T196" s="35"/>
      <x:c r="U196" s="35"/>
      <x:c r="V196" s="35"/>
      <x:c r="W196" s="35"/>
      <x:c r="X196" s="35"/>
      <x:c r="Y196" s="35"/>
      <x:c r="Z196" s="35"/>
      <x:c r="AA196" s="35"/>
    </x:row>
    <x:row r="197">
      <x:c r="A197" s="136" t="str">
        <x:v>Antietam | Contention | Framing Fencelines</x:v>
      </x:c>
      <x:c r="B197" s="136" t="str">
        <x:v>Gun | 12-pounder Napoleon (USA) · Entity-1657 [map-9/023]</x:v>
      </x:c>
      <x:c r="C197" s="136" t="str">
        <x:v>gun_spawn</x:v>
      </x:c>
      <x:c r="D197" s="136" t="str"/>
      <x:c r="E197" s="136" t="str">
        <x:v>12-pounder Napoleon (USA) · Entity-1657</x:v>
      </x:c>
      <x:c r="F197" s="137" t="n">
        <x:v>411.6814880371094</x:v>
      </x:c>
      <x:c r="G197" s="137" t="n">
        <x:v>1650.6966552734375</x:v>
      </x:c>
      <x:c r="H197" s="137" t="n">
        <x:v>61.81019973754883</x:v>
      </x:c>
      <x:c r="I197" s="137" t="n">
        <x:v>785.3417924187028</x:v>
      </x:c>
      <x:c r="J197" s="137" t="n">
        <x:v>1362.2175432332629</x:v>
      </x:c>
      <x:c r="K197" s="136" t="str">
        <x:v>map-9</x:v>
      </x:c>
      <x:c r="L197" s="136" t="str">
        <x:v>Antietam | Contention | Framing Fencelines||Gun | 12-pounder Napoleon (USA) · Entity-1657 [map-9/023]</x:v>
      </x:c>
      <x:c r="M197" s="35"/>
      <x:c r="N197" s="35"/>
      <x:c r="O197" s="35"/>
      <x:c r="P197" s="35"/>
      <x:c r="Q197" s="35"/>
      <x:c r="R197" s="35"/>
      <x:c r="S197" s="35"/>
      <x:c r="T197" s="35"/>
      <x:c r="U197" s="35"/>
      <x:c r="V197" s="35"/>
      <x:c r="W197" s="35"/>
      <x:c r="X197" s="35"/>
      <x:c r="Y197" s="35"/>
      <x:c r="Z197" s="35"/>
      <x:c r="AA197" s="35"/>
    </x:row>
    <x:row r="198">
      <x:c r="A198" s="136" t="str">
        <x:v>Antietam | Contention | Framing Fencelines</x:v>
      </x:c>
      <x:c r="B198" s="136" t="str">
        <x:v>Gun | 12-pounder Napoleon (USA) · Entity-1674 [map-9/024]</x:v>
      </x:c>
      <x:c r="C198" s="136" t="str">
        <x:v>gun_spawn</x:v>
      </x:c>
      <x:c r="D198" s="136" t="str"/>
      <x:c r="E198" s="136" t="str">
        <x:v>12-pounder Napoleon (USA) · Entity-1674</x:v>
      </x:c>
      <x:c r="F198" s="137" t="n">
        <x:v>804.4190673828125</x:v>
      </x:c>
      <x:c r="G198" s="137" t="n">
        <x:v>1491.353759765625</x:v>
      </x:c>
      <x:c r="H198" s="137" t="n">
        <x:v>70.47034454345703</x:v>
      </x:c>
      <x:c r="I198" s="137" t="n">
        <x:v>1452.384424001727</x:v>
      </x:c>
      <x:c r="J198" s="137" t="n">
        <x:v>967.5183755161576</x:v>
      </x:c>
      <x:c r="K198" s="136" t="str">
        <x:v>map-9</x:v>
      </x:c>
      <x:c r="L198" s="136" t="str">
        <x:v>Antietam | Contention | Framing Fencelines||Gun | 12-pounder Napoleon (USA) · Entity-1674 [map-9/024]</x:v>
      </x:c>
      <x:c r="M198" s="35"/>
      <x:c r="N198" s="35"/>
      <x:c r="O198" s="35"/>
      <x:c r="P198" s="35"/>
      <x:c r="Q198" s="35"/>
      <x:c r="R198" s="35"/>
      <x:c r="S198" s="35"/>
      <x:c r="T198" s="35"/>
      <x:c r="U198" s="35"/>
      <x:c r="V198" s="35"/>
      <x:c r="W198" s="35"/>
      <x:c r="X198" s="35"/>
      <x:c r="Y198" s="35"/>
      <x:c r="Z198" s="35"/>
      <x:c r="AA198" s="35"/>
    </x:row>
    <x:row r="199">
      <x:c r="A199" s="136" t="str">
        <x:v>Antietam | Contention | Farmland</x:v>
      </x:c>
      <x:c r="B199" s="136" t="str">
        <x:v>Spawn | CSA CQ4_Spawnpoint_CSA_Infantry_1 [map-10/001]</x:v>
      </x:c>
      <x:c r="C199" s="136" t="str">
        <x:v>spawn</x:v>
      </x:c>
      <x:c r="D199" s="136" t="str">
        <x:v>CSA</x:v>
      </x:c>
      <x:c r="E199" s="136" t="str">
        <x:v>CQ4_Spawnpoint_CSA_Infantry_1</x:v>
      </x:c>
      <x:c r="F199" s="137" t="n">
        <x:v>908.9124145507812</x:v>
      </x:c>
      <x:c r="G199" s="137" t="n">
        <x:v>2207.281005859375</x:v>
      </x:c>
      <x:c r="H199" s="137" t="n">
        <x:v>62.432979583740234</x:v>
      </x:c>
      <x:c r="I199" s="137" t="n">
        <x:v>1590.8885646977021</x:v>
      </x:c>
      <x:c r="J199" s="137" t="n">
        <x:v>1333.0166134594217</x:v>
      </x:c>
      <x:c r="K199" s="136" t="str">
        <x:v>map-10</x:v>
      </x:c>
      <x:c r="L199" s="136" t="str">
        <x:v>Antietam | Contention | Farmland||Spawn | CSA CQ4_Spawnpoint_CSA_Infantry_1 [map-10/001]</x:v>
      </x:c>
      <x:c r="M199" s="35"/>
      <x:c r="N199" s="35"/>
      <x:c r="O199" s="35"/>
      <x:c r="P199" s="35"/>
      <x:c r="Q199" s="35"/>
      <x:c r="R199" s="35"/>
      <x:c r="S199" s="35"/>
      <x:c r="T199" s="35"/>
      <x:c r="U199" s="35"/>
      <x:c r="V199" s="35"/>
      <x:c r="W199" s="35"/>
      <x:c r="X199" s="35"/>
      <x:c r="Y199" s="35"/>
      <x:c r="Z199" s="35"/>
      <x:c r="AA199" s="35"/>
    </x:row>
    <x:row r="200">
      <x:c r="A200" s="136" t="str">
        <x:v>Antietam | Contention | Farmland</x:v>
      </x:c>
      <x:c r="B200" s="136" t="str">
        <x:v>Objective | Victory_Conquest_4 [map-10/002]</x:v>
      </x:c>
      <x:c r="C200" s="136" t="str">
        <x:v>objective</x:v>
      </x:c>
      <x:c r="D200" s="136" t="str"/>
      <x:c r="E200" s="136" t="str">
        <x:v>Victory_Conquest_4</x:v>
      </x:c>
      <x:c r="F200" s="137" t="n">
        <x:v>974.3483276367188</x:v>
      </x:c>
      <x:c r="G200" s="137" t="n">
        <x:v>2939.113525390625</x:v>
      </x:c>
      <x:c r="H200" s="137" t="n">
        <x:v>62.930110931396484</x:v>
      </x:c>
      <x:c r="I200" s="137" t="n">
        <x:v>833.4873658987073</x:v>
      </x:c>
      <x:c r="J200" s="137" t="n">
        <x:v>643.0379865246258</x:v>
      </x:c>
      <x:c r="K200" s="136" t="str">
        <x:v>map-10</x:v>
      </x:c>
      <x:c r="L200" s="136" t="str">
        <x:v>Antietam | Contention | Farmland||Objective | Victory_Conquest_4 [map-10/002]</x:v>
      </x:c>
      <x:c r="M200" s="35"/>
      <x:c r="N200" s="35"/>
      <x:c r="O200" s="35"/>
      <x:c r="P200" s="35"/>
      <x:c r="Q200" s="35"/>
      <x:c r="R200" s="35"/>
      <x:c r="S200" s="35"/>
      <x:c r="T200" s="35"/>
      <x:c r="U200" s="35"/>
      <x:c r="V200" s="35"/>
      <x:c r="W200" s="35"/>
      <x:c r="X200" s="35"/>
      <x:c r="Y200" s="35"/>
      <x:c r="Z200" s="35"/>
      <x:c r="AA200" s="35"/>
    </x:row>
    <x:row r="201">
      <x:c r="A201" s="136" t="str">
        <x:v>Antietam | Contention | Farmland</x:v>
      </x:c>
      <x:c r="B201" s="136" t="str">
        <x:v>Spawn | USA CQ4_Spawnpoint_USA_Infantry_2 [map-10/003]</x:v>
      </x:c>
      <x:c r="C201" s="136" t="str">
        <x:v>spawn</x:v>
      </x:c>
      <x:c r="D201" s="136" t="str">
        <x:v>USA</x:v>
      </x:c>
      <x:c r="E201" s="136" t="str">
        <x:v>CQ4_Spawnpoint_USA_Infantry_2</x:v>
      </x:c>
      <x:c r="F201" s="137" t="n">
        <x:v>973.4962158203125</x:v>
      </x:c>
      <x:c r="G201" s="137" t="n">
        <x:v>3275.471923828125</x:v>
      </x:c>
      <x:c r="H201" s="137" t="n">
        <x:v>59.59049606323242</x:v>
      </x:c>
      <x:c r="I201" s="137" t="n">
        <x:v>459.26022583400174</x:v>
      </x:c>
      <x:c r="J201" s="137" t="n">
        <x:v>360.2590510907153</x:v>
      </x:c>
      <x:c r="K201" s="136" t="str">
        <x:v>map-10</x:v>
      </x:c>
      <x:c r="L201" s="136" t="str">
        <x:v>Antietam | Contention | Farmland||Spawn | USA CQ4_Spawnpoint_USA_Infantry_2 [map-10/003]</x:v>
      </x:c>
      <x:c r="M201" s="35"/>
      <x:c r="N201" s="35"/>
      <x:c r="O201" s="35"/>
      <x:c r="P201" s="35"/>
      <x:c r="Q201" s="35"/>
      <x:c r="R201" s="35"/>
      <x:c r="S201" s="35"/>
      <x:c r="T201" s="35"/>
      <x:c r="U201" s="35"/>
      <x:c r="V201" s="35"/>
      <x:c r="W201" s="35"/>
      <x:c r="X201" s="35"/>
      <x:c r="Y201" s="35"/>
      <x:c r="Z201" s="35"/>
      <x:c r="AA201" s="35"/>
    </x:row>
    <x:row r="202">
      <x:c r="A202" s="136" t="str">
        <x:v>Antietam | Contention | Farmland</x:v>
      </x:c>
      <x:c r="B202" s="136" t="str">
        <x:v>Spawn | USA CQ4_Spawnpoint_USA_Infantry_0 [map-10/004]</x:v>
      </x:c>
      <x:c r="C202" s="136" t="str">
        <x:v>spawn</x:v>
      </x:c>
      <x:c r="D202" s="136" t="str">
        <x:v>USA</x:v>
      </x:c>
      <x:c r="E202" s="136" t="str">
        <x:v>CQ4_Spawnpoint_USA_Infantry_0</x:v>
      </x:c>
      <x:c r="F202" s="137" t="n">
        <x:v>949.02001953125</x:v>
      </x:c>
      <x:c r="G202" s="137" t="n">
        <x:v>3260.472900390625</x:v>
      </x:c>
      <x:c r="H202" s="137" t="n">
        <x:v>61.920677185058594</x:v>
      </x:c>
      <x:c r="I202" s="137" t="n">
        <x:v>455.24639868025304</x:v>
      </x:c>
      <x:c r="J202" s="137" t="n">
        <x:v>400.0905066149795</x:v>
      </x:c>
      <x:c r="K202" s="136" t="str">
        <x:v>map-10</x:v>
      </x:c>
      <x:c r="L202" s="136" t="str">
        <x:v>Antietam | Contention | Farmland||Spawn | USA CQ4_Spawnpoint_USA_Infantry_0 [map-10/004]</x:v>
      </x:c>
      <x:c r="M202" s="35"/>
      <x:c r="N202" s="35"/>
      <x:c r="O202" s="35"/>
      <x:c r="P202" s="35"/>
      <x:c r="Q202" s="35"/>
      <x:c r="R202" s="35"/>
      <x:c r="S202" s="35"/>
      <x:c r="T202" s="35"/>
      <x:c r="U202" s="35"/>
      <x:c r="V202" s="35"/>
      <x:c r="W202" s="35"/>
      <x:c r="X202" s="35"/>
      <x:c r="Y202" s="35"/>
      <x:c r="Z202" s="35"/>
      <x:c r="AA202" s="35"/>
    </x:row>
    <x:row r="203">
      <x:c r="A203" s="136" t="str">
        <x:v>Antietam | Contention | Farmland</x:v>
      </x:c>
      <x:c r="B203" s="136" t="str">
        <x:v>Spawn | CSA CQ4_Spawnpoint_CSA_Infantry_2 [map-10/005]</x:v>
      </x:c>
      <x:c r="C203" s="136" t="str">
        <x:v>spawn</x:v>
      </x:c>
      <x:c r="D203" s="136" t="str">
        <x:v>CSA</x:v>
      </x:c>
      <x:c r="E203" s="136" t="str">
        <x:v>CQ4_Spawnpoint_CSA_Infantry_2</x:v>
      </x:c>
      <x:c r="F203" s="137" t="n">
        <x:v>890.0144653320312</x:v>
      </x:c>
      <x:c r="G203" s="137" t="n">
        <x:v>2192.799072265625</x:v>
      </x:c>
      <x:c r="H203" s="137" t="n">
        <x:v>61.57356643676758</x:v>
      </x:c>
      <x:c r="I203" s="137" t="n">
        <x:v>1591.0112014617514</x:v>
      </x:c>
      <x:c r="J203" s="137" t="n">
        <x:v>1366.2175556865175</x:v>
      </x:c>
      <x:c r="K203" s="136" t="str">
        <x:v>map-10</x:v>
      </x:c>
      <x:c r="L203" s="136" t="str">
        <x:v>Antietam | Contention | Farmland||Spawn | CSA CQ4_Spawnpoint_CSA_Infantry_2 [map-10/005]</x:v>
      </x:c>
      <x:c r="M203" s="35"/>
      <x:c r="N203" s="35"/>
      <x:c r="O203" s="35"/>
      <x:c r="P203" s="35"/>
      <x:c r="Q203" s="35"/>
      <x:c r="R203" s="35"/>
      <x:c r="S203" s="35"/>
      <x:c r="T203" s="35"/>
      <x:c r="U203" s="35"/>
      <x:c r="V203" s="35"/>
      <x:c r="W203" s="35"/>
      <x:c r="X203" s="35"/>
      <x:c r="Y203" s="35"/>
      <x:c r="Z203" s="35"/>
      <x:c r="AA203" s="35"/>
    </x:row>
    <x:row r="204">
      <x:c r="A204" s="136" t="str">
        <x:v>Antietam | Contention | Farmland</x:v>
      </x:c>
      <x:c r="B204" s="136" t="str">
        <x:v>Spawn | USA CQ4_Spawnpoint_USA_Infantry_1 [map-10/006]</x:v>
      </x:c>
      <x:c r="C204" s="136" t="str">
        <x:v>spawn</x:v>
      </x:c>
      <x:c r="D204" s="136" t="str">
        <x:v>USA</x:v>
      </x:c>
      <x:c r="E204" s="136" t="str">
        <x:v>CQ4_Spawnpoint_USA_Infantry_1</x:v>
      </x:c>
      <x:c r="F204" s="137" t="n">
        <x:v>918.8907470703125</x:v>
      </x:c>
      <x:c r="G204" s="137" t="n">
        <x:v>3240.181396484375</x:v>
      </x:c>
      <x:c r="H204" s="137" t="n">
        <x:v>65.8600845336914</x:v>
      </x:c>
      <x:c r="I204" s="137" t="n">
        <x:v>452.3357260832215</x:v>
      </x:c>
      <x:c r="J204" s="137" t="n">
        <x:v>450.66370829139476</x:v>
      </x:c>
      <x:c r="K204" s="136" t="str">
        <x:v>map-10</x:v>
      </x:c>
      <x:c r="L204" s="136" t="str">
        <x:v>Antietam | Contention | Farmland||Spawn | USA CQ4_Spawnpoint_USA_Infantry_1 [map-10/006]</x:v>
      </x:c>
      <x:c r="M204" s="35"/>
      <x:c r="N204" s="35"/>
      <x:c r="O204" s="35"/>
      <x:c r="P204" s="35"/>
      <x:c r="Q204" s="35"/>
      <x:c r="R204" s="35"/>
      <x:c r="S204" s="35"/>
      <x:c r="T204" s="35"/>
      <x:c r="U204" s="35"/>
      <x:c r="V204" s="35"/>
      <x:c r="W204" s="35"/>
      <x:c r="X204" s="35"/>
      <x:c r="Y204" s="35"/>
      <x:c r="Z204" s="35"/>
      <x:c r="AA204" s="35"/>
    </x:row>
    <x:row r="205">
      <x:c r="A205" s="136" t="str">
        <x:v>Antietam | Contention | Farmland</x:v>
      </x:c>
      <x:c r="B205" s="136" t="str">
        <x:v>Spawn | USA CQ4_Spawnpoint_USA_Cavalry_0 [map-10/007]</x:v>
      </x:c>
      <x:c r="C205" s="136" t="str">
        <x:v>spawn</x:v>
      </x:c>
      <x:c r="D205" s="136" t="str">
        <x:v>USA</x:v>
      </x:c>
      <x:c r="E205" s="136" t="str">
        <x:v>CQ4_Spawnpoint_USA_Cavalry_0</x:v>
      </x:c>
      <x:c r="F205" s="137" t="n">
        <x:v>953.1153564453125</x:v>
      </x:c>
      <x:c r="G205" s="137" t="n">
        <x:v>3470.7861328125</x:v>
      </x:c>
      <x:c r="H205" s="137" t="n">
        <x:v>74.40943145751953</x:v>
      </x:c>
      <x:c r="I205" s="137" t="n">
        <x:v>225.16347706882127</x:v>
      </x:c>
      <x:c r="J205" s="137" t="n">
        <x:v>218.1393650545771</x:v>
      </x:c>
      <x:c r="K205" s="136" t="str">
        <x:v>map-10</x:v>
      </x:c>
      <x:c r="L205" s="136" t="str">
        <x:v>Antietam | Contention | Farmland||Spawn | USA CQ4_Spawnpoint_USA_Cavalry_0 [map-10/007]</x:v>
      </x:c>
      <x:c r="M205" s="35"/>
      <x:c r="N205" s="35"/>
      <x:c r="O205" s="35"/>
      <x:c r="P205" s="35"/>
      <x:c r="Q205" s="35"/>
      <x:c r="R205" s="35"/>
      <x:c r="S205" s="35"/>
      <x:c r="T205" s="35"/>
      <x:c r="U205" s="35"/>
      <x:c r="V205" s="35"/>
      <x:c r="W205" s="35"/>
      <x:c r="X205" s="35"/>
      <x:c r="Y205" s="35"/>
      <x:c r="Z205" s="35"/>
      <x:c r="AA205" s="35"/>
    </x:row>
    <x:row r="206">
      <x:c r="A206" s="136" t="str">
        <x:v>Antietam | Contention | Farmland</x:v>
      </x:c>
      <x:c r="B206" s="136" t="str">
        <x:v>Artillery | CSA CQ4_Spawnpoint_CSA_Artillery_Staging [map-10/008]</x:v>
      </x:c>
      <x:c r="C206" s="136" t="str">
        <x:v>battery</x:v>
      </x:c>
      <x:c r="D206" s="136" t="str">
        <x:v>CSA</x:v>
      </x:c>
      <x:c r="E206" s="136" t="str">
        <x:v>CQ4_Spawnpoint_CSA_Artillery_Staging</x:v>
      </x:c>
      <x:c r="F206" s="137" t="n">
        <x:v>960.7236328125</x:v>
      </x:c>
      <x:c r="G206" s="137" t="n">
        <x:v>2245.62939453125</x:v>
      </x:c>
      <x:c r="H206" s="137" t="n">
        <x:v>62.341148376464844</x:v>
      </x:c>
      <x:c r="I206" s="137" t="n">
        <x:v>1592.0578156474103</x:v>
      </x:c>
      <x:c r="J206" s="137" t="n">
        <x:v>1243.1354498985338</x:v>
      </x:c>
      <x:c r="K206" s="136" t="str">
        <x:v>map-10</x:v>
      </x:c>
      <x:c r="L206" s="136" t="str">
        <x:v>Antietam | Contention | Farmland||Artillery | CSA CQ4_Spawnpoint_CSA_Artillery_Staging [map-10/008]</x:v>
      </x:c>
      <x:c r="M206" s="35"/>
      <x:c r="N206" s="35"/>
      <x:c r="O206" s="35"/>
      <x:c r="P206" s="35"/>
      <x:c r="Q206" s="35"/>
      <x:c r="R206" s="35"/>
      <x:c r="S206" s="35"/>
      <x:c r="T206" s="35"/>
      <x:c r="U206" s="35"/>
      <x:c r="V206" s="35"/>
      <x:c r="W206" s="35"/>
      <x:c r="X206" s="35"/>
      <x:c r="Y206" s="35"/>
      <x:c r="Z206" s="35"/>
      <x:c r="AA206" s="35"/>
    </x:row>
    <x:row r="207">
      <x:c r="A207" s="136" t="str">
        <x:v>Antietam | Contention | Farmland</x:v>
      </x:c>
      <x:c r="B207" s="136" t="str">
        <x:v>Artillery | USA CQ4_Spawnpoint_USA_Artillery_Staging [map-10/009]</x:v>
      </x:c>
      <x:c r="C207" s="136" t="str">
        <x:v>battery</x:v>
      </x:c>
      <x:c r="D207" s="136" t="str">
        <x:v>USA</x:v>
      </x:c>
      <x:c r="E207" s="136" t="str">
        <x:v>CQ4_Spawnpoint_USA_Artillery_Staging</x:v>
      </x:c>
      <x:c r="F207" s="137" t="n">
        <x:v>886.6439208984375</x:v>
      </x:c>
      <x:c r="G207" s="137" t="n">
        <x:v>3201.930908203125</x:v>
      </x:c>
      <x:c r="H207" s="137" t="n">
        <x:v>63.32939910888672</x:v>
      </x:c>
      <x:c r="I207" s="137" t="n">
        <x:v>467.57930967504325</x:v>
      </x:c>
      <x:c r="J207" s="137" t="n">
        <x:v>518.7371062934404</x:v>
      </x:c>
      <x:c r="K207" s="136" t="str">
        <x:v>map-10</x:v>
      </x:c>
      <x:c r="L207" s="136" t="str">
        <x:v>Antietam | Contention | Farmland||Artillery | USA CQ4_Spawnpoint_USA_Artillery_Staging [map-10/009]</x:v>
      </x:c>
      <x:c r="M207" s="35"/>
      <x:c r="N207" s="35"/>
      <x:c r="O207" s="35"/>
      <x:c r="P207" s="35"/>
      <x:c r="Q207" s="35"/>
      <x:c r="R207" s="35"/>
      <x:c r="S207" s="35"/>
      <x:c r="T207" s="35"/>
      <x:c r="U207" s="35"/>
      <x:c r="V207" s="35"/>
      <x:c r="W207" s="35"/>
      <x:c r="X207" s="35"/>
      <x:c r="Y207" s="35"/>
      <x:c r="Z207" s="35"/>
      <x:c r="AA207" s="35"/>
    </x:row>
    <x:row r="208">
      <x:c r="A208" s="136" t="str">
        <x:v>Antietam | Contention | Farmland</x:v>
      </x:c>
      <x:c r="B208" s="136" t="str">
        <x:v>Artillery | USA CQ4_Spawnpoint_USA_Artillery_Forward [map-10/010]</x:v>
      </x:c>
      <x:c r="C208" s="136" t="str">
        <x:v>battery</x:v>
      </x:c>
      <x:c r="D208" s="136" t="str">
        <x:v>USA</x:v>
      </x:c>
      <x:c r="E208" s="136" t="str">
        <x:v>CQ4_Spawnpoint_USA_Artillery_Forward</x:v>
      </x:c>
      <x:c r="F208" s="137" t="n">
        <x:v>888.164306640625</x:v>
      </x:c>
      <x:c r="G208" s="137" t="n">
        <x:v>2911.380126953125</x:v>
      </x:c>
      <x:c r="H208" s="137" t="n">
        <x:v>63.09593963623047</x:v>
      </x:c>
      <x:c r="I208" s="137" t="n">
        <x:v>791.5039402182646</x:v>
      </x:c>
      <x:c r="J208" s="137" t="n">
        <x:v>762.1343022275721</x:v>
      </x:c>
      <x:c r="K208" s="136" t="str">
        <x:v>map-10</x:v>
      </x:c>
      <x:c r="L208" s="136" t="str">
        <x:v>Antietam | Contention | Farmland||Artillery | USA CQ4_Spawnpoint_USA_Artillery_Forward [map-10/010]</x:v>
      </x:c>
      <x:c r="M208" s="35"/>
      <x:c r="N208" s="35"/>
      <x:c r="O208" s="35"/>
      <x:c r="P208" s="35"/>
      <x:c r="Q208" s="35"/>
      <x:c r="R208" s="35"/>
      <x:c r="S208" s="35"/>
      <x:c r="T208" s="35"/>
      <x:c r="U208" s="35"/>
      <x:c r="V208" s="35"/>
      <x:c r="W208" s="35"/>
      <x:c r="X208" s="35"/>
      <x:c r="Y208" s="35"/>
      <x:c r="Z208" s="35"/>
      <x:c r="AA208" s="35"/>
    </x:row>
    <x:row r="209">
      <x:c r="A209" s="136" t="str">
        <x:v>Antietam | Contention | Farmland</x:v>
      </x:c>
      <x:c r="B209" s="136" t="str">
        <x:v>Spawn | CSA CQ4_Spawnpoint_CSA_Infantry_0 [map-10/011]</x:v>
      </x:c>
      <x:c r="C209" s="136" t="str">
        <x:v>spawn</x:v>
      </x:c>
      <x:c r="D209" s="136" t="str">
        <x:v>CSA</x:v>
      </x:c>
      <x:c r="E209" s="136" t="str">
        <x:v>CQ4_Spawnpoint_CSA_Infantry_0</x:v>
      </x:c>
      <x:c r="F209" s="137" t="n">
        <x:v>932.7348022460938</x:v>
      </x:c>
      <x:c r="G209" s="137" t="n">
        <x:v>2226.34375</x:v>
      </x:c>
      <x:c r="H209" s="137" t="n">
        <x:v>63.445777893066406</x:v>
      </x:c>
      <x:c r="I209" s="137" t="n">
        <x:v>1589.8377309256414</x:v>
      </x:c>
      <x:c r="J209" s="137" t="n">
        <x:v>1290.4833453573115</x:v>
      </x:c>
      <x:c r="K209" s="136" t="str">
        <x:v>map-10</x:v>
      </x:c>
      <x:c r="L209" s="136" t="str">
        <x:v>Antietam | Contention | Farmland||Spawn | CSA CQ4_Spawnpoint_CSA_Infantry_0 [map-10/011]</x:v>
      </x:c>
      <x:c r="M209" s="35"/>
      <x:c r="N209" s="35"/>
      <x:c r="O209" s="35"/>
      <x:c r="P209" s="35"/>
      <x:c r="Q209" s="35"/>
      <x:c r="R209" s="35"/>
      <x:c r="S209" s="35"/>
      <x:c r="T209" s="35"/>
      <x:c r="U209" s="35"/>
      <x:c r="V209" s="35"/>
      <x:c r="W209" s="35"/>
      <x:c r="X209" s="35"/>
      <x:c r="Y209" s="35"/>
      <x:c r="Z209" s="35"/>
      <x:c r="AA209" s="35"/>
    </x:row>
    <x:row r="210">
      <x:c r="A210" s="136" t="str">
        <x:v>Antietam | Contention | Farmland</x:v>
      </x:c>
      <x:c r="B210" s="136" t="str">
        <x:v>Spawn | CSA CQ4_Spawnpoint_CSA_Cavalry_0 [map-10/012]</x:v>
      </x:c>
      <x:c r="C210" s="136" t="str">
        <x:v>spawn</x:v>
      </x:c>
      <x:c r="D210" s="136" t="str">
        <x:v>CSA</x:v>
      </x:c>
      <x:c r="E210" s="136" t="str">
        <x:v>CQ4_Spawnpoint_CSA_Cavalry_0</x:v>
      </x:c>
      <x:c r="F210" s="137" t="n">
        <x:v>849.2467651367188</x:v>
      </x:c>
      <x:c r="G210" s="137" t="n">
        <x:v>2092.596435546875</x:v>
      </x:c>
      <x:c r="H210" s="137" t="n">
        <x:v>59.0358772277832</x:v>
      </x:c>
      <x:c r="I210" s="137" t="n">
        <x:v>1667.8536238697088</x:v>
      </x:c>
      <x:c r="J210" s="137" t="n">
        <x:v>1496.0108158787505</x:v>
      </x:c>
      <x:c r="K210" s="136" t="str">
        <x:v>map-10</x:v>
      </x:c>
      <x:c r="L210" s="136" t="str">
        <x:v>Antietam | Contention | Farmland||Spawn | CSA CQ4_Spawnpoint_CSA_Cavalry_0 [map-10/012]</x:v>
      </x:c>
      <x:c r="M210" s="35"/>
      <x:c r="N210" s="35"/>
      <x:c r="O210" s="35"/>
      <x:c r="P210" s="35"/>
      <x:c r="Q210" s="35"/>
      <x:c r="R210" s="35"/>
      <x:c r="S210" s="35"/>
      <x:c r="T210" s="35"/>
      <x:c r="U210" s="35"/>
      <x:c r="V210" s="35"/>
      <x:c r="W210" s="35"/>
      <x:c r="X210" s="35"/>
      <x:c r="Y210" s="35"/>
      <x:c r="Z210" s="35"/>
      <x:c r="AA210" s="35"/>
    </x:row>
    <x:row r="211">
      <x:c r="A211" s="136" t="str">
        <x:v>Antietam | Contention | Farmland</x:v>
      </x:c>
      <x:c r="B211" s="136" t="str">
        <x:v>Artillery | CSA CQ4_Spawnpoint_CSA_Artillery_Forward [map-10/013]</x:v>
      </x:c>
      <x:c r="C211" s="136" t="str">
        <x:v>battery</x:v>
      </x:c>
      <x:c r="D211" s="136" t="str">
        <x:v>CSA</x:v>
      </x:c>
      <x:c r="E211" s="136" t="str">
        <x:v>CQ4_Spawnpoint_CSA_Artillery_Forward</x:v>
      </x:c>
      <x:c r="F211" s="137" t="n">
        <x:v>969.7886352539062</x:v>
      </x:c>
      <x:c r="G211" s="137" t="n">
        <x:v>2542.966796875</x:v>
      </x:c>
      <x:c r="H211" s="137" t="n">
        <x:v>65.88140869140625</x:v>
      </x:c>
      <x:c r="I211" s="137" t="n">
        <x:v>1269.5360601939199</x:v>
      </x:c>
      <x:c r="J211" s="137" t="n">
        <x:v>982.2591077460372</x:v>
      </x:c>
      <x:c r="K211" s="136" t="str">
        <x:v>map-10</x:v>
      </x:c>
      <x:c r="L211" s="136" t="str">
        <x:v>Antietam | Contention | Farmland||Artillery | CSA CQ4_Spawnpoint_CSA_Artillery_Forward [map-10/013]</x:v>
      </x:c>
      <x:c r="M211" s="35"/>
      <x:c r="N211" s="35"/>
      <x:c r="O211" s="35"/>
      <x:c r="P211" s="35"/>
      <x:c r="Q211" s="35"/>
      <x:c r="R211" s="35"/>
      <x:c r="S211" s="35"/>
      <x:c r="T211" s="35"/>
      <x:c r="U211" s="35"/>
      <x:c r="V211" s="35"/>
      <x:c r="W211" s="35"/>
      <x:c r="X211" s="35"/>
      <x:c r="Y211" s="35"/>
      <x:c r="Z211" s="35"/>
      <x:c r="AA211" s="35"/>
    </x:row>
    <x:row r="212">
      <x:c r="A212" s="136" t="str">
        <x:v>Antietam | Contention | Farmland</x:v>
      </x:c>
      <x:c r="B212" s="136" t="str">
        <x:v>Gun | 3-inch Ordnance · Entity-1679 [map-10/014]</x:v>
      </x:c>
      <x:c r="C212" s="136" t="str">
        <x:v>gun_spawn</x:v>
      </x:c>
      <x:c r="D212" s="136" t="str"/>
      <x:c r="E212" s="136" t="str">
        <x:v>3-inch Ordnance · Entity-1679</x:v>
      </x:c>
      <x:c r="F212" s="137" t="n">
        <x:v>905.978515625</x:v>
      </x:c>
      <x:c r="G212" s="137" t="n">
        <x:v>2872.2939453125</x:v>
      </x:c>
      <x:c r="H212" s="137" t="n">
        <x:v>67.17882537841797</x:v>
      </x:c>
      <x:c r="I212" s="137" t="n">
        <x:v>849.9505715555986</x:v>
      </x:c>
      <x:c r="J212" s="137" t="n">
        <x:v>775.3225901953265</x:v>
      </x:c>
      <x:c r="K212" s="136" t="str">
        <x:v>map-10</x:v>
      </x:c>
      <x:c r="L212" s="136" t="str">
        <x:v>Antietam | Contention | Farmland||Gun | 3-inch Ordnance · Entity-1679 [map-10/014]</x:v>
      </x:c>
      <x:c r="M212" s="35"/>
      <x:c r="N212" s="35"/>
      <x:c r="O212" s="35"/>
      <x:c r="P212" s="35"/>
      <x:c r="Q212" s="35"/>
      <x:c r="R212" s="35"/>
      <x:c r="S212" s="35"/>
      <x:c r="T212" s="35"/>
      <x:c r="U212" s="35"/>
      <x:c r="V212" s="35"/>
      <x:c r="W212" s="35"/>
      <x:c r="X212" s="35"/>
      <x:c r="Y212" s="35"/>
      <x:c r="Z212" s="35"/>
      <x:c r="AA212" s="35"/>
    </x:row>
    <x:row r="213">
      <x:c r="A213" s="136" t="str">
        <x:v>Antietam | Contention | Farmland</x:v>
      </x:c>
      <x:c r="B213" s="136" t="str">
        <x:v>Gun | 3-inch Ordnance · Entity-1678 [map-10/015]</x:v>
      </x:c>
      <x:c r="C213" s="136" t="str">
        <x:v>gun_spawn</x:v>
      </x:c>
      <x:c r="D213" s="136" t="str"/>
      <x:c r="E213" s="136" t="str">
        <x:v>3-inch Ordnance · Entity-1678</x:v>
      </x:c>
      <x:c r="F213" s="137" t="n">
        <x:v>913.326171875</x:v>
      </x:c>
      <x:c r="G213" s="137" t="n">
        <x:v>2872.85693359375</x:v>
      </x:c>
      <x:c r="H213" s="137" t="n">
        <x:v>67.01583862304688</x:v>
      </x:c>
      <x:c r="I213" s="137" t="n">
        <x:v>855.5302812309556</x:v>
      </x:c>
      <x:c r="J213" s="137" t="n">
        <x:v>766.6885287644423</x:v>
      </x:c>
      <x:c r="K213" s="136" t="str">
        <x:v>map-10</x:v>
      </x:c>
      <x:c r="L213" s="136" t="str">
        <x:v>Antietam | Contention | Farmland||Gun | 3-inch Ordnance · Entity-1678 [map-10/015]</x:v>
      </x:c>
      <x:c r="M213" s="35"/>
      <x:c r="N213" s="35"/>
      <x:c r="O213" s="35"/>
      <x:c r="P213" s="35"/>
      <x:c r="Q213" s="35"/>
      <x:c r="R213" s="35"/>
      <x:c r="S213" s="35"/>
      <x:c r="T213" s="35"/>
      <x:c r="U213" s="35"/>
      <x:c r="V213" s="35"/>
      <x:c r="W213" s="35"/>
      <x:c r="X213" s="35"/>
      <x:c r="Y213" s="35"/>
      <x:c r="Z213" s="35"/>
      <x:c r="AA213" s="35"/>
    </x:row>
    <x:row r="214">
      <x:c r="A214" s="136" t="str">
        <x:v>Antietam | Contention | Farmland</x:v>
      </x:c>
      <x:c r="B214" s="136" t="str">
        <x:v>Gun | 12-pounder Napoleon (CSA) · Entity-1682 [map-10/016]</x:v>
      </x:c>
      <x:c r="C214" s="136" t="str">
        <x:v>gun_spawn</x:v>
      </x:c>
      <x:c r="D214" s="136" t="str"/>
      <x:c r="E214" s="136" t="str">
        <x:v>12-pounder Napoleon (CSA) · Entity-1682</x:v>
      </x:c>
      <x:c r="F214" s="137" t="n">
        <x:v>883.3255004882812</x:v>
      </x:c>
      <x:c r="G214" s="137" t="n">
        <x:v>2868.79296875</x:v>
      </x:c>
      <x:c r="H214" s="137" t="n">
        <x:v>66.45244598388672</x:v>
      </x:c>
      <x:c r="I214" s="137" t="n">
        <x:v>834.708416140394</x:v>
      </x:c>
      <x:c r="J214" s="137" t="n">
        <x:v>803.430666333641</x:v>
      </x:c>
      <x:c r="K214" s="136" t="str">
        <x:v>map-10</x:v>
      </x:c>
      <x:c r="L214" s="136" t="str">
        <x:v>Antietam | Contention | Farmland||Gun | 12-pounder Napoleon (CSA) · Entity-1682 [map-10/016]</x:v>
      </x:c>
      <x:c r="M214" s="35"/>
      <x:c r="N214" s="35"/>
      <x:c r="O214" s="35"/>
      <x:c r="P214" s="35"/>
      <x:c r="Q214" s="35"/>
      <x:c r="R214" s="35"/>
      <x:c r="S214" s="35"/>
      <x:c r="T214" s="35"/>
      <x:c r="U214" s="35"/>
      <x:c r="V214" s="35"/>
      <x:c r="W214" s="35"/>
      <x:c r="X214" s="35"/>
      <x:c r="Y214" s="35"/>
      <x:c r="Z214" s="35"/>
      <x:c r="AA214" s="35"/>
    </x:row>
    <x:row r="215">
      <x:c r="A215" s="136" t="str">
        <x:v>Antietam | Contention | Farmland</x:v>
      </x:c>
      <x:c r="B215" s="136" t="str">
        <x:v>Gun | 3-inch Ordnance · Entity-1692 [map-10/017]</x:v>
      </x:c>
      <x:c r="C215" s="136" t="str">
        <x:v>gun_spawn</x:v>
      </x:c>
      <x:c r="D215" s="136" t="str"/>
      <x:c r="E215" s="136" t="str">
        <x:v>3-inch Ordnance · Entity-1692</x:v>
      </x:c>
      <x:c r="F215" s="137" t="n">
        <x:v>958.7603149414062</x:v>
      </x:c>
      <x:c r="G215" s="137" t="n">
        <x:v>2582.50537109375</x:v>
      </x:c>
      <x:c r="H215" s="137" t="n">
        <x:v>66.52570343017578</x:v>
      </x:c>
      <x:c r="I215" s="137" t="n">
        <x:v>1216.3175529747969</x:v>
      </x:c>
      <x:c r="J215" s="137" t="n">
        <x:v>961.1538601657232</x:v>
      </x:c>
      <x:c r="K215" s="136" t="str">
        <x:v>map-10</x:v>
      </x:c>
      <x:c r="L215" s="136" t="str">
        <x:v>Antietam | Contention | Farmland||Gun | 3-inch Ordnance · Entity-1692 [map-10/017]</x:v>
      </x:c>
      <x:c r="M215" s="35"/>
      <x:c r="N215" s="35"/>
      <x:c r="O215" s="35"/>
      <x:c r="P215" s="35"/>
      <x:c r="Q215" s="35"/>
      <x:c r="R215" s="35"/>
      <x:c r="S215" s="35"/>
      <x:c r="T215" s="35"/>
      <x:c r="U215" s="35"/>
      <x:c r="V215" s="35"/>
      <x:c r="W215" s="35"/>
      <x:c r="X215" s="35"/>
      <x:c r="Y215" s="35"/>
      <x:c r="Z215" s="35"/>
      <x:c r="AA215" s="35"/>
    </x:row>
    <x:row r="216">
      <x:c r="A216" s="136" t="str">
        <x:v>Antietam | Contention | Farmland</x:v>
      </x:c>
      <x:c r="B216" s="136" t="str">
        <x:v>Gun | 12-pounder Napoleon (CSA) · Entity-1683 [map-10/018]</x:v>
      </x:c>
      <x:c r="C216" s="136" t="str">
        <x:v>gun_spawn</x:v>
      </x:c>
      <x:c r="D216" s="136" t="str"/>
      <x:c r="E216" s="136" t="str">
        <x:v>12-pounder Napoleon (CSA) · Entity-1683</x:v>
      </x:c>
      <x:c r="F216" s="137" t="n">
        <x:v>873.4945068359375</x:v>
      </x:c>
      <x:c r="G216" s="137" t="n">
        <x:v>2867.4365234375</x:v>
      </x:c>
      <x:c r="H216" s="137" t="n">
        <x:v>65.41532897949219</x:v>
      </x:c>
      <x:c r="I216" s="137" t="n">
        <x:v>827.9126923707256</x:v>
      </x:c>
      <x:c r="J216" s="137" t="n">
        <x:v>815.4916349381832</x:v>
      </x:c>
      <x:c r="K216" s="136" t="str">
        <x:v>map-10</x:v>
      </x:c>
      <x:c r="L216" s="136" t="str">
        <x:v>Antietam | Contention | Farmland||Gun | 12-pounder Napoleon (CSA) · Entity-1683 [map-10/018]</x:v>
      </x:c>
      <x:c r="M216" s="35"/>
      <x:c r="N216" s="35"/>
      <x:c r="O216" s="35"/>
      <x:c r="P216" s="35"/>
      <x:c r="Q216" s="35"/>
      <x:c r="R216" s="35"/>
      <x:c r="S216" s="35"/>
      <x:c r="T216" s="35"/>
      <x:c r="U216" s="35"/>
      <x:c r="V216" s="35"/>
      <x:c r="W216" s="35"/>
      <x:c r="X216" s="35"/>
      <x:c r="Y216" s="35"/>
      <x:c r="Z216" s="35"/>
      <x:c r="AA216" s="35"/>
    </x:row>
    <x:row r="217">
      <x:c r="A217" s="136" t="str">
        <x:v>Antietam | Contention | Farmland</x:v>
      </x:c>
      <x:c r="B217" s="136" t="str">
        <x:v>Gun | 12-pounder Napoleon (USA) · Entity-1681 [map-10/019]</x:v>
      </x:c>
      <x:c r="C217" s="136" t="str">
        <x:v>gun_spawn</x:v>
      </x:c>
      <x:c r="D217" s="136" t="str"/>
      <x:c r="E217" s="136" t="str">
        <x:v>12-pounder Napoleon (USA) · Entity-1681</x:v>
      </x:c>
      <x:c r="F217" s="137" t="n">
        <x:v>891.6773681640625</x:v>
      </x:c>
      <x:c r="G217" s="137" t="n">
        <x:v>2869.96240234375</x:v>
      </x:c>
      <x:c r="H217" s="137" t="n">
        <x:v>66.9743423461914</x:v>
      </x:c>
      <x:c r="I217" s="137" t="n">
        <x:v>840.4627282494653</x:v>
      </x:c>
      <x:c r="J217" s="137" t="n">
        <x:v>793.1699342101183</x:v>
      </x:c>
      <x:c r="K217" s="136" t="str">
        <x:v>map-10</x:v>
      </x:c>
      <x:c r="L217" s="136" t="str">
        <x:v>Antietam | Contention | Farmland||Gun | 12-pounder Napoleon (USA) · Entity-1681 [map-10/019]</x:v>
      </x:c>
      <x:c r="M217" s="35"/>
      <x:c r="N217" s="35"/>
      <x:c r="O217" s="35"/>
      <x:c r="P217" s="35"/>
      <x:c r="Q217" s="35"/>
      <x:c r="R217" s="35"/>
      <x:c r="S217" s="35"/>
      <x:c r="T217" s="35"/>
      <x:c r="U217" s="35"/>
      <x:c r="V217" s="35"/>
      <x:c r="W217" s="35"/>
      <x:c r="X217" s="35"/>
      <x:c r="Y217" s="35"/>
      <x:c r="Z217" s="35"/>
      <x:c r="AA217" s="35"/>
    </x:row>
    <x:row r="218">
      <x:c r="A218" s="136" t="str">
        <x:v>Antietam | Contention | Farmland</x:v>
      </x:c>
      <x:c r="B218" s="136" t="str">
        <x:v>Gun | 3-inch Ordnance · Entity-1680 [map-10/020]</x:v>
      </x:c>
      <x:c r="C218" s="136" t="str">
        <x:v>gun_spawn</x:v>
      </x:c>
      <x:c r="D218" s="136" t="str"/>
      <x:c r="E218" s="136" t="str">
        <x:v>3-inch Ordnance · Entity-1680</x:v>
      </x:c>
      <x:c r="F218" s="137" t="n">
        <x:v>898.3428955078125</x:v>
      </x:c>
      <x:c r="G218" s="137" t="n">
        <x:v>2871.388671875</x:v>
      </x:c>
      <x:c r="H218" s="137" t="n">
        <x:v>67.16645050048828</x:v>
      </x:c>
      <x:c r="I218" s="137" t="n">
        <x:v>844.5077738508136</x:v>
      </x:c>
      <x:c r="J218" s="137" t="n">
        <x:v>784.5651442097688</x:v>
      </x:c>
      <x:c r="K218" s="136" t="str">
        <x:v>map-10</x:v>
      </x:c>
      <x:c r="L218" s="136" t="str">
        <x:v>Antietam | Contention | Farmland||Gun | 3-inch Ordnance · Entity-1680 [map-10/020]</x:v>
      </x:c>
      <x:c r="M218" s="35"/>
      <x:c r="N218" s="35"/>
      <x:c r="O218" s="35"/>
      <x:c r="P218" s="35"/>
      <x:c r="Q218" s="35"/>
      <x:c r="R218" s="35"/>
      <x:c r="S218" s="35"/>
      <x:c r="T218" s="35"/>
      <x:c r="U218" s="35"/>
      <x:c r="V218" s="35"/>
      <x:c r="W218" s="35"/>
      <x:c r="X218" s="35"/>
      <x:c r="Y218" s="35"/>
      <x:c r="Z218" s="35"/>
      <x:c r="AA218" s="35"/>
    </x:row>
    <x:row r="219">
      <x:c r="A219" s="136" t="str">
        <x:v>Antietam | Contention | Farmland</x:v>
      </x:c>
      <x:c r="B219" s="136" t="str">
        <x:v>Gun | 3-inch Ordnance · Entity-1691 [map-10/021]</x:v>
      </x:c>
      <x:c r="C219" s="136" t="str">
        <x:v>gun_spawn</x:v>
      </x:c>
      <x:c r="D219" s="136" t="str"/>
      <x:c r="E219" s="136" t="str">
        <x:v>3-inch Ordnance · Entity-1691</x:v>
      </x:c>
      <x:c r="F219" s="137" t="n">
        <x:v>951.3798828125</x:v>
      </x:c>
      <x:c r="G219" s="137" t="n">
        <x:v>2581.960205078125</x:v>
      </x:c>
      <x:c r="H219" s="137" t="n">
        <x:v>66.26675415039062</x:v>
      </x:c>
      <x:c r="I219" s="137" t="n">
        <x:v>1210.6903743953083</x:v>
      </x:c>
      <x:c r="J219" s="137" t="n">
        <x:v>969.8092839688419</x:v>
      </x:c>
      <x:c r="K219" s="136" t="str">
        <x:v>map-10</x:v>
      </x:c>
      <x:c r="L219" s="136" t="str">
        <x:v>Antietam | Contention | Farmland||Gun | 3-inch Ordnance · Entity-1691 [map-10/021]</x:v>
      </x:c>
      <x:c r="M219" s="35"/>
      <x:c r="N219" s="35"/>
      <x:c r="O219" s="35"/>
      <x:c r="P219" s="35"/>
      <x:c r="Q219" s="35"/>
      <x:c r="R219" s="35"/>
      <x:c r="S219" s="35"/>
      <x:c r="T219" s="35"/>
      <x:c r="U219" s="35"/>
      <x:c r="V219" s="35"/>
      <x:c r="W219" s="35"/>
      <x:c r="X219" s="35"/>
      <x:c r="Y219" s="35"/>
      <x:c r="Z219" s="35"/>
      <x:c r="AA219" s="35"/>
    </x:row>
    <x:row r="220">
      <x:c r="A220" s="136" t="str">
        <x:v>Antietam | Contention | Farmland</x:v>
      </x:c>
      <x:c r="B220" s="136" t="str">
        <x:v>Gun | 12-pounder Napoleon (USA) · Entity-1694 [map-10/022]</x:v>
      </x:c>
      <x:c r="C220" s="136" t="str">
        <x:v>gun_spawn</x:v>
      </x:c>
      <x:c r="D220" s="136" t="str"/>
      <x:c r="E220" s="136" t="str">
        <x:v>12-pounder Napoleon (USA) · Entity-1694</x:v>
      </x:c>
      <x:c r="F220" s="137" t="n">
        <x:v>976.37451171875</x:v>
      </x:c>
      <x:c r="G220" s="137" t="n">
        <x:v>2584.00048828125</x:v>
      </x:c>
      <x:c r="H220" s="137" t="n">
        <x:v>66.60234069824219</x:v>
      </x:c>
      <x:c r="I220" s="137" t="n">
        <x:v>1229.5319729102625</x:v>
      </x:c>
      <x:c r="J220" s="137" t="n">
        <x:v>940.3330987388912</x:v>
      </x:c>
      <x:c r="K220" s="136" t="str">
        <x:v>map-10</x:v>
      </x:c>
      <x:c r="L220" s="136" t="str">
        <x:v>Antietam | Contention | Farmland||Gun | 12-pounder Napoleon (USA) · Entity-1694 [map-10/022]</x:v>
      </x:c>
      <x:c r="M220" s="35"/>
      <x:c r="N220" s="35"/>
      <x:c r="O220" s="35"/>
      <x:c r="P220" s="35"/>
      <x:c r="Q220" s="35"/>
      <x:c r="R220" s="35"/>
      <x:c r="S220" s="35"/>
      <x:c r="T220" s="35"/>
      <x:c r="U220" s="35"/>
      <x:c r="V220" s="35"/>
      <x:c r="W220" s="35"/>
      <x:c r="X220" s="35"/>
      <x:c r="Y220" s="35"/>
      <x:c r="Z220" s="35"/>
      <x:c r="AA220" s="35"/>
    </x:row>
    <x:row r="221">
      <x:c r="A221" s="136" t="str">
        <x:v>Antietam | Contention | Farmland</x:v>
      </x:c>
      <x:c r="B221" s="136" t="str">
        <x:v>Gun | 3-inch Ordnance · Entity-1690 [map-10/023]</x:v>
      </x:c>
      <x:c r="C221" s="136" t="str">
        <x:v>gun_spawn</x:v>
      </x:c>
      <x:c r="D221" s="136" t="str"/>
      <x:c r="E221" s="136" t="str">
        <x:v>3-inch Ordnance · Entity-1690</x:v>
      </x:c>
      <x:c r="F221" s="137" t="n">
        <x:v>942.5787353515625</x:v>
      </x:c>
      <x:c r="G221" s="137" t="n">
        <x:v>2581.423095703125</x:v>
      </x:c>
      <x:c r="H221" s="137" t="n">
        <x:v>65.81668090820312</x:v>
      </x:c>
      <x:c r="I221" s="137" t="n">
        <x:v>1203.8544974918927</x:v>
      </x:c>
      <x:c r="J221" s="137" t="n">
        <x:v>980.0355383016075</x:v>
      </x:c>
      <x:c r="K221" s="136" t="str">
        <x:v>map-10</x:v>
      </x:c>
      <x:c r="L221" s="136" t="str">
        <x:v>Antietam | Contention | Farmland||Gun | 3-inch Ordnance · Entity-1690 [map-10/023]</x:v>
      </x:c>
      <x:c r="M221" s="35"/>
      <x:c r="N221" s="35"/>
      <x:c r="O221" s="35"/>
      <x:c r="P221" s="35"/>
      <x:c r="Q221" s="35"/>
      <x:c r="R221" s="35"/>
      <x:c r="S221" s="35"/>
      <x:c r="T221" s="35"/>
      <x:c r="U221" s="35"/>
      <x:c r="V221" s="35"/>
      <x:c r="W221" s="35"/>
      <x:c r="X221" s="35"/>
      <x:c r="Y221" s="35"/>
      <x:c r="Z221" s="35"/>
      <x:c r="AA221" s="35"/>
    </x:row>
    <x:row r="222">
      <x:c r="A222" s="136" t="str">
        <x:v>Antietam | Contention | Farmland</x:v>
      </x:c>
      <x:c r="B222" s="136" t="str">
        <x:v>Gun | 12-pounder Napoleon (USA) · Entity-1693 [map-10/024]</x:v>
      </x:c>
      <x:c r="C222" s="136" t="str">
        <x:v>gun_spawn</x:v>
      </x:c>
      <x:c r="D222" s="136" t="str"/>
      <x:c r="E222" s="136" t="str">
        <x:v>12-pounder Napoleon (USA) · Entity-1693</x:v>
      </x:c>
      <x:c r="F222" s="137" t="n">
        <x:v>966.8984985351562</x:v>
      </x:c>
      <x:c r="G222" s="137" t="n">
        <x:v>2583.198486328125</x:v>
      </x:c>
      <x:c r="H222" s="137" t="n">
        <x:v>66.6316146850586</x:v>
      </x:c>
      <x:c r="I222" s="137" t="n">
        <x:v>1222.42034064724</x:v>
      </x:c>
      <x:c r="J222" s="137" t="n">
        <x:v>951.5321967339038</x:v>
      </x:c>
      <x:c r="K222" s="136" t="str">
        <x:v>map-10</x:v>
      </x:c>
      <x:c r="L222" s="136" t="str">
        <x:v>Antietam | Contention | Farmland||Gun | 12-pounder Napoleon (USA) · Entity-1693 [map-10/024]</x:v>
      </x:c>
      <x:c r="M222" s="35"/>
      <x:c r="N222" s="35"/>
      <x:c r="O222" s="35"/>
      <x:c r="P222" s="35"/>
      <x:c r="Q222" s="35"/>
      <x:c r="R222" s="35"/>
      <x:c r="S222" s="35"/>
      <x:c r="T222" s="35"/>
      <x:c r="U222" s="35"/>
      <x:c r="V222" s="35"/>
      <x:c r="W222" s="35"/>
      <x:c r="X222" s="35"/>
      <x:c r="Y222" s="35"/>
      <x:c r="Z222" s="35"/>
      <x:c r="AA222" s="35"/>
    </x:row>
    <x:row r="223">
      <x:c r="A223" s="136" t="str">
        <x:v>Antietam | Contention | Farmland</x:v>
      </x:c>
      <x:c r="B223" s="136" t="str">
        <x:v>Gun | 12-pounder Napoleon (USA) · Entity-1695 [map-10/025]</x:v>
      </x:c>
      <x:c r="C223" s="136" t="str">
        <x:v>gun_spawn</x:v>
      </x:c>
      <x:c r="D223" s="136" t="str"/>
      <x:c r="E223" s="136" t="str">
        <x:v>12-pounder Napoleon (USA) · Entity-1695</x:v>
      </x:c>
      <x:c r="F223" s="137" t="n">
        <x:v>986.0264892578125</x:v>
      </x:c>
      <x:c r="G223" s="137" t="n">
        <x:v>2584.49853515625</x:v>
      </x:c>
      <x:c r="H223" s="137" t="n">
        <x:v>66.34941864013672</x:v>
      </x:c>
      <x:c r="I223" s="137" t="n">
        <x:v>1237.1297272874572</x:v>
      </x:c>
      <x:c r="J223" s="137" t="n">
        <x:v>929.194994274602</x:v>
      </x:c>
      <x:c r="K223" s="136" t="str">
        <x:v>map-10</x:v>
      </x:c>
      <x:c r="L223" s="136" t="str">
        <x:v>Antietam | Contention | Farmland||Gun | 12-pounder Napoleon (USA) · Entity-1695 [map-10/025]</x:v>
      </x:c>
      <x:c r="M223" s="35"/>
      <x:c r="N223" s="35"/>
      <x:c r="O223" s="35"/>
      <x:c r="P223" s="35"/>
      <x:c r="Q223" s="35"/>
      <x:c r="R223" s="35"/>
      <x:c r="S223" s="35"/>
      <x:c r="T223" s="35"/>
      <x:c r="U223" s="35"/>
      <x:c r="V223" s="35"/>
      <x:c r="W223" s="35"/>
      <x:c r="X223" s="35"/>
      <x:c r="Y223" s="35"/>
      <x:c r="Z223" s="35"/>
      <x:c r="AA223" s="35"/>
    </x:row>
    <x:row r="224">
      <x:c r="A224" s="136" t="str">
        <x:v>Antietam | Contention | Limestone Bridge</x:v>
      </x:c>
      <x:c r="B224" s="136" t="str">
        <x:v>Spawn | USA CQ5_Spawnpoint_USA_Infantry_2 [map-11/001]</x:v>
      </x:c>
      <x:c r="C224" s="136" t="str">
        <x:v>spawn</x:v>
      </x:c>
      <x:c r="D224" s="136" t="str">
        <x:v>USA</x:v>
      </x:c>
      <x:c r="E224" s="136" t="str">
        <x:v>CQ5_Spawnpoint_USA_Infantry_2</x:v>
      </x:c>
      <x:c r="F224" s="137" t="n">
        <x:v>1921.5142822265625</x:v>
      </x:c>
      <x:c r="G224" s="137" t="n">
        <x:v>698.109130859375</x:v>
      </x:c>
      <x:c r="H224" s="137" t="n">
        <x:v>49.61469650268555</x:v>
      </x:c>
      <x:c r="I224" s="137" t="n">
        <x:v>1196.84556662627</x:v>
      </x:c>
      <x:c r="J224" s="137" t="n">
        <x:v>250.7658031831928</x:v>
      </x:c>
      <x:c r="K224" s="136" t="str">
        <x:v>map-11</x:v>
      </x:c>
      <x:c r="L224" s="136" t="str">
        <x:v>Antietam | Contention | Limestone Bridge||Spawn | USA CQ5_Spawnpoint_USA_Infantry_2 [map-11/001]</x:v>
      </x:c>
      <x:c r="M224" s="35"/>
      <x:c r="N224" s="35"/>
      <x:c r="O224" s="35"/>
      <x:c r="P224" s="35"/>
      <x:c r="Q224" s="35"/>
      <x:c r="R224" s="35"/>
      <x:c r="S224" s="35"/>
      <x:c r="T224" s="35"/>
      <x:c r="U224" s="35"/>
      <x:c r="V224" s="35"/>
      <x:c r="W224" s="35"/>
      <x:c r="X224" s="35"/>
      <x:c r="Y224" s="35"/>
      <x:c r="Z224" s="35"/>
      <x:c r="AA224" s="35"/>
    </x:row>
    <x:row r="225">
      <x:c r="A225" s="136" t="str">
        <x:v>Antietam | Contention | Limestone Bridge</x:v>
      </x:c>
      <x:c r="B225" s="136" t="str">
        <x:v>Spawn | USA CQ5_Spawnpoint_USA_Infantry_0 [map-11/002]</x:v>
      </x:c>
      <x:c r="C225" s="136" t="str">
        <x:v>spawn</x:v>
      </x:c>
      <x:c r="D225" s="136" t="str">
        <x:v>USA</x:v>
      </x:c>
      <x:c r="E225" s="136" t="str">
        <x:v>CQ5_Spawnpoint_USA_Infantry_0</x:v>
      </x:c>
      <x:c r="F225" s="137" t="n">
        <x:v>1897.5386962890625</x:v>
      </x:c>
      <x:c r="G225" s="137" t="n">
        <x:v>680.9423828125</x:v>
      </x:c>
      <x:c r="H225" s="137" t="n">
        <x:v>49.334835052490234</x:v>
      </x:c>
      <x:c r="I225" s="137" t="n">
        <x:v>1195.6674583439974</x:v>
      </x:c>
      <x:c r="J225" s="137" t="n">
        <x:v>291.9084930270821</x:v>
      </x:c>
      <x:c r="K225" s="136" t="str">
        <x:v>map-11</x:v>
      </x:c>
      <x:c r="L225" s="136" t="str">
        <x:v>Antietam | Contention | Limestone Bridge||Spawn | USA CQ5_Spawnpoint_USA_Infantry_0 [map-11/002]</x:v>
      </x:c>
      <x:c r="M225" s="35"/>
      <x:c r="N225" s="35"/>
      <x:c r="O225" s="35"/>
      <x:c r="P225" s="35"/>
      <x:c r="Q225" s="35"/>
      <x:c r="R225" s="35"/>
      <x:c r="S225" s="35"/>
      <x:c r="T225" s="35"/>
      <x:c r="U225" s="35"/>
      <x:c r="V225" s="35"/>
      <x:c r="W225" s="35"/>
      <x:c r="X225" s="35"/>
      <x:c r="Y225" s="35"/>
      <x:c r="Z225" s="35"/>
      <x:c r="AA225" s="35"/>
    </x:row>
    <x:row r="226">
      <x:c r="A226" s="136" t="str">
        <x:v>Antietam | Contention | Limestone Bridge</x:v>
      </x:c>
      <x:c r="B226" s="136" t="str">
        <x:v>Artillery | USA CQ5_Spawnpoint_USA_Artillery_Staging [map-11/003]</x:v>
      </x:c>
      <x:c r="C226" s="136" t="str">
        <x:v>battery</x:v>
      </x:c>
      <x:c r="D226" s="136" t="str">
        <x:v>USA</x:v>
      </x:c>
      <x:c r="E226" s="136" t="str">
        <x:v>CQ5_Spawnpoint_USA_Artillery_Staging</x:v>
      </x:c>
      <x:c r="F226" s="137" t="n">
        <x:v>1896.9622802734375</x:v>
      </x:c>
      <x:c r="G226" s="137" t="n">
        <x:v>706.8405151367188</x:v>
      </x:c>
      <x:c r="H226" s="137" t="n">
        <x:v>49.484012603759766</x:v>
      </x:c>
      <x:c r="I226" s="137" t="n">
        <x:v>1166.4315327970496</x:v>
      </x:c>
      <x:c r="J226" s="137" t="n">
        <x:v>270.6668510782228</x:v>
      </x:c>
      <x:c r="K226" s="136" t="str">
        <x:v>map-11</x:v>
      </x:c>
      <x:c r="L226" s="136" t="str">
        <x:v>Antietam | Contention | Limestone Bridge||Artillery | USA CQ5_Spawnpoint_USA_Artillery_Staging [map-11/003]</x:v>
      </x:c>
      <x:c r="M226" s="35"/>
      <x:c r="N226" s="35"/>
      <x:c r="O226" s="35"/>
      <x:c r="P226" s="35"/>
      <x:c r="Q226" s="35"/>
      <x:c r="R226" s="35"/>
      <x:c r="S226" s="35"/>
      <x:c r="T226" s="35"/>
      <x:c r="U226" s="35"/>
      <x:c r="V226" s="35"/>
      <x:c r="W226" s="35"/>
      <x:c r="X226" s="35"/>
      <x:c r="Y226" s="35"/>
      <x:c r="Z226" s="35"/>
      <x:c r="AA226" s="35"/>
    </x:row>
    <x:row r="227">
      <x:c r="A227" s="136" t="str">
        <x:v>Antietam | Contention | Limestone Bridge</x:v>
      </x:c>
      <x:c r="B227" s="136" t="str">
        <x:v>Artillery | CSA CQ5_Spawnpoint_CSA_Artillery_Forward [map-11/004]</x:v>
      </x:c>
      <x:c r="C227" s="136" t="str">
        <x:v>battery</x:v>
      </x:c>
      <x:c r="D227" s="136" t="str">
        <x:v>CSA</x:v>
      </x:c>
      <x:c r="E227" s="136" t="str">
        <x:v>CQ5_Spawnpoint_CSA_Artillery_Forward</x:v>
      </x:c>
      <x:c r="F227" s="137" t="n">
        <x:v>1323.314208984375</x:v>
      </x:c>
      <x:c r="G227" s="137" t="n">
        <x:v>201.22918701171875</x:v>
      </x:c>
      <x:c r="H227" s="137" t="n">
        <x:v>48.948055267333984</x:v>
      </x:c>
      <x:c r="I227" s="137" t="n">
        <x:v>1243.5628929829368</x:v>
      </x:c>
      <x:c r="J227" s="137" t="n">
        <x:v>1335.2225267338413</x:v>
      </x:c>
      <x:c r="K227" s="136" t="str">
        <x:v>map-11</x:v>
      </x:c>
      <x:c r="L227" s="136" t="str">
        <x:v>Antietam | Contention | Limestone Bridge||Artillery | CSA CQ5_Spawnpoint_CSA_Artillery_Forward [map-11/004]</x:v>
      </x:c>
      <x:c r="M227" s="35"/>
      <x:c r="N227" s="35"/>
      <x:c r="O227" s="35"/>
      <x:c r="P227" s="35"/>
      <x:c r="Q227" s="35"/>
      <x:c r="R227" s="35"/>
      <x:c r="S227" s="35"/>
      <x:c r="T227" s="35"/>
      <x:c r="U227" s="35"/>
      <x:c r="V227" s="35"/>
      <x:c r="W227" s="35"/>
      <x:c r="X227" s="35"/>
      <x:c r="Y227" s="35"/>
      <x:c r="Z227" s="35"/>
      <x:c r="AA227" s="35"/>
    </x:row>
    <x:row r="228">
      <x:c r="A228" s="136" t="str">
        <x:v>Antietam | Contention | Limestone Bridge</x:v>
      </x:c>
      <x:c r="B228" s="136" t="str">
        <x:v>Objective | Victory_Conquest_5 [map-11/005]</x:v>
      </x:c>
      <x:c r="C228" s="136" t="str">
        <x:v>objective</x:v>
      </x:c>
      <x:c r="D228" s="136" t="str"/>
      <x:c r="E228" s="136" t="str">
        <x:v>Victory_Conquest_5</x:v>
      </x:c>
      <x:c r="F228" s="137" t="n">
        <x:v>1206.4290771484375</x:v>
      </x:c>
      <x:c r="G228" s="137" t="n">
        <x:v>399.32586669921875</x:v>
      </x:c>
      <x:c r="H228" s="137" t="n">
        <x:v>35.8155403137207</x:v>
      </x:c>
      <x:c r="I228" s="137" t="n">
        <x:v>925.0078544575937</x:v>
      </x:c>
      <x:c r="J228" s="137" t="n">
        <x:v>1297.7099590232847</x:v>
      </x:c>
      <x:c r="K228" s="136" t="str">
        <x:v>map-11</x:v>
      </x:c>
      <x:c r="L228" s="136" t="str">
        <x:v>Antietam | Contention | Limestone Bridge||Objective | Victory_Conquest_5 [map-11/005]</x:v>
      </x:c>
      <x:c r="M228" s="35"/>
      <x:c r="N228" s="35"/>
      <x:c r="O228" s="35"/>
      <x:c r="P228" s="35"/>
      <x:c r="Q228" s="35"/>
      <x:c r="R228" s="35"/>
      <x:c r="S228" s="35"/>
      <x:c r="T228" s="35"/>
      <x:c r="U228" s="35"/>
      <x:c r="V228" s="35"/>
      <x:c r="W228" s="35"/>
      <x:c r="X228" s="35"/>
      <x:c r="Y228" s="35"/>
      <x:c r="Z228" s="35"/>
      <x:c r="AA228" s="35"/>
    </x:row>
    <x:row r="229">
      <x:c r="A229" s="136" t="str">
        <x:v>Antietam | Contention | Limestone Bridge</x:v>
      </x:c>
      <x:c r="B229" s="136" t="str">
        <x:v>Spawn | CSA CQ5_Spawnpoint_CSA_Infantry_2 [map-11/006]</x:v>
      </x:c>
      <x:c r="C229" s="136" t="str">
        <x:v>spawn</x:v>
      </x:c>
      <x:c r="D229" s="136" t="str">
        <x:v>CSA</x:v>
      </x:c>
      <x:c r="E229" s="136" t="str">
        <x:v>CQ5_Spawnpoint_CSA_Infantry_2</x:v>
      </x:c>
      <x:c r="F229" s="137" t="n">
        <x:v>879.6851806640625</x:v>
      </x:c>
      <x:c r="G229" s="137" t="n">
        <x:v>281.76617431640625</x:v>
      </x:c>
      <x:c r="H229" s="137" t="n">
        <x:v>41.25935363769531</x:v>
      </x:c>
      <x:c r="I229" s="137" t="n">
        <x:v>779.7458821791555</x:v>
      </x:c>
      <x:c r="J229" s="137" t="n">
        <x:v>1760.0674990222938</x:v>
      </x:c>
      <x:c r="K229" s="136" t="str">
        <x:v>map-11</x:v>
      </x:c>
      <x:c r="L229" s="136" t="str">
        <x:v>Antietam | Contention | Limestone Bridge||Spawn | CSA CQ5_Spawnpoint_CSA_Infantry_2 [map-11/006]</x:v>
      </x:c>
      <x:c r="M229" s="35"/>
      <x:c r="N229" s="35"/>
      <x:c r="O229" s="35"/>
      <x:c r="P229" s="35"/>
      <x:c r="Q229" s="35"/>
      <x:c r="R229" s="35"/>
      <x:c r="S229" s="35"/>
      <x:c r="T229" s="35"/>
      <x:c r="U229" s="35"/>
      <x:c r="V229" s="35"/>
      <x:c r="W229" s="35"/>
      <x:c r="X229" s="35"/>
      <x:c r="Y229" s="35"/>
      <x:c r="Z229" s="35"/>
      <x:c r="AA229" s="35"/>
    </x:row>
    <x:row r="230">
      <x:c r="A230" s="136" t="str">
        <x:v>Antietam | Contention | Limestone Bridge</x:v>
      </x:c>
      <x:c r="B230" s="136" t="str">
        <x:v>Spawn | CSA CQ5_Spawnpoint_CSA_Infantry_1 [map-11/007]</x:v>
      </x:c>
      <x:c r="C230" s="136" t="str">
        <x:v>spawn</x:v>
      </x:c>
      <x:c r="D230" s="136" t="str">
        <x:v>CSA</x:v>
      </x:c>
      <x:c r="E230" s="136" t="str">
        <x:v>CQ5_Spawnpoint_CSA_Infantry_1</x:v>
      </x:c>
      <x:c r="F230" s="137" t="n">
        <x:v>853.0706787109375</x:v>
      </x:c>
      <x:c r="G230" s="137" t="n">
        <x:v>237.08140563964844</x:v>
      </x:c>
      <x:c r="H230" s="137" t="n">
        <x:v>46.57109069824219</x:v>
      </x:c>
      <x:c r="I230" s="137" t="n">
        <x:v>806.8882634263349</x:v>
      </x:c>
      <x:c r="J230" s="137" t="n">
        <x:v>1827.3929073397987</x:v>
      </x:c>
      <x:c r="K230" s="136" t="str">
        <x:v>map-11</x:v>
      </x:c>
      <x:c r="L230" s="136" t="str">
        <x:v>Antietam | Contention | Limestone Bridge||Spawn | CSA CQ5_Spawnpoint_CSA_Infantry_1 [map-11/007]</x:v>
      </x:c>
      <x:c r="M230" s="35"/>
      <x:c r="N230" s="35"/>
      <x:c r="O230" s="35"/>
      <x:c r="P230" s="35"/>
      <x:c r="Q230" s="35"/>
      <x:c r="R230" s="35"/>
      <x:c r="S230" s="35"/>
      <x:c r="T230" s="35"/>
      <x:c r="U230" s="35"/>
      <x:c r="V230" s="35"/>
      <x:c r="W230" s="35"/>
      <x:c r="X230" s="35"/>
      <x:c r="Y230" s="35"/>
      <x:c r="Z230" s="35"/>
      <x:c r="AA230" s="35"/>
    </x:row>
    <x:row r="231">
      <x:c r="A231" s="136" t="str">
        <x:v>Antietam | Contention | Limestone Bridge</x:v>
      </x:c>
      <x:c r="B231" s="136" t="str">
        <x:v>Spawn | USA CQ5_Spawnpoint_USA_Infantry_1 [map-11/008]</x:v>
      </x:c>
      <x:c r="C231" s="136" t="str">
        <x:v>spawn</x:v>
      </x:c>
      <x:c r="D231" s="136" t="str">
        <x:v>USA</x:v>
      </x:c>
      <x:c r="E231" s="136" t="str">
        <x:v>CQ5_Spawnpoint_USA_Infantry_1</x:v>
      </x:c>
      <x:c r="F231" s="137" t="n">
        <x:v>1887.5799560546875</x:v>
      </x:c>
      <x:c r="G231" s="137" t="n">
        <x:v>702.7752685546875</x:v>
      </x:c>
      <x:c r="H231" s="137" t="n">
        <x:v>49.54864501953125</x:v>
      </x:c>
      <x:c r="I231" s="137" t="n">
        <x:v>1163.0258764633606</x:v>
      </x:c>
      <x:c r="J231" s="137" t="n">
        <x:v>284.5259020380637</x:v>
      </x:c>
      <x:c r="K231" s="136" t="str">
        <x:v>map-11</x:v>
      </x:c>
      <x:c r="L231" s="136" t="str">
        <x:v>Antietam | Contention | Limestone Bridge||Spawn | USA CQ5_Spawnpoint_USA_Infantry_1 [map-11/008]</x:v>
      </x:c>
      <x:c r="M231" s="35"/>
      <x:c r="N231" s="35"/>
      <x:c r="O231" s="35"/>
      <x:c r="P231" s="35"/>
      <x:c r="Q231" s="35"/>
      <x:c r="R231" s="35"/>
      <x:c r="S231" s="35"/>
      <x:c r="T231" s="35"/>
      <x:c r="U231" s="35"/>
      <x:c r="V231" s="35"/>
      <x:c r="W231" s="35"/>
      <x:c r="X231" s="35"/>
      <x:c r="Y231" s="35"/>
      <x:c r="Z231" s="35"/>
      <x:c r="AA231" s="35"/>
    </x:row>
    <x:row r="232">
      <x:c r="A232" s="136" t="str">
        <x:v>Antietam | Contention | Limestone Bridge</x:v>
      </x:c>
      <x:c r="B232" s="136" t="str">
        <x:v>Spawn | CSA CQ5_Spawnpoint_CSA_Infantry_0 [map-11/009]</x:v>
      </x:c>
      <x:c r="C232" s="136" t="str">
        <x:v>spawn</x:v>
      </x:c>
      <x:c r="D232" s="136" t="str">
        <x:v>CSA</x:v>
      </x:c>
      <x:c r="E232" s="136" t="str">
        <x:v>CQ5_Spawnpoint_CSA_Infantry_0</x:v>
      </x:c>
      <x:c r="F232" s="137" t="n">
        <x:v>866.2473754882812</x:v>
      </x:c>
      <x:c r="G232" s="137" t="n">
        <x:v>259.0313720703125</x:v>
      </x:c>
      <x:c r="H232" s="137" t="n">
        <x:v>44.29988098144531</x:v>
      </x:c>
      <x:c r="I232" s="137" t="n">
        <x:v>793.6425099383733</x:v>
      </x:c>
      <x:c r="J232" s="137" t="n">
        <x:v>1794.2068201445795</x:v>
      </x:c>
      <x:c r="K232" s="136" t="str">
        <x:v>map-11</x:v>
      </x:c>
      <x:c r="L232" s="136" t="str">
        <x:v>Antietam | Contention | Limestone Bridge||Spawn | CSA CQ5_Spawnpoint_CSA_Infantry_0 [map-11/009]</x:v>
      </x:c>
      <x:c r="M232" s="35"/>
      <x:c r="N232" s="35"/>
      <x:c r="O232" s="35"/>
      <x:c r="P232" s="35"/>
      <x:c r="Q232" s="35"/>
      <x:c r="R232" s="35"/>
      <x:c r="S232" s="35"/>
      <x:c r="T232" s="35"/>
      <x:c r="U232" s="35"/>
      <x:c r="V232" s="35"/>
      <x:c r="W232" s="35"/>
      <x:c r="X232" s="35"/>
      <x:c r="Y232" s="35"/>
      <x:c r="Z232" s="35"/>
      <x:c r="AA232" s="35"/>
    </x:row>
    <x:row r="233">
      <x:c r="A233" s="136" t="str">
        <x:v>Antietam | Contention | Limestone Bridge</x:v>
      </x:c>
      <x:c r="B233" s="136" t="str">
        <x:v>Artillery | CSA CQ5_Spawnpoint_CSA_Artillery_Staging [map-11/010]</x:v>
      </x:c>
      <x:c r="C233" s="136" t="str">
        <x:v>battery</x:v>
      </x:c>
      <x:c r="D233" s="136" t="str">
        <x:v>CSA</x:v>
      </x:c>
      <x:c r="E233" s="136" t="str">
        <x:v>CQ5_Spawnpoint_CSA_Artillery_Staging</x:v>
      </x:c>
      <x:c r="F233" s="137" t="n">
        <x:v>840.53955078125</x:v>
      </x:c>
      <x:c r="G233" s="137" t="n">
        <x:v>214.3062286376953</x:v>
      </x:c>
      <x:c r="H233" s="137" t="n">
        <x:v>48.36130905151367</x:v>
      </x:c>
      <x:c r="I233" s="137" t="n">
        <x:v>821.5949267155322</x:v>
      </x:c>
      <x:c r="J233" s="137" t="n">
        <x:v>1860.5589806759</x:v>
      </x:c>
      <x:c r="K233" s="136" t="str">
        <x:v>map-11</x:v>
      </x:c>
      <x:c r="L233" s="136" t="str">
        <x:v>Antietam | Contention | Limestone Bridge||Artillery | CSA CQ5_Spawnpoint_CSA_Artillery_Staging [map-11/010]</x:v>
      </x:c>
      <x:c r="M233" s="35"/>
      <x:c r="N233" s="35"/>
      <x:c r="O233" s="35"/>
      <x:c r="P233" s="35"/>
      <x:c r="Q233" s="35"/>
      <x:c r="R233" s="35"/>
      <x:c r="S233" s="35"/>
      <x:c r="T233" s="35"/>
      <x:c r="U233" s="35"/>
      <x:c r="V233" s="35"/>
      <x:c r="W233" s="35"/>
      <x:c r="X233" s="35"/>
      <x:c r="Y233" s="35"/>
      <x:c r="Z233" s="35"/>
      <x:c r="AA233" s="35"/>
    </x:row>
    <x:row r="234">
      <x:c r="A234" s="136" t="str">
        <x:v>Antietam | Contention | Limestone Bridge</x:v>
      </x:c>
      <x:c r="B234" s="136" t="str">
        <x:v>Artillery | USA CQ5_Spawnpoint_USA_Artillery_Forward [map-11/011]</x:v>
      </x:c>
      <x:c r="C234" s="136" t="str">
        <x:v>battery</x:v>
      </x:c>
      <x:c r="D234" s="136" t="str">
        <x:v>USA</x:v>
      </x:c>
      <x:c r="E234" s="136" t="str">
        <x:v>CQ5_Spawnpoint_USA_Artillery_Forward</x:v>
      </x:c>
      <x:c r="F234" s="137" t="n">
        <x:v>1586.3763427734375</x:v>
      </x:c>
      <x:c r="G234" s="137" t="n">
        <x:v>355.669677734375</x:v>
      </x:c>
      <x:c r="H234" s="137" t="n">
        <x:v>50.43431091308594</x:v>
      </x:c>
      <x:c r="I234" s="137" t="n">
        <x:v>1294.1375905235427</x:v>
      </x:c>
      <x:c r="J234" s="137" t="n">
        <x:v>912.4568213294785</x:v>
      </x:c>
      <x:c r="K234" s="136" t="str">
        <x:v>map-11</x:v>
      </x:c>
      <x:c r="L234" s="136" t="str">
        <x:v>Antietam | Contention | Limestone Bridge||Artillery | USA CQ5_Spawnpoint_USA_Artillery_Forward [map-11/011]</x:v>
      </x:c>
      <x:c r="M234" s="35"/>
      <x:c r="N234" s="35"/>
      <x:c r="O234" s="35"/>
      <x:c r="P234" s="35"/>
      <x:c r="Q234" s="35"/>
      <x:c r="R234" s="35"/>
      <x:c r="S234" s="35"/>
      <x:c r="T234" s="35"/>
      <x:c r="U234" s="35"/>
      <x:c r="V234" s="35"/>
      <x:c r="W234" s="35"/>
      <x:c r="X234" s="35"/>
      <x:c r="Y234" s="35"/>
      <x:c r="Z234" s="35"/>
      <x:c r="AA234" s="35"/>
    </x:row>
    <x:row r="235">
      <x:c r="A235" s="136" t="str">
        <x:v>Antietam | Contention | Limestone Bridge</x:v>
      </x:c>
      <x:c r="B235" s="136" t="str">
        <x:v>Gun | 12-pounder Napoleon (CSA) · Entity-1712 [map-11/012]</x:v>
      </x:c>
      <x:c r="C235" s="136" t="str">
        <x:v>gun_spawn</x:v>
      </x:c>
      <x:c r="D235" s="136" t="str"/>
      <x:c r="E235" s="136" t="str">
        <x:v>12-pounder Napoleon (CSA) · Entity-1712</x:v>
      </x:c>
      <x:c r="F235" s="137" t="n">
        <x:v>1545.0242919921875</x:v>
      </x:c>
      <x:c r="G235" s="137" t="n">
        <x:v>366.96636962890625</x:v>
      </x:c>
      <x:c r="H235" s="137" t="n">
        <x:v>52.51788330078125</x:v>
      </x:c>
      <x:c r="I235" s="137" t="n">
        <x:v>1246.6969447678155</x:v>
      </x:c>
      <x:c r="J235" s="137" t="n">
        <x:v>948.8560216269511</x:v>
      </x:c>
      <x:c r="K235" s="136" t="str">
        <x:v>map-11</x:v>
      </x:c>
      <x:c r="L235" s="136" t="str">
        <x:v>Antietam | Contention | Limestone Bridge||Gun | 12-pounder Napoleon (CSA) · Entity-1712 [map-11/012]</x:v>
      </x:c>
      <x:c r="M235" s="35"/>
      <x:c r="N235" s="35"/>
      <x:c r="O235" s="35"/>
      <x:c r="P235" s="35"/>
      <x:c r="Q235" s="35"/>
      <x:c r="R235" s="35"/>
      <x:c r="S235" s="35"/>
      <x:c r="T235" s="35"/>
      <x:c r="U235" s="35"/>
      <x:c r="V235" s="35"/>
      <x:c r="W235" s="35"/>
      <x:c r="X235" s="35"/>
      <x:c r="Y235" s="35"/>
      <x:c r="Z235" s="35"/>
      <x:c r="AA235" s="35"/>
    </x:row>
    <x:row r="236">
      <x:c r="A236" s="136" t="str">
        <x:v>Antietam | Contention | Limestone Bridge</x:v>
      </x:c>
      <x:c r="B236" s="136" t="str">
        <x:v>Gun | 12-pounder Napoleon (USA) · Entity-1723 [map-11/013]</x:v>
      </x:c>
      <x:c r="C236" s="136" t="str">
        <x:v>gun_spawn</x:v>
      </x:c>
      <x:c r="D236" s="136" t="str"/>
      <x:c r="E236" s="136" t="str">
        <x:v>12-pounder Napoleon (USA) · Entity-1723</x:v>
      </x:c>
      <x:c r="F236" s="137" t="n">
        <x:v>1356.7098388671875</x:v>
      </x:c>
      <x:c r="G236" s="137" t="n">
        <x:v>223.849609375</x:v>
      </x:c>
      <x:c r="H236" s="137" t="n">
        <x:v>47.101531982421875</x:v>
      </x:c>
      <x:c r="I236" s="137" t="n">
        <x:v>1246.6372025336177</x:v>
      </x:c>
      <x:c r="J236" s="137" t="n">
        <x:v>1279.0057554915309</x:v>
      </x:c>
      <x:c r="K236" s="136" t="str">
        <x:v>map-11</x:v>
      </x:c>
      <x:c r="L236" s="136" t="str">
        <x:v>Antietam | Contention | Limestone Bridge||Gun | 12-pounder Napoleon (USA) · Entity-1723 [map-11/013]</x:v>
      </x:c>
      <x:c r="M236" s="35"/>
      <x:c r="N236" s="35"/>
      <x:c r="O236" s="35"/>
      <x:c r="P236" s="35"/>
      <x:c r="Q236" s="35"/>
      <x:c r="R236" s="35"/>
      <x:c r="S236" s="35"/>
      <x:c r="T236" s="35"/>
      <x:c r="U236" s="35"/>
      <x:c r="V236" s="35"/>
      <x:c r="W236" s="35"/>
      <x:c r="X236" s="35"/>
      <x:c r="Y236" s="35"/>
      <x:c r="Z236" s="35"/>
      <x:c r="AA236" s="35"/>
    </x:row>
    <x:row r="237">
      <x:c r="A237" s="136" t="str">
        <x:v>Antietam | Contention | Limestone Bridge</x:v>
      </x:c>
      <x:c r="B237" s="136" t="str">
        <x:v>Gun | 3-inch Ordnance · Entity-1710 [map-11/014]</x:v>
      </x:c>
      <x:c r="C237" s="136" t="str">
        <x:v>gun_spawn</x:v>
      </x:c>
      <x:c r="D237" s="136" t="str"/>
      <x:c r="E237" s="136" t="str">
        <x:v>3-inch Ordnance · Entity-1710</x:v>
      </x:c>
      <x:c r="F237" s="137" t="n">
        <x:v>1545.2889404296875</x:v>
      </x:c>
      <x:c r="G237" s="137" t="n">
        <x:v>351.7286376953125</x:v>
      </x:c>
      <x:c r="H237" s="137" t="n">
        <x:v>53.23622512817383</x:v>
      </x:c>
      <x:c r="I237" s="137" t="n">
        <x:v>1263.8356651542792</x:v>
      </x:c>
      <x:c r="J237" s="137" t="n">
        <x:v>961.4367771190671</x:v>
      </x:c>
      <x:c r="K237" s="136" t="str">
        <x:v>map-11</x:v>
      </x:c>
      <x:c r="L237" s="136" t="str">
        <x:v>Antietam | Contention | Limestone Bridge||Gun | 3-inch Ordnance · Entity-1710 [map-11/014]</x:v>
      </x:c>
      <x:c r="M237" s="35"/>
      <x:c r="N237" s="35"/>
      <x:c r="O237" s="35"/>
      <x:c r="P237" s="35"/>
      <x:c r="Q237" s="35"/>
      <x:c r="R237" s="35"/>
      <x:c r="S237" s="35"/>
      <x:c r="T237" s="35"/>
      <x:c r="U237" s="35"/>
      <x:c r="V237" s="35"/>
      <x:c r="W237" s="35"/>
      <x:c r="X237" s="35"/>
      <x:c r="Y237" s="35"/>
      <x:c r="Z237" s="35"/>
      <x:c r="AA237" s="35"/>
    </x:row>
    <x:row r="238">
      <x:c r="A238" s="136" t="str">
        <x:v>Antietam | Contention | Limestone Bridge</x:v>
      </x:c>
      <x:c r="B238" s="136" t="str">
        <x:v>Gun | 3-inch Ordnance · Entity-1722 [map-11/015]</x:v>
      </x:c>
      <x:c r="C238" s="136" t="str">
        <x:v>gun_spawn</x:v>
      </x:c>
      <x:c r="D238" s="136" t="str"/>
      <x:c r="E238" s="136" t="str">
        <x:v>3-inch Ordnance · Entity-1722</x:v>
      </x:c>
      <x:c r="F238" s="137" t="n">
        <x:v>1352.0400390625</x:v>
      </x:c>
      <x:c r="G238" s="137" t="n">
        <x:v>230.5507354736328</x:v>
      </x:c>
      <x:c r="H238" s="137" t="n">
        <x:v>46.5091552734375</x:v>
      </x:c>
      <x:c r="I238" s="137" t="n">
        <x:v>1235.2570932940791</x:v>
      </x:c>
      <x:c r="J238" s="137" t="n">
        <x:v>1278.5321535153978</x:v>
      </x:c>
      <x:c r="K238" s="136" t="str">
        <x:v>map-11</x:v>
      </x:c>
      <x:c r="L238" s="136" t="str">
        <x:v>Antietam | Contention | Limestone Bridge||Gun | 3-inch Ordnance · Entity-1722 [map-11/015]</x:v>
      </x:c>
      <x:c r="M238" s="35"/>
      <x:c r="N238" s="35"/>
      <x:c r="O238" s="35"/>
      <x:c r="P238" s="35"/>
      <x:c r="Q238" s="35"/>
      <x:c r="R238" s="35"/>
      <x:c r="S238" s="35"/>
      <x:c r="T238" s="35"/>
      <x:c r="U238" s="35"/>
      <x:c r="V238" s="35"/>
      <x:c r="W238" s="35"/>
      <x:c r="X238" s="35"/>
      <x:c r="Y238" s="35"/>
      <x:c r="Z238" s="35"/>
      <x:c r="AA238" s="35"/>
    </x:row>
    <x:row r="239">
      <x:c r="A239" s="136" t="str">
        <x:v>Antietam | Contention | Limestone Bridge</x:v>
      </x:c>
      <x:c r="B239" s="136" t="str">
        <x:v>Gun | 12-pounder Napoleon (USA) · Entity-1724 [map-11/016]</x:v>
      </x:c>
      <x:c r="C239" s="136" t="str">
        <x:v>gun_spawn</x:v>
      </x:c>
      <x:c r="D239" s="136" t="str"/>
      <x:c r="E239" s="136" t="str">
        <x:v>12-pounder Napoleon (USA) · Entity-1724</x:v>
      </x:c>
      <x:c r="F239" s="137" t="n">
        <x:v>1362.142822265625</x:v>
      </x:c>
      <x:c r="G239" s="137" t="n">
        <x:v>216.04437255859375</x:v>
      </x:c>
      <x:c r="H239" s="137" t="n">
        <x:v>47.740745544433594</x:v>
      </x:c>
      <x:c r="I239" s="137" t="n">
        <x:v>1259.8870920902348</x:v>
      </x:c>
      <x:c r="J239" s="137" t="n">
        <x:v>1279.5643186842094</x:v>
      </x:c>
      <x:c r="K239" s="136" t="str">
        <x:v>map-11</x:v>
      </x:c>
      <x:c r="L239" s="136" t="str">
        <x:v>Antietam | Contention | Limestone Bridge||Gun | 12-pounder Napoleon (USA) · Entity-1724 [map-11/016]</x:v>
      </x:c>
      <x:c r="M239" s="35"/>
      <x:c r="N239" s="35"/>
      <x:c r="O239" s="35"/>
      <x:c r="P239" s="35"/>
      <x:c r="Q239" s="35"/>
      <x:c r="R239" s="35"/>
      <x:c r="S239" s="35"/>
      <x:c r="T239" s="35"/>
      <x:c r="U239" s="35"/>
      <x:c r="V239" s="35"/>
      <x:c r="W239" s="35"/>
      <x:c r="X239" s="35"/>
      <x:c r="Y239" s="35"/>
      <x:c r="Z239" s="35"/>
      <x:c r="AA239" s="35"/>
    </x:row>
    <x:row r="240">
      <x:c r="A240" s="136" t="str">
        <x:v>Antietam | Contention | Limestone Bridge</x:v>
      </x:c>
      <x:c r="B240" s="136" t="str">
        <x:v>Gun | 3-inch Ordnance · Entity-1708 [map-11/017]</x:v>
      </x:c>
      <x:c r="C240" s="136" t="str">
        <x:v>gun_spawn</x:v>
      </x:c>
      <x:c r="D240" s="136" t="str"/>
      <x:c r="E240" s="136" t="str">
        <x:v>3-inch Ordnance · Entity-1708</x:v>
      </x:c>
      <x:c r="F240" s="137" t="n">
        <x:v>1544.44482421875</x:v>
      </x:c>
      <x:c r="G240" s="137" t="n">
        <x:v>336.6971740722656</x:v>
      </x:c>
      <x:c r="H240" s="137" t="n">
        <x:v>53.220619201660156</x:v>
      </x:c>
      <x:c r="I240" s="137" t="n">
        <x:v>1279.809634729899</x:v>
      </x:c>
      <x:c r="J240" s="137" t="n">
        <x:v>975.0751409414534</x:v>
      </x:c>
      <x:c r="K240" s="136" t="str">
        <x:v>map-11</x:v>
      </x:c>
      <x:c r="L240" s="136" t="str">
        <x:v>Antietam | Contention | Limestone Bridge||Gun | 3-inch Ordnance · Entity-1708 [map-11/017]</x:v>
      </x:c>
      <x:c r="M240" s="35"/>
      <x:c r="N240" s="35"/>
      <x:c r="O240" s="35"/>
      <x:c r="P240" s="35"/>
      <x:c r="Q240" s="35"/>
      <x:c r="R240" s="35"/>
      <x:c r="S240" s="35"/>
      <x:c r="T240" s="35"/>
      <x:c r="U240" s="35"/>
      <x:c r="V240" s="35"/>
      <x:c r="W240" s="35"/>
      <x:c r="X240" s="35"/>
      <x:c r="Y240" s="35"/>
      <x:c r="Z240" s="35"/>
      <x:c r="AA240" s="35"/>
    </x:row>
    <x:row r="241">
      <x:c r="A241" s="136" t="str">
        <x:v>Antietam | Contention | Limestone Bridge</x:v>
      </x:c>
      <x:c r="B241" s="136" t="str">
        <x:v>Gun | 12-pounder Napoleon (CSA) · Entity-1713 [map-11/018]</x:v>
      </x:c>
      <x:c r="C241" s="136" t="str">
        <x:v>gun_spawn</x:v>
      </x:c>
      <x:c r="D241" s="136" t="str"/>
      <x:c r="E241" s="136" t="str">
        <x:v>12-pounder Napoleon (CSA) · Entity-1713</x:v>
      </x:c>
      <x:c r="F241" s="137" t="n">
        <x:v>1545.1898193359375</x:v>
      </x:c>
      <x:c r="G241" s="137" t="n">
        <x:v>376.8891906738281</x:v>
      </x:c>
      <x:c r="H241" s="137" t="n">
        <x:v>51.60481643676758</x:v>
      </x:c>
      <x:c r="I241" s="137" t="n">
        <x:v>1235.8213507464714</x:v>
      </x:c>
      <x:c r="J241" s="137" t="n">
        <x:v>940.2880395384183</x:v>
      </x:c>
      <x:c r="K241" s="136" t="str">
        <x:v>map-11</x:v>
      </x:c>
      <x:c r="L241" s="136" t="str">
        <x:v>Antietam | Contention | Limestone Bridge||Gun | 12-pounder Napoleon (CSA) · Entity-1713 [map-11/018]</x:v>
      </x:c>
      <x:c r="M241" s="35"/>
      <x:c r="N241" s="35"/>
      <x:c r="O241" s="35"/>
      <x:c r="P241" s="35"/>
      <x:c r="Q241" s="35"/>
      <x:c r="R241" s="35"/>
      <x:c r="S241" s="35"/>
      <x:c r="T241" s="35"/>
      <x:c r="U241" s="35"/>
      <x:c r="V241" s="35"/>
      <x:c r="W241" s="35"/>
      <x:c r="X241" s="35"/>
      <x:c r="Y241" s="35"/>
      <x:c r="Z241" s="35"/>
      <x:c r="AA241" s="35"/>
    </x:row>
    <x:row r="242">
      <x:c r="A242" s="136" t="str">
        <x:v>Antietam | Contention | Limestone Bridge</x:v>
      </x:c>
      <x:c r="B242" s="136" t="str">
        <x:v>Gun | 3-inch Ordnance · Entity-1721 [map-11/019]</x:v>
      </x:c>
      <x:c r="C242" s="136" t="str">
        <x:v>gun_spawn</x:v>
      </x:c>
      <x:c r="D242" s="136" t="str"/>
      <x:c r="E242" s="136" t="str">
        <x:v>3-inch Ordnance · Entity-1721</x:v>
      </x:c>
      <x:c r="F242" s="137" t="n">
        <x:v>1347.87744140625</x:v>
      </x:c>
      <x:c r="G242" s="137" t="n">
        <x:v>236.6695098876953</x:v>
      </x:c>
      <x:c r="H242" s="137" t="n">
        <x:v>45.88818359375</x:v>
      </x:c>
      <x:c r="I242" s="137" t="n">
        <x:v>1224.9515184485936</x:v>
      </x:c>
      <x:c r="J242" s="137" t="n">
        <x:v>1277.9870712959114</x:v>
      </x:c>
      <x:c r="K242" s="136" t="str">
        <x:v>map-11</x:v>
      </x:c>
      <x:c r="L242" s="136" t="str">
        <x:v>Antietam | Contention | Limestone Bridge||Gun | 3-inch Ordnance · Entity-1721 [map-11/019]</x:v>
      </x:c>
      <x:c r="M242" s="35"/>
      <x:c r="N242" s="35"/>
      <x:c r="O242" s="35"/>
      <x:c r="P242" s="35"/>
      <x:c r="Q242" s="35"/>
      <x:c r="R242" s="35"/>
      <x:c r="S242" s="35"/>
      <x:c r="T242" s="35"/>
      <x:c r="U242" s="35"/>
      <x:c r="V242" s="35"/>
      <x:c r="W242" s="35"/>
      <x:c r="X242" s="35"/>
      <x:c r="Y242" s="35"/>
      <x:c r="Z242" s="35"/>
      <x:c r="AA242" s="35"/>
    </x:row>
    <x:row r="243">
      <x:c r="A243" s="136" t="str">
        <x:v>Antietam | Contention | Limestone Bridge</x:v>
      </x:c>
      <x:c r="B243" s="136" t="str">
        <x:v>Gun | 3-inch Ordnance · Entity-1720 [map-11/020]</x:v>
      </x:c>
      <x:c r="C243" s="136" t="str">
        <x:v>gun_spawn</x:v>
      </x:c>
      <x:c r="D243" s="136" t="str"/>
      <x:c r="E243" s="136" t="str">
        <x:v>3-inch Ordnance · Entity-1720</x:v>
      </x:c>
      <x:c r="F243" s="137" t="n">
        <x:v>1343.0113525390625</x:v>
      </x:c>
      <x:c r="G243" s="137" t="n">
        <x:v>244.0228271484375</x:v>
      </x:c>
      <x:c r="H243" s="137" t="n">
        <x:v>45.2563362121582</x:v>
      </x:c>
      <x:c r="I243" s="137" t="n">
        <x:v>1212.6817500067552</x:v>
      </x:c>
      <x:c r="J243" s="137" t="n">
        <x:v>1277.1805009718425</x:v>
      </x:c>
      <x:c r="K243" s="136" t="str">
        <x:v>map-11</x:v>
      </x:c>
      <x:c r="L243" s="136" t="str">
        <x:v>Antietam | Contention | Limestone Bridge||Gun | 3-inch Ordnance · Entity-1720 [map-11/020]</x:v>
      </x:c>
      <x:c r="M243" s="35"/>
      <x:c r="N243" s="35"/>
      <x:c r="O243" s="35"/>
      <x:c r="P243" s="35"/>
      <x:c r="Q243" s="35"/>
      <x:c r="R243" s="35"/>
      <x:c r="S243" s="35"/>
      <x:c r="T243" s="35"/>
      <x:c r="U243" s="35"/>
      <x:c r="V243" s="35"/>
      <x:c r="W243" s="35"/>
      <x:c r="X243" s="35"/>
      <x:c r="Y243" s="35"/>
      <x:c r="Z243" s="35"/>
      <x:c r="AA243" s="35"/>
    </x:row>
    <x:row r="244">
      <x:c r="A244" s="136" t="str">
        <x:v>Antietam | Contention | Limestone Bridge</x:v>
      </x:c>
      <x:c r="B244" s="136" t="str">
        <x:v>Gun | 12-pounder Napoleon (USA) · Entity-1725 [map-11/021]</x:v>
      </x:c>
      <x:c r="C244" s="136" t="str">
        <x:v>gun_spawn</x:v>
      </x:c>
      <x:c r="D244" s="136" t="str"/>
      <x:c r="E244" s="136" t="str">
        <x:v>12-pounder Napoleon (USA) · Entity-1725</x:v>
      </x:c>
      <x:c r="F244" s="137" t="n">
        <x:v>1367.400390625</x:v>
      </x:c>
      <x:c r="G244" s="137" t="n">
        <x:v>207.9349365234375</x:v>
      </x:c>
      <x:c r="H244" s="137" t="n">
        <x:v>48.35213088989258</x:v>
      </x:c>
      <x:c r="I244" s="137" t="n">
        <x:v>1273.3266259055938</x:v>
      </x:c>
      <x:c r="J244" s="137" t="n">
        <x:v>1280.5748028922342</x:v>
      </x:c>
      <x:c r="K244" s="136" t="str">
        <x:v>map-11</x:v>
      </x:c>
      <x:c r="L244" s="136" t="str">
        <x:v>Antietam | Contention | Limestone Bridge||Gun | 12-pounder Napoleon (USA) · Entity-1725 [map-11/021]</x:v>
      </x:c>
      <x:c r="M244" s="35"/>
      <x:c r="N244" s="35"/>
      <x:c r="O244" s="35"/>
      <x:c r="P244" s="35"/>
      <x:c r="Q244" s="35"/>
      <x:c r="R244" s="35"/>
      <x:c r="S244" s="35"/>
      <x:c r="T244" s="35"/>
      <x:c r="U244" s="35"/>
      <x:c r="V244" s="35"/>
      <x:c r="W244" s="35"/>
      <x:c r="X244" s="35"/>
      <x:c r="Y244" s="35"/>
      <x:c r="Z244" s="35"/>
      <x:c r="AA244" s="35"/>
    </x:row>
    <x:row r="245">
      <x:c r="A245" s="136" t="str">
        <x:v>Antietam | Contention | Limestone Bridge</x:v>
      </x:c>
      <x:c r="B245" s="136" t="str">
        <x:v>Gun | 3-inch Ordnance · Entity-1709 [map-11/022]</x:v>
      </x:c>
      <x:c r="C245" s="136" t="str">
        <x:v>gun_spawn</x:v>
      </x:c>
      <x:c r="D245" s="136" t="str"/>
      <x:c r="E245" s="136" t="str">
        <x:v>3-inch Ordnance · Entity-1709</x:v>
      </x:c>
      <x:c r="F245" s="137" t="n">
        <x:v>1545.013916015625</x:v>
      </x:c>
      <x:c r="G245" s="137" t="n">
        <x:v>344.0444030761719</x:v>
      </x:c>
      <x:c r="H245" s="137" t="n">
        <x:v>53.17987060546875</x:v>
      </x:c>
      <x:c r="I245" s="137" t="n">
        <x:v>1272.1337976276204</x:v>
      </x:c>
      <x:c r="J245" s="137" t="n">
        <x:v>968.2349704106354</x:v>
      </x:c>
      <x:c r="K245" s="136" t="str">
        <x:v>map-11</x:v>
      </x:c>
      <x:c r="L245" s="136" t="str">
        <x:v>Antietam | Contention | Limestone Bridge||Gun | 3-inch Ordnance · Entity-1709 [map-11/022]</x:v>
      </x:c>
      <x:c r="M245" s="35"/>
      <x:c r="N245" s="35"/>
      <x:c r="O245" s="35"/>
      <x:c r="P245" s="35"/>
      <x:c r="Q245" s="35"/>
      <x:c r="R245" s="35"/>
      <x:c r="S245" s="35"/>
      <x:c r="T245" s="35"/>
      <x:c r="U245" s="35"/>
      <x:c r="V245" s="35"/>
      <x:c r="W245" s="35"/>
      <x:c r="X245" s="35"/>
      <x:c r="Y245" s="35"/>
      <x:c r="Z245" s="35"/>
      <x:c r="AA245" s="35"/>
    </x:row>
    <x:row r="246">
      <x:c r="A246" s="136" t="str">
        <x:v>Antietam | Contention | Limestone Bridge</x:v>
      </x:c>
      <x:c r="B246" s="136" t="str">
        <x:v>Gun | 12-pounder Napoleon (USA) · Entity-1711 [map-11/023]</x:v>
      </x:c>
      <x:c r="C246" s="136" t="str">
        <x:v>gun_spawn</x:v>
      </x:c>
      <x:c r="D246" s="136" t="str"/>
      <x:c r="E246" s="136" t="str">
        <x:v>12-pounder Napoleon (USA) · Entity-1711</x:v>
      </x:c>
      <x:c r="F246" s="137" t="n">
        <x:v>1544.900634765625</x:v>
      </x:c>
      <x:c r="G246" s="137" t="n">
        <x:v>358.53399658203125</x:v>
      </x:c>
      <x:c r="H246" s="137" t="n">
        <x:v>53.028465270996094</x:v>
      </x:c>
      <x:c r="I246" s="137" t="n">
        <x:v>1255.9533341572708</x:v>
      </x:c>
      <x:c r="J246" s="137" t="n">
        <x:v>956.1181621770253</x:v>
      </x:c>
      <x:c r="K246" s="136" t="str">
        <x:v>map-11</x:v>
      </x:c>
      <x:c r="L246" s="136" t="str">
        <x:v>Antietam | Contention | Limestone Bridge||Gun | 12-pounder Napoleon (USA) · Entity-1711 [map-11/023]</x:v>
      </x:c>
      <x:c r="M246" s="35"/>
      <x:c r="N246" s="35"/>
      <x:c r="O246" s="35"/>
      <x:c r="P246" s="35"/>
      <x:c r="Q246" s="35"/>
      <x:c r="R246" s="35"/>
      <x:c r="S246" s="35"/>
      <x:c r="T246" s="35"/>
      <x:c r="U246" s="35"/>
      <x:c r="V246" s="35"/>
      <x:c r="W246" s="35"/>
      <x:c r="X246" s="35"/>
      <x:c r="Y246" s="35"/>
      <x:c r="Z246" s="35"/>
      <x:c r="AA246" s="35"/>
    </x:row>
    <x:row r="247">
      <x:c r="A247" s="136" t="str">
        <x:v>Antietam | Contention | Waterways</x:v>
      </x:c>
      <x:c r="B247" s="136" t="str">
        <x:v>Spawn | USA CQ6_Spawnpoint_USA_Infantry_0 [map-12/001]</x:v>
      </x:c>
      <x:c r="C247" s="136" t="str">
        <x:v>spawn</x:v>
      </x:c>
      <x:c r="D247" s="136" t="str">
        <x:v>USA</x:v>
      </x:c>
      <x:c r="E247" s="136" t="str">
        <x:v>CQ6_Spawnpoint_USA_Infantry_0</x:v>
      </x:c>
      <x:c r="F247" s="137" t="n">
        <x:v>2987.091064453125</x:v>
      </x:c>
      <x:c r="G247" s="137" t="n">
        <x:v>828.2537841796875</x:v>
      </x:c>
      <x:c r="H247" s="137" t="n">
        <x:v>21.7051944732666</x:v>
      </x:c>
      <x:c r="I247" s="137" t="n">
        <x:v>1801.9150276104886</x:v>
      </x:c>
      <x:c r="J247" s="137" t="n">
        <x:v>1387.37813024159</x:v>
      </x:c>
      <x:c r="K247" s="136" t="str">
        <x:v>map-12</x:v>
      </x:c>
      <x:c r="L247" s="136" t="str">
        <x:v>Antietam | Contention | Waterways||Spawn | USA CQ6_Spawnpoint_USA_Infantry_0 [map-12/001]</x:v>
      </x:c>
      <x:c r="M247" s="35"/>
      <x:c r="N247" s="35"/>
      <x:c r="O247" s="35"/>
      <x:c r="P247" s="35"/>
      <x:c r="Q247" s="35"/>
      <x:c r="R247" s="35"/>
      <x:c r="S247" s="35"/>
      <x:c r="T247" s="35"/>
      <x:c r="U247" s="35"/>
      <x:c r="V247" s="35"/>
      <x:c r="W247" s="35"/>
      <x:c r="X247" s="35"/>
      <x:c r="Y247" s="35"/>
      <x:c r="Z247" s="35"/>
      <x:c r="AA247" s="35"/>
    </x:row>
    <x:row r="248">
      <x:c r="A248" s="136" t="str">
        <x:v>Antietam | Contention | Waterways</x:v>
      </x:c>
      <x:c r="B248" s="136" t="str">
        <x:v>Spawn | USA CQ6_Spawnpoint_USA_Infantry_1 [map-12/002]</x:v>
      </x:c>
      <x:c r="C248" s="136" t="str">
        <x:v>spawn</x:v>
      </x:c>
      <x:c r="D248" s="136" t="str">
        <x:v>USA</x:v>
      </x:c>
      <x:c r="E248" s="136" t="str">
        <x:v>CQ6_Spawnpoint_USA_Infantry_1</x:v>
      </x:c>
      <x:c r="F248" s="137" t="n">
        <x:v>2974.555908203125</x:v>
      </x:c>
      <x:c r="G248" s="137" t="n">
        <x:v>806.9785766601562</x:v>
      </x:c>
      <x:c r="H248" s="137" t="n">
        <x:v>21.223081588745117</x:v>
      </x:c>
      <x:c r="I248" s="137" t="n">
        <x:v>1817.8931739956768</x:v>
      </x:c>
      <x:c r="J248" s="137" t="n">
        <x:v>1426.4959642572162</x:v>
      </x:c>
      <x:c r="K248" s="136" t="str">
        <x:v>map-12</x:v>
      </x:c>
      <x:c r="L248" s="136" t="str">
        <x:v>Antietam | Contention | Waterways||Spawn | USA CQ6_Spawnpoint_USA_Infantry_1 [map-12/002]</x:v>
      </x:c>
      <x:c r="M248" s="35"/>
      <x:c r="N248" s="35"/>
      <x:c r="O248" s="35"/>
      <x:c r="P248" s="35"/>
      <x:c r="Q248" s="35"/>
      <x:c r="R248" s="35"/>
      <x:c r="S248" s="35"/>
      <x:c r="T248" s="35"/>
      <x:c r="U248" s="35"/>
      <x:c r="V248" s="35"/>
      <x:c r="W248" s="35"/>
      <x:c r="X248" s="35"/>
      <x:c r="Y248" s="35"/>
      <x:c r="Z248" s="35"/>
      <x:c r="AA248" s="35"/>
    </x:row>
    <x:row r="249">
      <x:c r="A249" s="136" t="str">
        <x:v>Antietam | Contention | Waterways</x:v>
      </x:c>
      <x:c r="B249" s="136" t="str">
        <x:v>Spawn | CSA CQ6_Spawnpoint_CSA_Cavalry_0 [map-12/003]</x:v>
      </x:c>
      <x:c r="C249" s="136" t="str">
        <x:v>spawn</x:v>
      </x:c>
      <x:c r="D249" s="136" t="str">
        <x:v>CSA</x:v>
      </x:c>
      <x:c r="E249" s="136" t="str">
        <x:v>CQ6_Spawnpoint_CSA_Cavalry_0</x:v>
      </x:c>
      <x:c r="F249" s="137" t="n">
        <x:v>2935.570068359375</x:v>
      </x:c>
      <x:c r="G249" s="137" t="n">
        <x:v>1961.910400390625</x:v>
      </x:c>
      <x:c r="H249" s="137" t="n">
        <x:v>50.8907470703125</x:v>
      </x:c>
      <x:c r="I249" s="137" t="n">
        <x:v>204.1105598069724</x:v>
      </x:c>
      <x:c r="J249" s="137" t="n">
        <x:v>283.076203046479</x:v>
      </x:c>
      <x:c r="K249" s="136" t="str">
        <x:v>map-12</x:v>
      </x:c>
      <x:c r="L249" s="136" t="str">
        <x:v>Antietam | Contention | Waterways||Spawn | CSA CQ6_Spawnpoint_CSA_Cavalry_0 [map-12/003]</x:v>
      </x:c>
      <x:c r="M249" s="35"/>
      <x:c r="N249" s="35"/>
      <x:c r="O249" s="35"/>
      <x:c r="P249" s="35"/>
      <x:c r="Q249" s="35"/>
      <x:c r="R249" s="35"/>
      <x:c r="S249" s="35"/>
      <x:c r="T249" s="35"/>
      <x:c r="U249" s="35"/>
      <x:c r="V249" s="35"/>
      <x:c r="W249" s="35"/>
      <x:c r="X249" s="35"/>
      <x:c r="Y249" s="35"/>
      <x:c r="Z249" s="35"/>
      <x:c r="AA249" s="35"/>
    </x:row>
    <x:row r="250">
      <x:c r="A250" s="136" t="str">
        <x:v>Antietam | Contention | Waterways</x:v>
      </x:c>
      <x:c r="B250" s="136" t="str">
        <x:v>Spawn | CSA CQ6_Spawnpoint_CSA_Infantry_2 [map-12/004]</x:v>
      </x:c>
      <x:c r="C250" s="136" t="str">
        <x:v>spawn</x:v>
      </x:c>
      <x:c r="D250" s="136" t="str">
        <x:v>CSA</x:v>
      </x:c>
      <x:c r="E250" s="136" t="str">
        <x:v>CQ6_Spawnpoint_CSA_Infantry_2</x:v>
      </x:c>
      <x:c r="F250" s="137" t="n">
        <x:v>2770.34765625</x:v>
      </x:c>
      <x:c r="G250" s="137" t="n">
        <x:v>1900.828857421875</x:v>
      </x:c>
      <x:c r="H250" s="137" t="n">
        <x:v>53.248294830322266</x:v>
      </x:c>
      <x:c r="I250" s="137" t="n">
        <x:v>115.91083610619579</x:v>
      </x:c>
      <x:c r="J250" s="137" t="n">
        <x:v>571.436392164796</x:v>
      </x:c>
      <x:c r="K250" s="136" t="str">
        <x:v>map-12</x:v>
      </x:c>
      <x:c r="L250" s="136" t="str">
        <x:v>Antietam | Contention | Waterways||Spawn | CSA CQ6_Spawnpoint_CSA_Infantry_2 [map-12/004]</x:v>
      </x:c>
      <x:c r="M250" s="35"/>
      <x:c r="N250" s="35"/>
      <x:c r="O250" s="35"/>
      <x:c r="P250" s="35"/>
      <x:c r="Q250" s="35"/>
      <x:c r="R250" s="35"/>
      <x:c r="S250" s="35"/>
      <x:c r="T250" s="35"/>
      <x:c r="U250" s="35"/>
      <x:c r="V250" s="35"/>
      <x:c r="W250" s="35"/>
      <x:c r="X250" s="35"/>
      <x:c r="Y250" s="35"/>
      <x:c r="Z250" s="35"/>
      <x:c r="AA250" s="35"/>
    </x:row>
    <x:row r="251">
      <x:c r="A251" s="136" t="str">
        <x:v>Antietam | Contention | Waterways</x:v>
      </x:c>
      <x:c r="B251" s="136" t="str">
        <x:v>Spawn | USA CQ6_Spawnpoint_USA_Infantry_2 [map-12/005]</x:v>
      </x:c>
      <x:c r="C251" s="136" t="str">
        <x:v>spawn</x:v>
      </x:c>
      <x:c r="D251" s="136" t="str">
        <x:v>USA</x:v>
      </x:c>
      <x:c r="E251" s="136" t="str">
        <x:v>CQ6_Spawnpoint_USA_Infantry_2</x:v>
      </x:c>
      <x:c r="F251" s="137" t="n">
        <x:v>2999.812744140625</x:v>
      </x:c>
      <x:c r="G251" s="137" t="n">
        <x:v>853.077392578125</x:v>
      </x:c>
      <x:c r="H251" s="137" t="n">
        <x:v>22.25647735595703</x:v>
      </x:c>
      <x:c r="I251" s="137" t="n">
        <x:v>1781.2964854453026</x:v>
      </x:c>
      <x:c r="J251" s="137" t="n">
        <x:v>1344.3299952336124</x:v>
      </x:c>
      <x:c r="K251" s="136" t="str">
        <x:v>map-12</x:v>
      </x:c>
      <x:c r="L251" s="136" t="str">
        <x:v>Antietam | Contention | Waterways||Spawn | USA CQ6_Spawnpoint_USA_Infantry_2 [map-12/005]</x:v>
      </x:c>
      <x:c r="M251" s="35"/>
      <x:c r="N251" s="35"/>
      <x:c r="O251" s="35"/>
      <x:c r="P251" s="35"/>
      <x:c r="Q251" s="35"/>
      <x:c r="R251" s="35"/>
      <x:c r="S251" s="35"/>
      <x:c r="T251" s="35"/>
      <x:c r="U251" s="35"/>
      <x:c r="V251" s="35"/>
      <x:c r="W251" s="35"/>
      <x:c r="X251" s="35"/>
      <x:c r="Y251" s="35"/>
      <x:c r="Z251" s="35"/>
      <x:c r="AA251" s="35"/>
    </x:row>
    <x:row r="252">
      <x:c r="A252" s="136" t="str">
        <x:v>Antietam | Contention | Waterways</x:v>
      </x:c>
      <x:c r="B252" s="136" t="str">
        <x:v>Artillery | CSA CQ6_Spawnpoint_CSA_Artillery_Staging [map-12/006]</x:v>
      </x:c>
      <x:c r="C252" s="136" t="str">
        <x:v>battery</x:v>
      </x:c>
      <x:c r="D252" s="136" t="str">
        <x:v>CSA</x:v>
      </x:c>
      <x:c r="E252" s="136" t="str">
        <x:v>CQ6_Spawnpoint_CSA_Artillery_Staging</x:v>
      </x:c>
      <x:c r="F252" s="137" t="n">
        <x:v>2744.745361328125</x:v>
      </x:c>
      <x:c r="G252" s="137" t="n">
        <x:v>1889.6507568359375</x:v>
      </x:c>
      <x:c r="H252" s="137" t="n">
        <x:v>50.64060592651367</x:v>
      </x:c>
      <x:c r="I252" s="137" t="n">
        <x:v>104.57744863847269</x:v>
      </x:c>
      <x:c r="J252" s="137" t="n">
        <x:v>617.8945092586704</x:v>
      </x:c>
      <x:c r="K252" s="136" t="str">
        <x:v>map-12</x:v>
      </x:c>
      <x:c r="L252" s="136" t="str">
        <x:v>Antietam | Contention | Waterways||Artillery | CSA CQ6_Spawnpoint_CSA_Artillery_Staging [map-12/006]</x:v>
      </x:c>
      <x:c r="M252" s="35"/>
      <x:c r="N252" s="35"/>
      <x:c r="O252" s="35"/>
      <x:c r="P252" s="35"/>
      <x:c r="Q252" s="35"/>
      <x:c r="R252" s="35"/>
      <x:c r="S252" s="35"/>
      <x:c r="T252" s="35"/>
      <x:c r="U252" s="35"/>
      <x:c r="V252" s="35"/>
      <x:c r="W252" s="35"/>
      <x:c r="X252" s="35"/>
      <x:c r="Y252" s="35"/>
      <x:c r="Z252" s="35"/>
      <x:c r="AA252" s="35"/>
    </x:row>
    <x:row r="253">
      <x:c r="A253" s="136" t="str">
        <x:v>Antietam | Contention | Waterways</x:v>
      </x:c>
      <x:c r="B253" s="136" t="str">
        <x:v>Artillery | CSA CQ6_Spawnpoint_CSA_Artillery_Forward [map-12/007]</x:v>
      </x:c>
      <x:c r="C253" s="136" t="str">
        <x:v>battery</x:v>
      </x:c>
      <x:c r="D253" s="136" t="str">
        <x:v>CSA</x:v>
      </x:c>
      <x:c r="E253" s="136" t="str">
        <x:v>CQ6_Spawnpoint_CSA_Artillery_Forward</x:v>
      </x:c>
      <x:c r="F253" s="137" t="n">
        <x:v>2917.09375</x:v>
      </x:c>
      <x:c r="G253" s="137" t="n">
        <x:v>1742.6812744140625</x:v>
      </x:c>
      <x:c r="H253" s="137" t="n">
        <x:v>34.58585739135742</x:v>
      </x:c>
      <x:c r="I253" s="137" t="n">
        <x:v>483.5930882396589</x:v>
      </x:c>
      <x:c r="J253" s="137" t="n">
        <x:v>535.371214165455</x:v>
      </x:c>
      <x:c r="K253" s="136" t="str">
        <x:v>map-12</x:v>
      </x:c>
      <x:c r="L253" s="136" t="str">
        <x:v>Antietam | Contention | Waterways||Artillery | CSA CQ6_Spawnpoint_CSA_Artillery_Forward [map-12/007]</x:v>
      </x:c>
      <x:c r="M253" s="35"/>
      <x:c r="N253" s="35"/>
      <x:c r="O253" s="35"/>
      <x:c r="P253" s="35"/>
      <x:c r="Q253" s="35"/>
      <x:c r="R253" s="35"/>
      <x:c r="S253" s="35"/>
      <x:c r="T253" s="35"/>
      <x:c r="U253" s="35"/>
      <x:c r="V253" s="35"/>
      <x:c r="W253" s="35"/>
      <x:c r="X253" s="35"/>
      <x:c r="Y253" s="35"/>
      <x:c r="Z253" s="35"/>
      <x:c r="AA253" s="35"/>
    </x:row>
    <x:row r="254">
      <x:c r="A254" s="136" t="str">
        <x:v>Antietam | Contention | Waterways</x:v>
      </x:c>
      <x:c r="B254" s="136" t="str">
        <x:v>Artillery | USA CQ6_Spawnpoint_USA_Artillery_Staging [map-12/008]</x:v>
      </x:c>
      <x:c r="C254" s="136" t="str">
        <x:v>battery</x:v>
      </x:c>
      <x:c r="D254" s="136" t="str">
        <x:v>USA</x:v>
      </x:c>
      <x:c r="E254" s="136" t="str">
        <x:v>CQ6_Spawnpoint_USA_Artillery_Staging</x:v>
      </x:c>
      <x:c r="F254" s="137" t="n">
        <x:v>2962.23828125</x:v>
      </x:c>
      <x:c r="G254" s="137" t="n">
        <x:v>786.0362548828125</x:v>
      </x:c>
      <x:c r="H254" s="137" t="n">
        <x:v>19.96544647216797</x:v>
      </x:c>
      <x:c r="I254" s="137" t="n">
        <x:v>1833.6435132336571</x:v>
      </x:c>
      <x:c r="J254" s="137" t="n">
        <x:v>1464.9725877953442</x:v>
      </x:c>
      <x:c r="K254" s="136" t="str">
        <x:v>map-12</x:v>
      </x:c>
      <x:c r="L254" s="136" t="str">
        <x:v>Antietam | Contention | Waterways||Artillery | USA CQ6_Spawnpoint_USA_Artillery_Staging [map-12/008]</x:v>
      </x:c>
      <x:c r="M254" s="35"/>
      <x:c r="N254" s="35"/>
      <x:c r="O254" s="35"/>
      <x:c r="P254" s="35"/>
      <x:c r="Q254" s="35"/>
      <x:c r="R254" s="35"/>
      <x:c r="S254" s="35"/>
      <x:c r="T254" s="35"/>
      <x:c r="U254" s="35"/>
      <x:c r="V254" s="35"/>
      <x:c r="W254" s="35"/>
      <x:c r="X254" s="35"/>
      <x:c r="Y254" s="35"/>
      <x:c r="Z254" s="35"/>
      <x:c r="AA254" s="35"/>
    </x:row>
    <x:row r="255">
      <x:c r="A255" s="136" t="str">
        <x:v>Antietam | Contention | Waterways</x:v>
      </x:c>
      <x:c r="B255" s="136" t="str">
        <x:v>Spawn | CSA CQ6_Spawnpoint_CSA_Infantry_1 [map-12/009]</x:v>
      </x:c>
      <x:c r="C255" s="136" t="str">
        <x:v>spawn</x:v>
      </x:c>
      <x:c r="D255" s="136" t="str">
        <x:v>CSA</x:v>
      </x:c>
      <x:c r="E255" s="136" t="str">
        <x:v>CQ6_Spawnpoint_CSA_Infantry_1</x:v>
      </x:c>
      <x:c r="F255" s="137" t="n">
        <x:v>2764.2333984375</x:v>
      </x:c>
      <x:c r="G255" s="137" t="n">
        <x:v>1880.502197265625</x:v>
      </x:c>
      <x:c r="H255" s="137" t="n">
        <x:v>50.30002975463867</x:v>
      </x:c>
      <x:c r="I255" s="137" t="n">
        <x:v>137.25814789006756</x:v>
      </x:c>
      <x:c r="J255" s="137" t="n">
        <x:v>600.8244738155556</x:v>
      </x:c>
      <x:c r="K255" s="136" t="str">
        <x:v>map-12</x:v>
      </x:c>
      <x:c r="L255" s="136" t="str">
        <x:v>Antietam | Contention | Waterways||Spawn | CSA CQ6_Spawnpoint_CSA_Infantry_1 [map-12/009]</x:v>
      </x:c>
      <x:c r="M255" s="35"/>
      <x:c r="N255" s="35"/>
      <x:c r="O255" s="35"/>
      <x:c r="P255" s="35"/>
      <x:c r="Q255" s="35"/>
      <x:c r="R255" s="35"/>
      <x:c r="S255" s="35"/>
      <x:c r="T255" s="35"/>
      <x:c r="U255" s="35"/>
      <x:c r="V255" s="35"/>
      <x:c r="W255" s="35"/>
      <x:c r="X255" s="35"/>
      <x:c r="Y255" s="35"/>
      <x:c r="Z255" s="35"/>
      <x:c r="AA255" s="35"/>
    </x:row>
    <x:row r="256">
      <x:c r="A256" s="136" t="str">
        <x:v>Antietam | Contention | Waterways</x:v>
      </x:c>
      <x:c r="B256" s="136" t="str">
        <x:v>Objective | Victory_Conquest_6 [map-12/010]</x:v>
      </x:c>
      <x:c r="C256" s="136" t="str">
        <x:v>objective</x:v>
      </x:c>
      <x:c r="D256" s="136" t="str"/>
      <x:c r="E256" s="136" t="str">
        <x:v>Victory_Conquest_6</x:v>
      </x:c>
      <x:c r="F256" s="137" t="n">
        <x:v>2769.986328125</x:v>
      </x:c>
      <x:c r="G256" s="137" t="n">
        <x:v>1228.8297119140625</x:v>
      </x:c>
      <x:c r="H256" s="137" t="n">
        <x:v>20.404699325561523</x:v>
      </x:c>
      <x:c r="I256" s="137" t="n">
        <x:v>1030.9848202060068</x:v>
      </x:c>
      <x:c r="J256" s="137" t="n">
        <x:v>1268.1313128457446</x:v>
      </x:c>
      <x:c r="K256" s="136" t="str">
        <x:v>map-12</x:v>
      </x:c>
      <x:c r="L256" s="136" t="str">
        <x:v>Antietam | Contention | Waterways||Objective | Victory_Conquest_6 [map-12/010]</x:v>
      </x:c>
      <x:c r="M256" s="35"/>
      <x:c r="N256" s="35"/>
      <x:c r="O256" s="35"/>
      <x:c r="P256" s="35"/>
      <x:c r="Q256" s="35"/>
      <x:c r="R256" s="35"/>
      <x:c r="S256" s="35"/>
      <x:c r="T256" s="35"/>
      <x:c r="U256" s="35"/>
      <x:c r="V256" s="35"/>
      <x:c r="W256" s="35"/>
      <x:c r="X256" s="35"/>
      <x:c r="Y256" s="35"/>
      <x:c r="Z256" s="35"/>
      <x:c r="AA256" s="35"/>
    </x:row>
    <x:row r="257">
      <x:c r="A257" s="136" t="str">
        <x:v>Antietam | Contention | Waterways</x:v>
      </x:c>
      <x:c r="B257" s="136" t="str">
        <x:v>Spawn | CSA CQ6_Spawnpoint_CSA_Infantry_0 [map-12/011]</x:v>
      </x:c>
      <x:c r="C257" s="136" t="str">
        <x:v>spawn</x:v>
      </x:c>
      <x:c r="D257" s="136" t="str">
        <x:v>CSA</x:v>
      </x:c>
      <x:c r="E257" s="136" t="str">
        <x:v>CQ6_Spawnpoint_CSA_Infantry_0</x:v>
      </x:c>
      <x:c r="F257" s="137" t="n">
        <x:v>2764.923583984375</x:v>
      </x:c>
      <x:c r="G257" s="137" t="n">
        <x:v>1858.61962890625</x:v>
      </x:c>
      <x:c r="H257" s="137" t="n">
        <x:v>47.259639739990234</x:v>
      </x:c>
      <x:c r="I257" s="137" t="n">
        <x:v>167.78429476402263</x:v>
      </x:c>
      <x:c r="J257" s="137" t="n">
        <x:v>622.5549678667567</x:v>
      </x:c>
      <x:c r="K257" s="136" t="str">
        <x:v>map-12</x:v>
      </x:c>
      <x:c r="L257" s="136" t="str">
        <x:v>Antietam | Contention | Waterways||Spawn | CSA CQ6_Spawnpoint_CSA_Infantry_0 [map-12/011]</x:v>
      </x:c>
      <x:c r="M257" s="35"/>
      <x:c r="N257" s="35"/>
      <x:c r="O257" s="35"/>
      <x:c r="P257" s="35"/>
      <x:c r="Q257" s="35"/>
      <x:c r="R257" s="35"/>
      <x:c r="S257" s="35"/>
      <x:c r="T257" s="35"/>
      <x:c r="U257" s="35"/>
      <x:c r="V257" s="35"/>
      <x:c r="W257" s="35"/>
      <x:c r="X257" s="35"/>
      <x:c r="Y257" s="35"/>
      <x:c r="Z257" s="35"/>
      <x:c r="AA257" s="35"/>
    </x:row>
    <x:row r="258">
      <x:c r="A258" s="136" t="str">
        <x:v>Antietam | Contention | Waterways</x:v>
      </x:c>
      <x:c r="B258" s="136" t="str">
        <x:v>Artillery | USA CQ6_Spawnpoint_USA_Artillery_Forward [map-12/012]</x:v>
      </x:c>
      <x:c r="C258" s="136" t="str">
        <x:v>battery</x:v>
      </x:c>
      <x:c r="D258" s="136" t="str">
        <x:v>USA</x:v>
      </x:c>
      <x:c r="E258" s="136" t="str">
        <x:v>CQ6_Spawnpoint_USA_Artillery_Forward</x:v>
      </x:c>
      <x:c r="F258" s="137" t="n">
        <x:v>3079.27783203125</x:v>
      </x:c>
      <x:c r="G258" s="137" t="n">
        <x:v>853.061767578125</x:v>
      </x:c>
      <x:c r="H258" s="137" t="n">
        <x:v>26.14513397216797</x:v>
      </x:c>
      <x:c r="I258" s="137" t="n">
        <x:v>1863.7586826214163</x:v>
      </x:c>
      <x:c r="J258" s="137" t="n">
        <x:v>1236.09273762385</x:v>
      </x:c>
      <x:c r="K258" s="136" t="str">
        <x:v>map-12</x:v>
      </x:c>
      <x:c r="L258" s="136" t="str">
        <x:v>Antietam | Contention | Waterways||Artillery | USA CQ6_Spawnpoint_USA_Artillery_Forward [map-12/012]</x:v>
      </x:c>
      <x:c r="M258" s="35"/>
      <x:c r="N258" s="35"/>
      <x:c r="O258" s="35"/>
      <x:c r="P258" s="35"/>
      <x:c r="Q258" s="35"/>
      <x:c r="R258" s="35"/>
      <x:c r="S258" s="35"/>
      <x:c r="T258" s="35"/>
      <x:c r="U258" s="35"/>
      <x:c r="V258" s="35"/>
      <x:c r="W258" s="35"/>
      <x:c r="X258" s="35"/>
      <x:c r="Y258" s="35"/>
      <x:c r="Z258" s="35"/>
      <x:c r="AA258" s="35"/>
    </x:row>
    <x:row r="259">
      <x:c r="A259" s="136" t="str">
        <x:v>Antietam | Contention | Waterways</x:v>
      </x:c>
      <x:c r="B259" s="136" t="str">
        <x:v>Gun | 12-pounder Napoleon (USA) · Entity-1748 [map-12/013]</x:v>
      </x:c>
      <x:c r="C259" s="136" t="str">
        <x:v>gun_spawn</x:v>
      </x:c>
      <x:c r="D259" s="136" t="str"/>
      <x:c r="E259" s="136" t="str">
        <x:v>12-pounder Napoleon (USA) · Entity-1748</x:v>
      </x:c>
      <x:c r="F259" s="137" t="n">
        <x:v>2888.8076171875</x:v>
      </x:c>
      <x:c r="G259" s="137" t="n">
        <x:v>1712.2392578125</x:v>
      </x:c>
      <x:c r="H259" s="137" t="n">
        <x:v>32.4732666015625</x:v>
      </x:c>
      <x:c r="I259" s="137" t="n">
        <x:v>495.7181438111601</x:v>
      </x:c>
      <x:c r="J259" s="137" t="n">
        <x:v>605.4432102093276</x:v>
      </x:c>
      <x:c r="K259" s="136" t="str">
        <x:v>map-12</x:v>
      </x:c>
      <x:c r="L259" s="136" t="str">
        <x:v>Antietam | Contention | Waterways||Gun | 12-pounder Napoleon (USA) · Entity-1748 [map-12/013]</x:v>
      </x:c>
      <x:c r="M259" s="35"/>
      <x:c r="N259" s="35"/>
      <x:c r="O259" s="35"/>
      <x:c r="P259" s="35"/>
      <x:c r="Q259" s="35"/>
      <x:c r="R259" s="35"/>
      <x:c r="S259" s="35"/>
      <x:c r="T259" s="35"/>
      <x:c r="U259" s="35"/>
      <x:c r="V259" s="35"/>
      <x:c r="W259" s="35"/>
      <x:c r="X259" s="35"/>
      <x:c r="Y259" s="35"/>
      <x:c r="Z259" s="35"/>
      <x:c r="AA259" s="35"/>
    </x:row>
    <x:row r="260">
      <x:c r="A260" s="136" t="str">
        <x:v>Antietam | Contention | Waterways</x:v>
      </x:c>
      <x:c r="B260" s="136" t="str">
        <x:v>Gun | 12-pounder Napoleon (USA) · Entity-1735 [map-12/014]</x:v>
      </x:c>
      <x:c r="C260" s="136" t="str">
        <x:v>gun_spawn</x:v>
      </x:c>
      <x:c r="D260" s="136" t="str"/>
      <x:c r="E260" s="136" t="str">
        <x:v>12-pounder Napoleon (USA) · Entity-1735</x:v>
      </x:c>
      <x:c r="F260" s="137" t="n">
        <x:v>3086.1806640625</x:v>
      </x:c>
      <x:c r="G260" s="137" t="n">
        <x:v>894.0855712890625</x:v>
      </x:c>
      <x:c r="H260" s="137" t="n">
        <x:v>25.487594604492188</x:v>
      </x:c>
      <x:c r="I260" s="137" t="n">
        <x:v>1815.0342373115236</x:v>
      </x:c>
      <x:c r="J260" s="137" t="n">
        <x:v>1184.1878023251502</x:v>
      </x:c>
      <x:c r="K260" s="136" t="str">
        <x:v>map-12</x:v>
      </x:c>
      <x:c r="L260" s="136" t="str">
        <x:v>Antietam | Contention | Waterways||Gun | 12-pounder Napoleon (USA) · Entity-1735 [map-12/014]</x:v>
      </x:c>
      <x:c r="M260" s="35"/>
      <x:c r="N260" s="35"/>
      <x:c r="O260" s="35"/>
      <x:c r="P260" s="35"/>
      <x:c r="Q260" s="35"/>
      <x:c r="R260" s="35"/>
      <x:c r="S260" s="35"/>
      <x:c r="T260" s="35"/>
      <x:c r="U260" s="35"/>
      <x:c r="V260" s="35"/>
      <x:c r="W260" s="35"/>
      <x:c r="X260" s="35"/>
      <x:c r="Y260" s="35"/>
      <x:c r="Z260" s="35"/>
      <x:c r="AA260" s="35"/>
    </x:row>
    <x:row r="261">
      <x:c r="A261" s="136" t="str">
        <x:v>Antietam | Contention | Waterways</x:v>
      </x:c>
      <x:c r="B261" s="136" t="str">
        <x:v>Gun | 3-inch Ordnance · Entity-1732 [map-12/015]</x:v>
      </x:c>
      <x:c r="C261" s="136" t="str">
        <x:v>gun_spawn</x:v>
      </x:c>
      <x:c r="D261" s="136" t="str"/>
      <x:c r="E261" s="136" t="str">
        <x:v>3-inch Ordnance · Entity-1732</x:v>
      </x:c>
      <x:c r="F261" s="137" t="n">
        <x:v>3065.66796875</x:v>
      </x:c>
      <x:c r="G261" s="137" t="n">
        <x:v>896.4903564453125</x:v>
      </x:c>
      <x:c r="H261" s="137" t="n">
        <x:v>24.03726577758789</x:v>
      </x:c>
      <x:c r="I261" s="137" t="n">
        <x:v>1790.4773956679883</x:v>
      </x:c>
      <x:c r="J261" s="137" t="n">
        <x:v>1209.6403723357391</x:v>
      </x:c>
      <x:c r="K261" s="136" t="str">
        <x:v>map-12</x:v>
      </x:c>
      <x:c r="L261" s="136" t="str">
        <x:v>Antietam | Contention | Waterways||Gun | 3-inch Ordnance · Entity-1732 [map-12/015]</x:v>
      </x:c>
      <x:c r="M261" s="35"/>
      <x:c r="N261" s="35"/>
      <x:c r="O261" s="35"/>
      <x:c r="P261" s="35"/>
      <x:c r="Q261" s="35"/>
      <x:c r="R261" s="35"/>
      <x:c r="S261" s="35"/>
      <x:c r="T261" s="35"/>
      <x:c r="U261" s="35"/>
      <x:c r="V261" s="35"/>
      <x:c r="W261" s="35"/>
      <x:c r="X261" s="35"/>
      <x:c r="Y261" s="35"/>
      <x:c r="Z261" s="35"/>
      <x:c r="AA261" s="35"/>
    </x:row>
    <x:row r="262">
      <x:c r="A262" s="136" t="str">
        <x:v>Antietam | Contention | Waterways</x:v>
      </x:c>
      <x:c r="B262" s="136" t="str">
        <x:v>Gun | 3-inch Ordnance · Entity-1746 [map-12/016]</x:v>
      </x:c>
      <x:c r="C262" s="136" t="str">
        <x:v>gun_spawn</x:v>
      </x:c>
      <x:c r="D262" s="136" t="str"/>
      <x:c r="E262" s="136" t="str">
        <x:v>3-inch Ordnance · Entity-1746</x:v>
      </x:c>
      <x:c r="F262" s="137" t="n">
        <x:v>2904.281494140625</x:v>
      </x:c>
      <x:c r="G262" s="137" t="n">
        <x:v>1703.69140625</x:v>
      </x:c>
      <x:c r="H262" s="137" t="n">
        <x:v>31.68741798400879</x:v>
      </x:c>
      <x:c r="I262" s="137" t="n">
        <x:v>523.4160292936222</x:v>
      </x:c>
      <x:c r="J262" s="137" t="n">
        <x:v>593.2192281602757</x:v>
      </x:c>
      <x:c r="K262" s="136" t="str">
        <x:v>map-12</x:v>
      </x:c>
      <x:c r="L262" s="136" t="str">
        <x:v>Antietam | Contention | Waterways||Gun | 3-inch Ordnance · Entity-1746 [map-12/016]</x:v>
      </x:c>
      <x:c r="M262" s="35"/>
      <x:c r="N262" s="35"/>
      <x:c r="O262" s="35"/>
      <x:c r="P262" s="35"/>
      <x:c r="Q262" s="35"/>
      <x:c r="R262" s="35"/>
      <x:c r="S262" s="35"/>
      <x:c r="T262" s="35"/>
      <x:c r="U262" s="35"/>
      <x:c r="V262" s="35"/>
      <x:c r="W262" s="35"/>
      <x:c r="X262" s="35"/>
      <x:c r="Y262" s="35"/>
      <x:c r="Z262" s="35"/>
      <x:c r="AA262" s="35"/>
    </x:row>
    <x:row r="263">
      <x:c r="A263" s="136" t="str">
        <x:v>Antietam | Contention | Waterways</x:v>
      </x:c>
      <x:c r="B263" s="136" t="str">
        <x:v>Gun | 12-pounder Napoleon (CSA) · Entity-1736 [map-12/017]</x:v>
      </x:c>
      <x:c r="C263" s="136" t="str">
        <x:v>gun_spawn</x:v>
      </x:c>
      <x:c r="D263" s="136" t="str"/>
      <x:c r="E263" s="136" t="str">
        <x:v>12-pounder Napoleon (CSA) · Entity-1736</x:v>
      </x:c>
      <x:c r="F263" s="137" t="n">
        <x:v>3094.5595703125</x:v>
      </x:c>
      <x:c r="G263" s="137" t="n">
        <x:v>893.1307373046875</x:v>
      </x:c>
      <x:c r="H263" s="137" t="n">
        <x:v>25.95060157775879</x:v>
      </x:c>
      <x:c r="I263" s="137" t="n">
        <x:v>1825.0276666164432</x:v>
      </x:c>
      <x:c r="J263" s="137" t="n">
        <x:v>1173.762637216707</x:v>
      </x:c>
      <x:c r="K263" s="136" t="str">
        <x:v>map-12</x:v>
      </x:c>
      <x:c r="L263" s="136" t="str">
        <x:v>Antietam | Contention | Waterways||Gun | 12-pounder Napoleon (CSA) · Entity-1736 [map-12/017]</x:v>
      </x:c>
      <x:c r="M263" s="35"/>
      <x:c r="N263" s="35"/>
      <x:c r="O263" s="35"/>
      <x:c r="P263" s="35"/>
      <x:c r="Q263" s="35"/>
      <x:c r="R263" s="35"/>
      <x:c r="S263" s="35"/>
      <x:c r="T263" s="35"/>
      <x:c r="U263" s="35"/>
      <x:c r="V263" s="35"/>
      <x:c r="W263" s="35"/>
      <x:c r="X263" s="35"/>
      <x:c r="Y263" s="35"/>
      <x:c r="Z263" s="35"/>
      <x:c r="AA263" s="35"/>
    </x:row>
    <x:row r="264">
      <x:c r="A264" s="136" t="str">
        <x:v>Antietam | Contention | Waterways</x:v>
      </x:c>
      <x:c r="B264" s="136" t="str">
        <x:v>Gun | 3-inch Ordnance · Entity-1734 [map-12/018]</x:v>
      </x:c>
      <x:c r="C264" s="136" t="str">
        <x:v>gun_spawn</x:v>
      </x:c>
      <x:c r="D264" s="136" t="str"/>
      <x:c r="E264" s="136" t="str">
        <x:v>3-inch Ordnance · Entity-1734</x:v>
      </x:c>
      <x:c r="F264" s="137" t="n">
        <x:v>3079.3701171875</x:v>
      </x:c>
      <x:c r="G264" s="137" t="n">
        <x:v>894.3703002929688</x:v>
      </x:c>
      <x:c r="H264" s="137" t="n">
        <x:v>25.062538146972656</x:v>
      </x:c>
      <x:c r="I264" s="137" t="n">
        <x:v>1807.5807680677108</x:v>
      </x:c>
      <x:c r="J264" s="137" t="n">
        <x:v>1193.1706681523347</x:v>
      </x:c>
      <x:c r="K264" s="136" t="str">
        <x:v>map-12</x:v>
      </x:c>
      <x:c r="L264" s="136" t="str">
        <x:v>Antietam | Contention | Waterways||Gun | 3-inch Ordnance · Entity-1734 [map-12/018]</x:v>
      </x:c>
      <x:c r="M264" s="35"/>
      <x:c r="N264" s="35"/>
      <x:c r="O264" s="35"/>
      <x:c r="P264" s="35"/>
      <x:c r="Q264" s="35"/>
      <x:c r="R264" s="35"/>
      <x:c r="S264" s="35"/>
      <x:c r="T264" s="35"/>
      <x:c r="U264" s="35"/>
      <x:c r="V264" s="35"/>
      <x:c r="W264" s="35"/>
      <x:c r="X264" s="35"/>
      <x:c r="Y264" s="35"/>
      <x:c r="Z264" s="35"/>
      <x:c r="AA264" s="35"/>
    </x:row>
    <x:row r="265">
      <x:c r="A265" s="136" t="str">
        <x:v>Antietam | Contention | Waterways</x:v>
      </x:c>
      <x:c r="B265" s="136" t="str">
        <x:v>Gun | 3-inch Ordnance · Entity-1745 [map-12/019]</x:v>
      </x:c>
      <x:c r="C265" s="136" t="str">
        <x:v>gun_spawn</x:v>
      </x:c>
      <x:c r="D265" s="136" t="str"/>
      <x:c r="E265" s="136" t="str">
        <x:v>3-inch Ordnance · Entity-1745</x:v>
      </x:c>
      <x:c r="F265" s="137" t="n">
        <x:v>2910.719482421875</x:v>
      </x:c>
      <x:c r="G265" s="137" t="n">
        <x:v>1700.042236328125</x:v>
      </x:c>
      <x:c r="H265" s="137" t="n">
        <x:v>31.442230224609375</x:v>
      </x:c>
      <x:c r="I265" s="137" t="n">
        <x:v>535.0662880950006</x:v>
      </x:c>
      <x:c r="J265" s="137" t="n">
        <x:v>588.2295090134248</x:v>
      </x:c>
      <x:c r="K265" s="136" t="str">
        <x:v>map-12</x:v>
      </x:c>
      <x:c r="L265" s="136" t="str">
        <x:v>Antietam | Contention | Waterways||Gun | 3-inch Ordnance · Entity-1745 [map-12/019]</x:v>
      </x:c>
      <x:c r="M265" s="35"/>
      <x:c r="N265" s="35"/>
      <x:c r="O265" s="35"/>
      <x:c r="P265" s="35"/>
      <x:c r="Q265" s="35"/>
      <x:c r="R265" s="35"/>
      <x:c r="S265" s="35"/>
      <x:c r="T265" s="35"/>
      <x:c r="U265" s="35"/>
      <x:c r="V265" s="35"/>
      <x:c r="W265" s="35"/>
      <x:c r="X265" s="35"/>
      <x:c r="Y265" s="35"/>
      <x:c r="Z265" s="35"/>
      <x:c r="AA265" s="35"/>
    </x:row>
    <x:row r="266">
      <x:c r="A266" s="136" t="str">
        <x:v>Antietam | Contention | Waterways</x:v>
      </x:c>
      <x:c r="B266" s="136" t="str">
        <x:v>Gun | 12-pounder Napoleon (USA) · Entity-1749 [map-12/020]</x:v>
      </x:c>
      <x:c r="C266" s="136" t="str">
        <x:v>gun_spawn</x:v>
      </x:c>
      <x:c r="D266" s="136" t="str"/>
      <x:c r="E266" s="136" t="str">
        <x:v>12-pounder Napoleon (USA) · Entity-1749</x:v>
      </x:c>
      <x:c r="F266" s="137" t="n">
        <x:v>2880.50732421875</x:v>
      </x:c>
      <x:c r="G266" s="137" t="n">
        <x:v>1717.190185546875</x:v>
      </x:c>
      <x:c r="H266" s="137" t="n">
        <x:v>32.96956253051758</x:v>
      </x:c>
      <x:c r="I266" s="137" t="n">
        <x:v>480.3624859196305</x:v>
      </x:c>
      <x:c r="J266" s="137" t="n">
        <x:v>611.6212603002232</x:v>
      </x:c>
      <x:c r="K266" s="136" t="str">
        <x:v>map-12</x:v>
      </x:c>
      <x:c r="L266" s="136" t="str">
        <x:v>Antietam | Contention | Waterways||Gun | 12-pounder Napoleon (USA) · Entity-1749 [map-12/020]</x:v>
      </x:c>
      <x:c r="M266" s="35"/>
      <x:c r="N266" s="35"/>
      <x:c r="O266" s="35"/>
      <x:c r="P266" s="35"/>
      <x:c r="Q266" s="35"/>
      <x:c r="R266" s="35"/>
      <x:c r="S266" s="35"/>
      <x:c r="T266" s="35"/>
      <x:c r="U266" s="35"/>
      <x:c r="V266" s="35"/>
      <x:c r="W266" s="35"/>
      <x:c r="X266" s="35"/>
      <x:c r="Y266" s="35"/>
      <x:c r="Z266" s="35"/>
      <x:c r="AA266" s="35"/>
    </x:row>
    <x:row r="267">
      <x:c r="A267" s="136" t="str">
        <x:v>Antietam | Contention | Waterways</x:v>
      </x:c>
      <x:c r="B267" s="136" t="str">
        <x:v>Gun | 3-inch Ordnance · Entity-1733 [map-12/021]</x:v>
      </x:c>
      <x:c r="C267" s="136" t="str">
        <x:v>gun_spawn</x:v>
      </x:c>
      <x:c r="D267" s="136" t="str"/>
      <x:c r="E267" s="136" t="str">
        <x:v>3-inch Ordnance · Entity-1733</x:v>
      </x:c>
      <x:c r="F267" s="137" t="n">
        <x:v>3071.750732421875</x:v>
      </x:c>
      <x:c r="G267" s="137" t="n">
        <x:v>895.4019775390625</x:v>
      </x:c>
      <x:c r="H267" s="137" t="n">
        <x:v>24.520322799682617</x:v>
      </x:c>
      <x:c r="I267" s="137" t="n">
        <x:v>1798.2706211596098</x:v>
      </x:c>
      <x:c r="J267" s="137" t="n">
        <x:v>1202.4815438230646</x:v>
      </x:c>
      <x:c r="K267" s="136" t="str">
        <x:v>map-12</x:v>
      </x:c>
      <x:c r="L267" s="136" t="str">
        <x:v>Antietam | Contention | Waterways||Gun | 3-inch Ordnance · Entity-1733 [map-12/021]</x:v>
      </x:c>
      <x:c r="M267" s="35"/>
      <x:c r="N267" s="35"/>
      <x:c r="O267" s="35"/>
      <x:c r="P267" s="35"/>
      <x:c r="Q267" s="35"/>
      <x:c r="R267" s="35"/>
      <x:c r="S267" s="35"/>
      <x:c r="T267" s="35"/>
      <x:c r="U267" s="35"/>
      <x:c r="V267" s="35"/>
      <x:c r="W267" s="35"/>
      <x:c r="X267" s="35"/>
      <x:c r="Y267" s="35"/>
      <x:c r="Z267" s="35"/>
      <x:c r="AA267" s="35"/>
    </x:row>
    <x:row r="268">
      <x:c r="A268" s="136" t="str">
        <x:v>Antietam | Contention | Waterways</x:v>
      </x:c>
      <x:c r="B268" s="136" t="str">
        <x:v>Gun | 3-inch Ordnance · Entity-1744 [map-12/022]</x:v>
      </x:c>
      <x:c r="C268" s="136" t="str">
        <x:v>gun_spawn</x:v>
      </x:c>
      <x:c r="D268" s="136" t="str"/>
      <x:c r="E268" s="136" t="str">
        <x:v>3-inch Ordnance · Entity-1744</x:v>
      </x:c>
      <x:c r="F268" s="137" t="n">
        <x:v>2918.33447265625</x:v>
      </x:c>
      <x:c r="G268" s="137" t="n">
        <x:v>1695.5966796875</x:v>
      </x:c>
      <x:c r="H268" s="137" t="n">
        <x:v>31.262645721435547</x:v>
      </x:c>
      <x:c r="I268" s="137" t="n">
        <x:v>549.0225245904188</x:v>
      </x:c>
      <x:c r="J268" s="137" t="n">
        <x:v>582.461457776747</x:v>
      </x:c>
      <x:c r="K268" s="136" t="str">
        <x:v>map-12</x:v>
      </x:c>
      <x:c r="L268" s="136" t="str">
        <x:v>Antietam | Contention | Waterways||Gun | 3-inch Ordnance · Entity-1744 [map-12/022]</x:v>
      </x:c>
      <x:c r="M268" s="35"/>
      <x:c r="N268" s="35"/>
      <x:c r="O268" s="35"/>
      <x:c r="P268" s="35"/>
      <x:c r="Q268" s="35"/>
      <x:c r="R268" s="35"/>
      <x:c r="S268" s="35"/>
      <x:c r="T268" s="35"/>
      <x:c r="U268" s="35"/>
      <x:c r="V268" s="35"/>
      <x:c r="W268" s="35"/>
      <x:c r="X268" s="35"/>
      <x:c r="Y268" s="35"/>
      <x:c r="Z268" s="35"/>
      <x:c r="AA268" s="35"/>
    </x:row>
    <x:row r="269">
      <x:c r="A269" s="136" t="str">
        <x:v>Antietam | Contention | Waterways</x:v>
      </x:c>
      <x:c r="B269" s="136" t="str">
        <x:v>Gun | 12-pounder Napoleon (USA) · Entity-1747 [map-12/023]</x:v>
      </x:c>
      <x:c r="C269" s="136" t="str">
        <x:v>gun_spawn</x:v>
      </x:c>
      <x:c r="D269" s="136" t="str"/>
      <x:c r="E269" s="136" t="str">
        <x:v>12-pounder Napoleon (USA) · Entity-1747</x:v>
      </x:c>
      <x:c r="F269" s="137" t="n">
        <x:v>2897.130859375</x:v>
      </x:c>
      <x:c r="G269" s="137" t="n">
        <x:v>1707.638916015625</x:v>
      </x:c>
      <x:c r="H269" s="137" t="n">
        <x:v>32.01325988769531</x:v>
      </x:c>
      <x:c r="I269" s="137" t="n">
        <x:v>510.62001524024805</x:v>
      </x:c>
      <x:c r="J269" s="137" t="n">
        <x:v>598.8706838591802</x:v>
      </x:c>
      <x:c r="K269" s="136" t="str">
        <x:v>map-12</x:v>
      </x:c>
      <x:c r="L269" s="136" t="str">
        <x:v>Antietam | Contention | Waterways||Gun | 12-pounder Napoleon (USA) · Entity-1747 [map-12/023]</x:v>
      </x:c>
      <x:c r="M269" s="35"/>
      <x:c r="N269" s="35"/>
      <x:c r="O269" s="35"/>
      <x:c r="P269" s="35"/>
      <x:c r="Q269" s="35"/>
      <x:c r="R269" s="35"/>
      <x:c r="S269" s="35"/>
      <x:c r="T269" s="35"/>
      <x:c r="U269" s="35"/>
      <x:c r="V269" s="35"/>
      <x:c r="W269" s="35"/>
      <x:c r="X269" s="35"/>
      <x:c r="Y269" s="35"/>
      <x:c r="Z269" s="35"/>
      <x:c r="AA269" s="35"/>
    </x:row>
    <x:row r="270">
      <x:c r="A270" s="136" t="str">
        <x:v>Antietam | Contention | Waterways</x:v>
      </x:c>
      <x:c r="B270" s="136" t="str">
        <x:v>Gun | 12-pounder Napoleon (CSA) · Entity-1737 [map-12/024]</x:v>
      </x:c>
      <x:c r="C270" s="136" t="str">
        <x:v>gun_spawn</x:v>
      </x:c>
      <x:c r="D270" s="136" t="str"/>
      <x:c r="E270" s="136" t="str">
        <x:v>12-pounder Napoleon (CSA) · Entity-1737</x:v>
      </x:c>
      <x:c r="F270" s="137" t="n">
        <x:v>3104.068115234375</x:v>
      </x:c>
      <x:c r="G270" s="137" t="n">
        <x:v>892.0291137695312</x:v>
      </x:c>
      <x:c r="H270" s="137" t="n">
        <x:v>26.29365348815918</x:v>
      </x:c>
      <x:c r="I270" s="137" t="n">
        <x:v>1836.3930055158894</x:v>
      </x:c>
      <x:c r="J270" s="137" t="n">
        <x:v>1161.9506680604031</x:v>
      </x:c>
      <x:c r="K270" s="136" t="str">
        <x:v>map-12</x:v>
      </x:c>
      <x:c r="L270" s="136" t="str">
        <x:v>Antietam | Contention | Waterways||Gun | 12-pounder Napoleon (CSA) · Entity-1737 [map-12/024]</x:v>
      </x:c>
      <x:c r="M270" s="35"/>
      <x:c r="N270" s="35"/>
      <x:c r="O270" s="35"/>
      <x:c r="P270" s="35"/>
      <x:c r="Q270" s="35"/>
      <x:c r="R270" s="35"/>
      <x:c r="S270" s="35"/>
      <x:c r="T270" s="35"/>
      <x:c r="U270" s="35"/>
      <x:c r="V270" s="35"/>
      <x:c r="W270" s="35"/>
      <x:c r="X270" s="35"/>
      <x:c r="Y270" s="35"/>
      <x:c r="Z270" s="35"/>
      <x:c r="AA270" s="35"/>
    </x:row>
    <x:row r="271">
      <x:c r="A271" s="136" t="str">
        <x:v>Antietam | Onslaught | Antietam (Onslaught)</x:v>
      </x:c>
      <x:c r="B271" s="136" t="str">
        <x:v>Objective | LTMOnslaught_1_CaptureArea [map-13/001]</x:v>
      </x:c>
      <x:c r="C271" s="136" t="str">
        <x:v>objective</x:v>
      </x:c>
      <x:c r="D271" s="136" t="str"/>
      <x:c r="E271" s="136" t="str">
        <x:v>LTMOnslaught_1_CaptureArea</x:v>
      </x:c>
      <x:c r="F271" s="137" t="n">
        <x:v>898.6187133789062</x:v>
      </x:c>
      <x:c r="G271" s="137" t="n">
        <x:v>2670.600830078125</x:v>
      </x:c>
      <x:c r="H271" s="137" t="n">
        <x:v>60.08612823486328</x:v>
      </x:c>
      <x:c r="I271" s="137" t="n">
        <x:v>126.78059210526315</x:v>
      </x:c>
      <x:c r="J271" s="137" t="n">
        <x:v>175.0492105263158</x:v>
      </x:c>
      <x:c r="K271" s="136" t="str">
        <x:v>map-13</x:v>
      </x:c>
      <x:c r="L271" s="136" t="str">
        <x:v>Antietam | Onslaught | Antietam (Onslaught)||Objective | LTMOnslaught_1_CaptureArea [map-13/001]</x:v>
      </x:c>
      <x:c r="M271" s="35"/>
      <x:c r="N271" s="35"/>
      <x:c r="O271" s="35"/>
      <x:c r="P271" s="35"/>
      <x:c r="Q271" s="35"/>
      <x:c r="R271" s="35"/>
      <x:c r="S271" s="35"/>
      <x:c r="T271" s="35"/>
      <x:c r="U271" s="35"/>
      <x:c r="V271" s="35"/>
      <x:c r="W271" s="35"/>
      <x:c r="X271" s="35"/>
      <x:c r="Y271" s="35"/>
      <x:c r="Z271" s="35"/>
      <x:c r="AA271" s="35"/>
    </x:row>
    <x:row r="272">
      <x:c r="A272" s="136" t="str">
        <x:v>Antietam | Onslaught | Antietam (Onslaught)</x:v>
      </x:c>
      <x:c r="B272" s="136" t="str">
        <x:v>Objective | LTMOnslaught_5_CaptureArea [map-13/002]</x:v>
      </x:c>
      <x:c r="C272" s="136" t="str">
        <x:v>objective</x:v>
      </x:c>
      <x:c r="D272" s="136" t="str"/>
      <x:c r="E272" s="136" t="str">
        <x:v>LTMOnslaught_5_CaptureArea</x:v>
      </x:c>
      <x:c r="F272" s="137" t="n">
        <x:v>1243.3426513671875</x:v>
      </x:c>
      <x:c r="G272" s="137" t="n">
        <x:v>1142.565185546875</x:v>
      </x:c>
      <x:c r="H272" s="137" t="n">
        <x:v>20.439058303833008</x:v>
      </x:c>
      <x:c r="I272" s="137" t="n">
        <x:v>498.3567105263158</x:v>
      </x:c>
      <x:c r="J272" s="137" t="n">
        <x:v>1822.1107894736842</x:v>
      </x:c>
      <x:c r="K272" s="136" t="str">
        <x:v>map-13</x:v>
      </x:c>
      <x:c r="L272" s="136" t="str">
        <x:v>Antietam | Onslaught | Antietam (Onslaught)||Objective | LTMOnslaught_5_CaptureArea [map-13/002]</x:v>
      </x:c>
      <x:c r="M272" s="35"/>
      <x:c r="N272" s="35"/>
      <x:c r="O272" s="35"/>
      <x:c r="P272" s="35"/>
      <x:c r="Q272" s="35"/>
      <x:c r="R272" s="35"/>
      <x:c r="S272" s="35"/>
      <x:c r="T272" s="35"/>
      <x:c r="U272" s="35"/>
      <x:c r="V272" s="35"/>
      <x:c r="W272" s="35"/>
      <x:c r="X272" s="35"/>
      <x:c r="Y272" s="35"/>
      <x:c r="Z272" s="35"/>
      <x:c r="AA272" s="35"/>
    </x:row>
    <x:row r="273">
      <x:c r="A273" s="136" t="str">
        <x:v>Antietam | Onslaught | Antietam (Onslaught)</x:v>
      </x:c>
      <x:c r="B273" s="136" t="str">
        <x:v>Objective | LTMOnslaught_4_CaptureArea [map-13/003]</x:v>
      </x:c>
      <x:c r="C273" s="136" t="str">
        <x:v>objective</x:v>
      </x:c>
      <x:c r="D273" s="136" t="str"/>
      <x:c r="E273" s="136" t="str">
        <x:v>LTMOnslaught_4_CaptureArea</x:v>
      </x:c>
      <x:c r="F273" s="137" t="n">
        <x:v>951.808837890625</x:v>
      </x:c>
      <x:c r="G273" s="137" t="n">
        <x:v>1584.95458984375</x:v>
      </x:c>
      <x:c r="H273" s="137" t="n">
        <x:v>61.19013214111328</x:v>
      </x:c>
      <x:c r="I273" s="137" t="n">
        <x:v>184.11394736842107</x:v>
      </x:c>
      <x:c r="J273" s="137" t="n">
        <x:v>1345.2615789473684</x:v>
      </x:c>
      <x:c r="K273" s="136" t="str">
        <x:v>map-13</x:v>
      </x:c>
      <x:c r="L273" s="136" t="str">
        <x:v>Antietam | Onslaught | Antietam (Onslaught)||Objective | LTMOnslaught_4_CaptureArea [map-13/003]</x:v>
      </x:c>
      <x:c r="M273" s="35"/>
      <x:c r="N273" s="35"/>
      <x:c r="O273" s="35"/>
      <x:c r="P273" s="35"/>
      <x:c r="Q273" s="35"/>
      <x:c r="R273" s="35"/>
      <x:c r="S273" s="35"/>
      <x:c r="T273" s="35"/>
      <x:c r="U273" s="35"/>
      <x:c r="V273" s="35"/>
      <x:c r="W273" s="35"/>
      <x:c r="X273" s="35"/>
      <x:c r="Y273" s="35"/>
      <x:c r="Z273" s="35"/>
      <x:c r="AA273" s="35"/>
    </x:row>
    <x:row r="274">
      <x:c r="A274" s="136" t="str">
        <x:v>Antietam | Skirmish | East Woods Skirmish</x:v>
      </x:c>
      <x:c r="B274" s="136" t="str">
        <x:v>Artillery | USA Spawnpoint_EEW_USA_Arty_Base [map-14/001]</x:v>
      </x:c>
      <x:c r="C274" s="136" t="str">
        <x:v>battery</x:v>
      </x:c>
      <x:c r="D274" s="136" t="str">
        <x:v>USA</x:v>
      </x:c>
      <x:c r="E274" s="136" t="str">
        <x:v>Spawnpoint_EEW_USA_Arty_Base</x:v>
      </x:c>
      <x:c r="F274" s="137" t="n">
        <x:v>1882.5872802734375</x:v>
      </x:c>
      <x:c r="G274" s="137" t="n">
        <x:v>2705.12451171875</x:v>
      </x:c>
      <x:c r="H274" s="137" t="n">
        <x:v>64.90062713623047</x:v>
      </x:c>
      <x:c r="I274" s="137" t="n">
        <x:v>1225.2788195915934</x:v>
      </x:c>
      <x:c r="J274" s="137" t="n">
        <x:v>340.97417911293735</x:v>
      </x:c>
      <x:c r="K274" s="136" t="str">
        <x:v>map-14</x:v>
      </x:c>
      <x:c r="L274" s="136" t="str">
        <x:v>Antietam | Skirmish | East Woods Skirmish||Artillery | USA Spawnpoint_EEW_USA_Arty_Base [map-14/001]</x:v>
      </x:c>
      <x:c r="M274" s="35"/>
      <x:c r="N274" s="35"/>
      <x:c r="O274" s="35"/>
      <x:c r="P274" s="35"/>
      <x:c r="Q274" s="35"/>
      <x:c r="R274" s="35"/>
      <x:c r="S274" s="35"/>
      <x:c r="T274" s="35"/>
      <x:c r="U274" s="35"/>
      <x:c r="V274" s="35"/>
      <x:c r="W274" s="35"/>
      <x:c r="X274" s="35"/>
      <x:c r="Y274" s="35"/>
      <x:c r="Z274" s="35"/>
      <x:c r="AA274" s="35"/>
    </x:row>
    <x:row r="275">
      <x:c r="A275" s="136" t="str">
        <x:v>Antietam | Skirmish | East Woods Skirmish</x:v>
      </x:c>
      <x:c r="B275" s="136" t="str">
        <x:v>Spawn | USA Spawnpoint_EEW_Base_USA_32ndPA [map-14/002]</x:v>
      </x:c>
      <x:c r="C275" s="136" t="str">
        <x:v>spawn</x:v>
      </x:c>
      <x:c r="D275" s="136" t="str">
        <x:v>USA</x:v>
      </x:c>
      <x:c r="E275" s="136" t="str">
        <x:v>Spawnpoint_EEW_Base_USA_32ndPA</x:v>
      </x:c>
      <x:c r="F275" s="137" t="n">
        <x:v>1896.0771484375</x:v>
      </x:c>
      <x:c r="G275" s="137" t="n">
        <x:v>2689.11279296875</x:v>
      </x:c>
      <x:c r="H275" s="137" t="n">
        <x:v>64.95087432861328</x:v>
      </x:c>
      <x:c r="I275" s="137" t="n">
        <x:v>1284.9884572968263</x:v>
      </x:c>
      <x:c r="J275" s="137" t="n">
        <x:v>337.9737109946617</x:v>
      </x:c>
      <x:c r="K275" s="136" t="str">
        <x:v>map-14</x:v>
      </x:c>
      <x:c r="L275" s="136" t="str">
        <x:v>Antietam | Skirmish | East Woods Skirmish||Spawn | USA Spawnpoint_EEW_Base_USA_32ndPA [map-14/002]</x:v>
      </x:c>
      <x:c r="M275" s="35"/>
      <x:c r="N275" s="35"/>
      <x:c r="O275" s="35"/>
      <x:c r="P275" s="35"/>
      <x:c r="Q275" s="35"/>
      <x:c r="R275" s="35"/>
      <x:c r="S275" s="35"/>
      <x:c r="T275" s="35"/>
      <x:c r="U275" s="35"/>
      <x:c r="V275" s="35"/>
      <x:c r="W275" s="35"/>
      <x:c r="X275" s="35"/>
      <x:c r="Y275" s="35"/>
      <x:c r="Z275" s="35"/>
      <x:c r="AA275" s="35"/>
    </x:row>
    <x:row r="276">
      <x:c r="A276" s="136" t="str">
        <x:v>Antietam | Skirmish | East Woods Skirmish</x:v>
      </x:c>
      <x:c r="B276" s="136" t="str">
        <x:v>Spawn | CSA Spawnpoint_EEW_Defend_CSA_18thGA [map-14/003]</x:v>
      </x:c>
      <x:c r="C276" s="136" t="str">
        <x:v>spawn</x:v>
      </x:c>
      <x:c r="D276" s="136" t="str">
        <x:v>CSA</x:v>
      </x:c>
      <x:c r="E276" s="136" t="str">
        <x:v>Spawnpoint_EEW_Defend_CSA_18thGA</x:v>
      </x:c>
      <x:c r="F276" s="137" t="n">
        <x:v>1571.76171875</x:v>
      </x:c>
      <x:c r="G276" s="137" t="n">
        <x:v>2595.911865234375</x:v>
      </x:c>
      <x:c r="H276" s="137" t="n">
        <x:v>61.58055114746094</x:v>
      </x:c>
      <x:c r="I276" s="137" t="n">
        <x:v>936.4793858439905</x:v>
      </x:c>
      <x:c r="J276" s="137" t="n">
        <x:v>1236.3013167501763</x:v>
      </x:c>
      <x:c r="K276" s="136" t="str">
        <x:v>map-14</x:v>
      </x:c>
      <x:c r="L276" s="136" t="str">
        <x:v>Antietam | Skirmish | East Woods Skirmish||Spawn | CSA Spawnpoint_EEW_Defend_CSA_18thGA [map-14/003]</x:v>
      </x:c>
      <x:c r="M276" s="35"/>
      <x:c r="N276" s="35"/>
      <x:c r="O276" s="35"/>
      <x:c r="P276" s="35"/>
      <x:c r="Q276" s="35"/>
      <x:c r="R276" s="35"/>
      <x:c r="S276" s="35"/>
      <x:c r="T276" s="35"/>
      <x:c r="U276" s="35"/>
      <x:c r="V276" s="35"/>
      <x:c r="W276" s="35"/>
      <x:c r="X276" s="35"/>
      <x:c r="Y276" s="35"/>
      <x:c r="Z276" s="35"/>
      <x:c r="AA276" s="35"/>
    </x:row>
    <x:row r="277">
      <x:c r="A277" s="136" t="str">
        <x:v>Antietam | Skirmish | East Woods Skirmish</x:v>
      </x:c>
      <x:c r="B277" s="136" t="str">
        <x:v>Spawn | USA Spawnpoint_EEW_Base_USA_32ndPA-2 [map-14/004]</x:v>
      </x:c>
      <x:c r="C277" s="136" t="str">
        <x:v>spawn</x:v>
      </x:c>
      <x:c r="D277" s="136" t="str">
        <x:v>USA</x:v>
      </x:c>
      <x:c r="E277" s="136" t="str">
        <x:v>Spawnpoint_EEW_Base_USA_32ndPA-2</x:v>
      </x:c>
      <x:c r="F277" s="137" t="n">
        <x:v>1876.7901611328125</x:v>
      </x:c>
      <x:c r="G277" s="137" t="n">
        <x:v>2684.40234375</x:v>
      </x:c>
      <x:c r="H277" s="137" t="n">
        <x:v>65.48611450195312</x:v>
      </x:c>
      <x:c r="I277" s="137" t="n">
        <x:v>1262.3708011645165</x:v>
      </x:c>
      <x:c r="J277" s="137" t="n">
        <x:v>389.9591527374315</x:v>
      </x:c>
      <x:c r="K277" s="136" t="str">
        <x:v>map-14</x:v>
      </x:c>
      <x:c r="L277" s="136" t="str">
        <x:v>Antietam | Skirmish | East Woods Skirmish||Spawn | USA Spawnpoint_EEW_Base_USA_32ndPA-2 [map-14/004]</x:v>
      </x:c>
      <x:c r="M277" s="35"/>
      <x:c r="N277" s="35"/>
      <x:c r="O277" s="35"/>
      <x:c r="P277" s="35"/>
      <x:c r="Q277" s="35"/>
      <x:c r="R277" s="35"/>
      <x:c r="S277" s="35"/>
      <x:c r="T277" s="35"/>
      <x:c r="U277" s="35"/>
      <x:c r="V277" s="35"/>
      <x:c r="W277" s="35"/>
      <x:c r="X277" s="35"/>
      <x:c r="Y277" s="35"/>
      <x:c r="Z277" s="35"/>
      <x:c r="AA277" s="35"/>
    </x:row>
    <x:row r="278">
      <x:c r="A278" s="136" t="str">
        <x:v>Antietam | Skirmish | East Woods Skirmish</x:v>
      </x:c>
      <x:c r="B278" s="136" t="str">
        <x:v>Objective | Victory_Evening_East_Woods [map-14/005]</x:v>
      </x:c>
      <x:c r="C278" s="136" t="str">
        <x:v>objective</x:v>
      </x:c>
      <x:c r="D278" s="136" t="str"/>
      <x:c r="E278" s="136" t="str">
        <x:v>Victory_Evening_East_Woods</x:v>
      </x:c>
      <x:c r="F278" s="137" t="n">
        <x:v>1644.4111328125</x:v>
      </x:c>
      <x:c r="G278" s="137" t="n">
        <x:v>2617.775390625</x:v>
      </x:c>
      <x:c r="H278" s="137" t="n">
        <x:v>62.30800247192383</x:v>
      </x:c>
      <x:c r="I278" s="137" t="n">
        <x:v>1012.3074764972779</x:v>
      </x:c>
      <x:c r="J278" s="137" t="n">
        <x:v>1033.3650494468175</x:v>
      </x:c>
      <x:c r="K278" s="136" t="str">
        <x:v>map-14</x:v>
      </x:c>
      <x:c r="L278" s="136" t="str">
        <x:v>Antietam | Skirmish | East Woods Skirmish||Objective | Victory_Evening_East_Woods [map-14/005]</x:v>
      </x:c>
      <x:c r="M278" s="35"/>
      <x:c r="N278" s="35"/>
      <x:c r="O278" s="35"/>
      <x:c r="P278" s="35"/>
      <x:c r="Q278" s="35"/>
      <x:c r="R278" s="35"/>
      <x:c r="S278" s="35"/>
      <x:c r="T278" s="35"/>
      <x:c r="U278" s="35"/>
      <x:c r="V278" s="35"/>
      <x:c r="W278" s="35"/>
      <x:c r="X278" s="35"/>
      <x:c r="Y278" s="35"/>
      <x:c r="Z278" s="35"/>
      <x:c r="AA278" s="35"/>
    </x:row>
    <x:row r="279">
      <x:c r="A279" s="136" t="str">
        <x:v>Antietam | Skirmish | East Woods Skirmish</x:v>
      </x:c>
      <x:c r="B279" s="136" t="str">
        <x:v>Spawn | CSA Spawnpoint_EEW_Defend_CSA_4thTX-2 [map-14/006]</x:v>
      </x:c>
      <x:c r="C279" s="136" t="str">
        <x:v>spawn</x:v>
      </x:c>
      <x:c r="D279" s="136" t="str">
        <x:v>CSA</x:v>
      </x:c>
      <x:c r="E279" s="136" t="str">
        <x:v>Spawnpoint_EEW_Defend_CSA_4thTX-2</x:v>
      </x:c>
      <x:c r="F279" s="137" t="n">
        <x:v>1552.717529296875</x:v>
      </x:c>
      <x:c r="G279" s="137" t="n">
        <x:v>2611.279052734375</x:v>
      </x:c>
      <x:c r="H279" s="137" t="n">
        <x:v>61.274349212646484</x:v>
      </x:c>
      <x:c r="I279" s="137" t="n">
        <x:v>868.6376274418076</x:v>
      </x:c>
      <x:c r="J279" s="137" t="n">
        <x:v>1253.0424321868682</x:v>
      </x:c>
      <x:c r="K279" s="136" t="str">
        <x:v>map-14</x:v>
      </x:c>
      <x:c r="L279" s="136" t="str">
        <x:v>Antietam | Skirmish | East Woods Skirmish||Spawn | CSA Spawnpoint_EEW_Defend_CSA_4thTX-2 [map-14/006]</x:v>
      </x:c>
      <x:c r="M279" s="35"/>
      <x:c r="N279" s="35"/>
      <x:c r="O279" s="35"/>
      <x:c r="P279" s="35"/>
      <x:c r="Q279" s="35"/>
      <x:c r="R279" s="35"/>
      <x:c r="S279" s="35"/>
      <x:c r="T279" s="35"/>
      <x:c r="U279" s="35"/>
      <x:c r="V279" s="35"/>
      <x:c r="W279" s="35"/>
      <x:c r="X279" s="35"/>
      <x:c r="Y279" s="35"/>
      <x:c r="Z279" s="35"/>
      <x:c r="AA279" s="35"/>
    </x:row>
    <x:row r="280">
      <x:c r="A280" s="136" t="str">
        <x:v>Antietam | Skirmish | East Woods Skirmish</x:v>
      </x:c>
      <x:c r="B280" s="136" t="str">
        <x:v>Spawn | CSA Spawnpoint_EEW_Base_CSA_18thGA [map-14/007]</x:v>
      </x:c>
      <x:c r="C280" s="136" t="str">
        <x:v>spawn</x:v>
      </x:c>
      <x:c r="D280" s="136" t="str">
        <x:v>CSA</x:v>
      </x:c>
      <x:c r="E280" s="136" t="str">
        <x:v>Spawnpoint_EEW_Base_CSA_18thGA</x:v>
      </x:c>
      <x:c r="F280" s="137" t="n">
        <x:v>1396.34228515625</x:v>
      </x:c>
      <x:c r="G280" s="137" t="n">
        <x:v>2517.693115234375</x:v>
      </x:c>
      <x:c r="H280" s="137" t="n">
        <x:v>63.23550033569336</x:v>
      </x:c>
      <x:c r="I280" s="137" t="n">
        <x:v>811.189437441872</x:v>
      </x:c>
      <x:c r="J280" s="137" t="n">
        <x:v>1770.2473101799433</x:v>
      </x:c>
      <x:c r="K280" s="136" t="str">
        <x:v>map-14</x:v>
      </x:c>
      <x:c r="L280" s="136" t="str">
        <x:v>Antietam | Skirmish | East Woods Skirmish||Spawn | CSA Spawnpoint_EEW_Base_CSA_18thGA [map-14/007]</x:v>
      </x:c>
      <x:c r="M280" s="35"/>
      <x:c r="N280" s="35"/>
      <x:c r="O280" s="35"/>
      <x:c r="P280" s="35"/>
      <x:c r="Q280" s="35"/>
      <x:c r="R280" s="35"/>
      <x:c r="S280" s="35"/>
      <x:c r="T280" s="35"/>
      <x:c r="U280" s="35"/>
      <x:c r="V280" s="35"/>
      <x:c r="W280" s="35"/>
      <x:c r="X280" s="35"/>
      <x:c r="Y280" s="35"/>
      <x:c r="Z280" s="35"/>
      <x:c r="AA280" s="35"/>
    </x:row>
    <x:row r="281">
      <x:c r="A281" s="136" t="str">
        <x:v>Antietam | Skirmish | East Woods Skirmish</x:v>
      </x:c>
      <x:c r="B281" s="136" t="str">
        <x:v>Spawn | CSA Spawnpoint_EEW_Defend_CSA_18thGA-2 [map-14/008]</x:v>
      </x:c>
      <x:c r="C281" s="136" t="str">
        <x:v>spawn</x:v>
      </x:c>
      <x:c r="D281" s="136" t="str">
        <x:v>CSA</x:v>
      </x:c>
      <x:c r="E281" s="136" t="str">
        <x:v>Spawnpoint_EEW_Defend_CSA_18thGA-2</x:v>
      </x:c>
      <x:c r="F281" s="137" t="n">
        <x:v>1566.5589599609375</x:v>
      </x:c>
      <x:c r="G281" s="137" t="n">
        <x:v>2606.869140625</x:v>
      </x:c>
      <x:c r="H281" s="137" t="n">
        <x:v>61.12451934814453</x:v>
      </x:c>
      <x:c r="I281" s="137" t="n">
        <x:v>902.5796857856924</x:v>
      </x:c>
      <x:c r="J281" s="137" t="n">
        <x:v>1229.1958530252198</x:v>
      </x:c>
      <x:c r="K281" s="136" t="str">
        <x:v>map-14</x:v>
      </x:c>
      <x:c r="L281" s="136" t="str">
        <x:v>Antietam | Skirmish | East Woods Skirmish||Spawn | CSA Spawnpoint_EEW_Defend_CSA_18thGA-2 [map-14/008]</x:v>
      </x:c>
      <x:c r="M281" s="35"/>
      <x:c r="N281" s="35"/>
      <x:c r="O281" s="35"/>
      <x:c r="P281" s="35"/>
      <x:c r="Q281" s="35"/>
      <x:c r="R281" s="35"/>
      <x:c r="S281" s="35"/>
      <x:c r="T281" s="35"/>
      <x:c r="U281" s="35"/>
      <x:c r="V281" s="35"/>
      <x:c r="W281" s="35"/>
      <x:c r="X281" s="35"/>
      <x:c r="Y281" s="35"/>
      <x:c r="Z281" s="35"/>
      <x:c r="AA281" s="35"/>
    </x:row>
    <x:row r="282">
      <x:c r="A282" s="136" t="str">
        <x:v>Antietam | Skirmish | East Woods Skirmish</x:v>
      </x:c>
      <x:c r="B282" s="136" t="str">
        <x:v>Spawn | CSA Spawnpoint_EEW_Base_CSA_4thTX [map-14/009]</x:v>
      </x:c>
      <x:c r="C282" s="136" t="str">
        <x:v>spawn</x:v>
      </x:c>
      <x:c r="D282" s="136" t="str">
        <x:v>CSA</x:v>
      </x:c>
      <x:c r="E282" s="136" t="str">
        <x:v>Spawnpoint_EEW_Base_CSA_4thTX</x:v>
      </x:c>
      <x:c r="F282" s="137" t="n">
        <x:v>1413.2982177734375</x:v>
      </x:c>
      <x:c r="G282" s="137" t="n">
        <x:v>2544.802490234375</x:v>
      </x:c>
      <x:c r="H282" s="137" t="n">
        <x:v>61.99443054199219</x:v>
      </x:c>
      <x:c r="I282" s="137" t="n">
        <x:v>778.8584857181678</x:v>
      </x:c>
      <x:c r="J282" s="137" t="n">
        <x:v>1684.857847883514</x:v>
      </x:c>
      <x:c r="K282" s="136" t="str">
        <x:v>map-14</x:v>
      </x:c>
      <x:c r="L282" s="136" t="str">
        <x:v>Antietam | Skirmish | East Woods Skirmish||Spawn | CSA Spawnpoint_EEW_Base_CSA_4thTX [map-14/009]</x:v>
      </x:c>
      <x:c r="M282" s="35"/>
      <x:c r="N282" s="35"/>
      <x:c r="O282" s="35"/>
      <x:c r="P282" s="35"/>
      <x:c r="Q282" s="35"/>
      <x:c r="R282" s="35"/>
      <x:c r="S282" s="35"/>
      <x:c r="T282" s="35"/>
      <x:c r="U282" s="35"/>
      <x:c r="V282" s="35"/>
      <x:c r="W282" s="35"/>
      <x:c r="X282" s="35"/>
      <x:c r="Y282" s="35"/>
      <x:c r="Z282" s="35"/>
      <x:c r="AA282" s="35"/>
    </x:row>
    <x:row r="283">
      <x:c r="A283" s="136" t="str">
        <x:v>Antietam | Skirmish | East Woods Skirmish</x:v>
      </x:c>
      <x:c r="B283" s="136" t="str">
        <x:v>Spawn | CSA Spawnpoint_EEW_Base_CSA_4thTX-2 [map-14/010]</x:v>
      </x:c>
      <x:c r="C283" s="136" t="str">
        <x:v>spawn</x:v>
      </x:c>
      <x:c r="D283" s="136" t="str">
        <x:v>CSA</x:v>
      </x:c>
      <x:c r="E283" s="136" t="str">
        <x:v>Spawnpoint_EEW_Base_CSA_4thTX-2</x:v>
      </x:c>
      <x:c r="F283" s="137" t="n">
        <x:v>1425.437255859375</x:v>
      </x:c>
      <x:c r="G283" s="137" t="n">
        <x:v>2559.543212890625</x:v>
      </x:c>
      <x:c r="H283" s="137" t="n">
        <x:v>61.893882751464844</x:v>
      </x:c>
      <x:c r="I283" s="137" t="n">
        <x:v>766.322733089893</x:v>
      </x:c>
      <x:c r="J283" s="137" t="n">
        <x:v>1631.7908310697412</x:v>
      </x:c>
      <x:c r="K283" s="136" t="str">
        <x:v>map-14</x:v>
      </x:c>
      <x:c r="L283" s="136" t="str">
        <x:v>Antietam | Skirmish | East Woods Skirmish||Spawn | CSA Spawnpoint_EEW_Base_CSA_4thTX-2 [map-14/010]</x:v>
      </x:c>
      <x:c r="M283" s="35"/>
      <x:c r="N283" s="35"/>
      <x:c r="O283" s="35"/>
      <x:c r="P283" s="35"/>
      <x:c r="Q283" s="35"/>
      <x:c r="R283" s="35"/>
      <x:c r="S283" s="35"/>
      <x:c r="T283" s="35"/>
      <x:c r="U283" s="35"/>
      <x:c r="V283" s="35"/>
      <x:c r="W283" s="35"/>
      <x:c r="X283" s="35"/>
      <x:c r="Y283" s="35"/>
      <x:c r="Z283" s="35"/>
      <x:c r="AA283" s="35"/>
    </x:row>
    <x:row r="284">
      <x:c r="A284" s="136" t="str">
        <x:v>Antietam | Skirmish | East Woods Skirmish</x:v>
      </x:c>
      <x:c r="B284" s="136" t="str">
        <x:v>Spawn | CSA Spawnpoint_EEW_Base_CSA_18thGA-2 [map-14/011]</x:v>
      </x:c>
      <x:c r="C284" s="136" t="str">
        <x:v>spawn</x:v>
      </x:c>
      <x:c r="D284" s="136" t="str">
        <x:v>CSA</x:v>
      </x:c>
      <x:c r="E284" s="136" t="str">
        <x:v>Spawnpoint_EEW_Base_CSA_18thGA-2</x:v>
      </x:c>
      <x:c r="F284" s="137" t="n">
        <x:v>1404.71533203125</x:v>
      </x:c>
      <x:c r="G284" s="137" t="n">
        <x:v>2531.199462890625</x:v>
      </x:c>
      <x:c r="H284" s="137" t="n">
        <x:v>62.09669876098633</x:v>
      </x:c>
      <x:c r="I284" s="137" t="n">
        <x:v>794.9525639051677</x:v>
      </x:c>
      <x:c r="J284" s="137" t="n">
        <x:v>1727.8746252822057</x:v>
      </x:c>
      <x:c r="K284" s="136" t="str">
        <x:v>map-14</x:v>
      </x:c>
      <x:c r="L284" s="136" t="str">
        <x:v>Antietam | Skirmish | East Woods Skirmish||Spawn | CSA Spawnpoint_EEW_Base_CSA_18thGA-2 [map-14/011]</x:v>
      </x:c>
      <x:c r="M284" s="35"/>
      <x:c r="N284" s="35"/>
      <x:c r="O284" s="35"/>
      <x:c r="P284" s="35"/>
      <x:c r="Q284" s="35"/>
      <x:c r="R284" s="35"/>
      <x:c r="S284" s="35"/>
      <x:c r="T284" s="35"/>
      <x:c r="U284" s="35"/>
      <x:c r="V284" s="35"/>
      <x:c r="W284" s="35"/>
      <x:c r="X284" s="35"/>
      <x:c r="Y284" s="35"/>
      <x:c r="Z284" s="35"/>
      <x:c r="AA284" s="35"/>
    </x:row>
    <x:row r="285">
      <x:c r="A285" s="136" t="str">
        <x:v>Antietam | Skirmish | East Woods Skirmish</x:v>
      </x:c>
      <x:c r="B285" s="136" t="str">
        <x:v>Spawn | CSA Spawnpoint_EEW_Defend_CSA_4thTX [map-14/012]</x:v>
      </x:c>
      <x:c r="C285" s="136" t="str">
        <x:v>spawn</x:v>
      </x:c>
      <x:c r="D285" s="136" t="str">
        <x:v>CSA</x:v>
      </x:c>
      <x:c r="E285" s="136" t="str">
        <x:v>Spawnpoint_EEW_Defend_CSA_4thTX</x:v>
      </x:c>
      <x:c r="F285" s="137" t="n">
        <x:v>1570.504638671875</x:v>
      </x:c>
      <x:c r="G285" s="137" t="n">
        <x:v>2618.77099609375</x:v>
      </x:c>
      <x:c r="H285" s="137" t="n">
        <x:v>61.28003692626953</x:v>
      </x:c>
      <x:c r="I285" s="137" t="n">
        <x:v>882.3402996172076</x:v>
      </x:c>
      <x:c r="J285" s="137" t="n">
        <x:v>1199.6605753347203</x:v>
      </x:c>
      <x:c r="K285" s="136" t="str">
        <x:v>map-14</x:v>
      </x:c>
      <x:c r="L285" s="136" t="str">
        <x:v>Antietam | Skirmish | East Woods Skirmish||Spawn | CSA Spawnpoint_EEW_Defend_CSA_4thTX [map-14/012]</x:v>
      </x:c>
      <x:c r="M285" s="35"/>
      <x:c r="N285" s="35"/>
      <x:c r="O285" s="35"/>
      <x:c r="P285" s="35"/>
      <x:c r="Q285" s="35"/>
      <x:c r="R285" s="35"/>
      <x:c r="S285" s="35"/>
      <x:c r="T285" s="35"/>
      <x:c r="U285" s="35"/>
      <x:c r="V285" s="35"/>
      <x:c r="W285" s="35"/>
      <x:c r="X285" s="35"/>
      <x:c r="Y285" s="35"/>
      <x:c r="Z285" s="35"/>
      <x:c r="AA285" s="35"/>
    </x:row>
    <x:row r="286">
      <x:c r="A286" s="136" t="str">
        <x:v>Antietam | Skirmish | East Woods Skirmish</x:v>
      </x:c>
      <x:c r="B286" s="136" t="str">
        <x:v>Artillery | USA Spawnpoint_EEW_USA_Arty_Cooper_Forward [map-14/013]</x:v>
      </x:c>
      <x:c r="C286" s="136" t="str">
        <x:v>battery</x:v>
      </x:c>
      <x:c r="D286" s="136" t="str">
        <x:v>USA</x:v>
      </x:c>
      <x:c r="E286" s="136" t="str">
        <x:v>Spawnpoint_EEW_USA_Arty_Cooper_Forward</x:v>
      </x:c>
      <x:c r="F286" s="137" t="n">
        <x:v>1809.6739501953125</x:v>
      </x:c>
      <x:c r="G286" s="137" t="n">
        <x:v>2757.977783203125</x:v>
      </x:c>
      <x:c r="H286" s="137" t="n">
        <x:v>65.33899688720703</x:v>
      </x:c>
      <x:c r="I286" s="137" t="n">
        <x:v>979.136755237857</x:v>
      </x:c>
      <x:c r="J286" s="137" t="n">
        <x:v>415.4064808369628</x:v>
      </x:c>
      <x:c r="K286" s="136" t="str">
        <x:v>map-14</x:v>
      </x:c>
      <x:c r="L286" s="136" t="str">
        <x:v>Antietam | Skirmish | East Woods Skirmish||Artillery | USA Spawnpoint_EEW_USA_Arty_Cooper_Forward [map-14/013]</x:v>
      </x:c>
      <x:c r="M286" s="35"/>
      <x:c r="N286" s="35"/>
      <x:c r="O286" s="35"/>
      <x:c r="P286" s="35"/>
      <x:c r="Q286" s="35"/>
      <x:c r="R286" s="35"/>
      <x:c r="S286" s="35"/>
      <x:c r="T286" s="35"/>
      <x:c r="U286" s="35"/>
      <x:c r="V286" s="35"/>
      <x:c r="W286" s="35"/>
      <x:c r="X286" s="35"/>
      <x:c r="Y286" s="35"/>
      <x:c r="Z286" s="35"/>
      <x:c r="AA286" s="35"/>
    </x:row>
    <x:row r="287">
      <x:c r="A287" s="136" t="str">
        <x:v>Antietam | Skirmish | East Woods Skirmish</x:v>
      </x:c>
      <x:c r="B287" s="136" t="str">
        <x:v>Spawn | USA Spawnpoint_EEW_Base_USA_42ndPA [map-14/014]</x:v>
      </x:c>
      <x:c r="C287" s="136" t="str">
        <x:v>spawn</x:v>
      </x:c>
      <x:c r="D287" s="136" t="str">
        <x:v>USA</x:v>
      </x:c>
      <x:c r="E287" s="136" t="str">
        <x:v>Spawnpoint_EEW_Base_USA_42ndPA</x:v>
      </x:c>
      <x:c r="F287" s="137" t="n">
        <x:v>1890.5240478515625</x:v>
      </x:c>
      <x:c r="G287" s="137" t="n">
        <x:v>2673.00830078125</x:v>
      </x:c>
      <x:c r="H287" s="137" t="n">
        <x:v>65.90082550048828</x:v>
      </x:c>
      <x:c r="I287" s="137" t="n">
        <x:v>1312.0044557119586</x:v>
      </x:c>
      <x:c r="J287" s="137" t="n">
        <x:v>378.4250126825636</x:v>
      </x:c>
      <x:c r="K287" s="136" t="str">
        <x:v>map-14</x:v>
      </x:c>
      <x:c r="L287" s="136" t="str">
        <x:v>Antietam | Skirmish | East Woods Skirmish||Spawn | USA Spawnpoint_EEW_Base_USA_42ndPA [map-14/014]</x:v>
      </x:c>
      <x:c r="M287" s="35"/>
      <x:c r="N287" s="35"/>
      <x:c r="O287" s="35"/>
      <x:c r="P287" s="35"/>
      <x:c r="Q287" s="35"/>
      <x:c r="R287" s="35"/>
      <x:c r="S287" s="35"/>
      <x:c r="T287" s="35"/>
      <x:c r="U287" s="35"/>
      <x:c r="V287" s="35"/>
      <x:c r="W287" s="35"/>
      <x:c r="X287" s="35"/>
      <x:c r="Y287" s="35"/>
      <x:c r="Z287" s="35"/>
      <x:c r="AA287" s="35"/>
    </x:row>
    <x:row r="288">
      <x:c r="A288" s="136" t="str">
        <x:v>Antietam | Skirmish | East Woods Skirmish</x:v>
      </x:c>
      <x:c r="B288" s="136" t="str">
        <x:v>Gun | 3-inch Ordnance · Entity-1031 [map-14/015]</x:v>
      </x:c>
      <x:c r="C288" s="136" t="str">
        <x:v>gun_spawn</x:v>
      </x:c>
      <x:c r="D288" s="136" t="str"/>
      <x:c r="E288" s="136" t="str">
        <x:v>3-inch Ordnance · Entity-1031</x:v>
      </x:c>
      <x:c r="F288" s="137" t="n">
        <x:v>1772.8499755859375</x:v>
      </x:c>
      <x:c r="G288" s="137" t="n">
        <x:v>2763.5400390625</x:v>
      </x:c>
      <x:c r="H288" s="137" t="n">
        <x:v>66.11219787597656</x:v>
      </x:c>
      <x:c r="I288" s="137" t="n">
        <x:v>902.8632282697683</x:v>
      </x:c>
      <x:c r="J288" s="137" t="n">
        <x:v>489.50943939390305</x:v>
      </x:c>
      <x:c r="K288" s="136" t="str">
        <x:v>map-14</x:v>
      </x:c>
      <x:c r="L288" s="136" t="str">
        <x:v>Antietam | Skirmish | East Woods Skirmish||Gun | 3-inch Ordnance · Entity-1031 [map-14/015]</x:v>
      </x:c>
      <x:c r="M288" s="35"/>
      <x:c r="N288" s="35"/>
      <x:c r="O288" s="35"/>
      <x:c r="P288" s="35"/>
      <x:c r="Q288" s="35"/>
      <x:c r="R288" s="35"/>
      <x:c r="S288" s="35"/>
      <x:c r="T288" s="35"/>
      <x:c r="U288" s="35"/>
      <x:c r="V288" s="35"/>
      <x:c r="W288" s="35"/>
      <x:c r="X288" s="35"/>
      <x:c r="Y288" s="35"/>
      <x:c r="Z288" s="35"/>
      <x:c r="AA288" s="35"/>
    </x:row>
    <x:row r="289">
      <x:c r="A289" s="136" t="str">
        <x:v>Antietam | Skirmish | East Woods Skirmish</x:v>
      </x:c>
      <x:c r="B289" s="136" t="str">
        <x:v>Gun | 3-inch Ordnance · Entity-1030 [map-14/016]</x:v>
      </x:c>
      <x:c r="C289" s="136" t="str">
        <x:v>gun_spawn</x:v>
      </x:c>
      <x:c r="D289" s="136" t="str"/>
      <x:c r="E289" s="136" t="str">
        <x:v>3-inch Ordnance · Entity-1030</x:v>
      </x:c>
      <x:c r="F289" s="137" t="n">
        <x:v>1768.25</x:v>
      </x:c>
      <x:c r="G289" s="137" t="n">
        <x:v>2770.110107421875</x:v>
      </x:c>
      <x:c r="H289" s="137" t="n">
        <x:v>66.09149932861328</x:v>
      </x:c>
      <x:c r="I289" s="137" t="n">
        <x:v>879.9787713149218</x:v>
      </x:c>
      <x:c r="J289" s="137" t="n">
        <x:v>488.6143355506257</x:v>
      </x:c>
      <x:c r="K289" s="136" t="str">
        <x:v>map-14</x:v>
      </x:c>
      <x:c r="L289" s="136" t="str">
        <x:v>Antietam | Skirmish | East Woods Skirmish||Gun | 3-inch Ordnance · Entity-1030 [map-14/016]</x:v>
      </x:c>
      <x:c r="M289" s="35"/>
      <x:c r="N289" s="35"/>
      <x:c r="O289" s="35"/>
      <x:c r="P289" s="35"/>
      <x:c r="Q289" s="35"/>
      <x:c r="R289" s="35"/>
      <x:c r="S289" s="35"/>
      <x:c r="T289" s="35"/>
      <x:c r="U289" s="35"/>
      <x:c r="V289" s="35"/>
      <x:c r="W289" s="35"/>
      <x:c r="X289" s="35"/>
      <x:c r="Y289" s="35"/>
      <x:c r="Z289" s="35"/>
      <x:c r="AA289" s="35"/>
    </x:row>
    <x:row r="290">
      <x:c r="A290" s="136" t="str">
        <x:v>Antietam | Skirmish | East Woods Skirmish</x:v>
      </x:c>
      <x:c r="B290" s="136" t="str">
        <x:v>Gun | 12-pounder Napoleon (USA) · Entity-1033 [map-14/017]</x:v>
      </x:c>
      <x:c r="C290" s="136" t="str">
        <x:v>gun_spawn</x:v>
      </x:c>
      <x:c r="D290" s="136" t="str"/>
      <x:c r="E290" s="136" t="str">
        <x:v>12-pounder Napoleon (USA) · Entity-1033</x:v>
      </x:c>
      <x:c r="F290" s="137" t="n">
        <x:v>1781.510009765625</x:v>
      </x:c>
      <x:c r="G290" s="137" t="n">
        <x:v>2751.429931640625</x:v>
      </x:c>
      <x:c r="H290" s="137" t="n">
        <x:v>66.2468032836914</x:v>
      </x:c>
      <x:c r="I290" s="137" t="n">
        <x:v>945.3575896433003</x:v>
      </x:c>
      <x:c r="J290" s="137" t="n">
        <x:v>490.74727265478725</x:v>
      </x:c>
      <x:c r="K290" s="136" t="str">
        <x:v>map-14</x:v>
      </x:c>
      <x:c r="L290" s="136" t="str">
        <x:v>Antietam | Skirmish | East Woods Skirmish||Gun | 12-pounder Napoleon (USA) · Entity-1033 [map-14/017]</x:v>
      </x:c>
      <x:c r="M290" s="35"/>
      <x:c r="N290" s="35"/>
      <x:c r="O290" s="35"/>
      <x:c r="P290" s="35"/>
      <x:c r="Q290" s="35"/>
      <x:c r="R290" s="35"/>
      <x:c r="S290" s="35"/>
      <x:c r="T290" s="35"/>
      <x:c r="U290" s="35"/>
      <x:c r="V290" s="35"/>
      <x:c r="W290" s="35"/>
      <x:c r="X290" s="35"/>
      <x:c r="Y290" s="35"/>
      <x:c r="Z290" s="35"/>
      <x:c r="AA290" s="35"/>
    </x:row>
    <x:row r="291">
      <x:c r="A291" s="136" t="str">
        <x:v>Antietam | Skirmish | East Woods Skirmish</x:v>
      </x:c>
      <x:c r="B291" s="136" t="str">
        <x:v>Gun | 12-pounder Napoleon (USA) · Entity-1032 [map-14/018]</x:v>
      </x:c>
      <x:c r="C291" s="136" t="str">
        <x:v>gun_spawn</x:v>
      </x:c>
      <x:c r="D291" s="136" t="str"/>
      <x:c r="E291" s="136" t="str">
        <x:v>12-pounder Napoleon (USA) · Entity-1032</x:v>
      </x:c>
      <x:c r="F291" s="137" t="n">
        <x:v>1776.8399658203125</x:v>
      </x:c>
      <x:c r="G291" s="137" t="n">
        <x:v>2757.949951171875</x:v>
      </x:c>
      <x:c r="H291" s="137" t="n">
        <x:v>66.17449951171875</x:v>
      </x:c>
      <x:c r="I291" s="137" t="n">
        <x:v>922.4658396836292</x:v>
      </x:c>
      <x:c r="J291" s="137" t="n">
        <x:v>490.097939101856</x:v>
      </x:c>
      <x:c r="K291" s="136" t="str">
        <x:v>map-14</x:v>
      </x:c>
      <x:c r="L291" s="136" t="str">
        <x:v>Antietam | Skirmish | East Woods Skirmish||Gun | 12-pounder Napoleon (USA) · Entity-1032 [map-14/018]</x:v>
      </x:c>
      <x:c r="M291" s="35"/>
      <x:c r="N291" s="35"/>
      <x:c r="O291" s="35"/>
      <x:c r="P291" s="35"/>
      <x:c r="Q291" s="35"/>
      <x:c r="R291" s="35"/>
      <x:c r="S291" s="35"/>
      <x:c r="T291" s="35"/>
      <x:c r="U291" s="35"/>
      <x:c r="V291" s="35"/>
      <x:c r="W291" s="35"/>
      <x:c r="X291" s="35"/>
      <x:c r="Y291" s="35"/>
      <x:c r="Z291" s="35"/>
      <x:c r="AA291" s="35"/>
    </x:row>
    <x:row r="292">
      <x:c r="A292" s="136" t="str">
        <x:v>Antietam | Skirmish | Hooker's Push</x:v>
      </x:c>
      <x:c r="B292" s="136" t="str">
        <x:v>Spawn | CSA Spawnpoint_HP_Defend_CSA_13thGA [map-15/001]</x:v>
      </x:c>
      <x:c r="C292" s="136" t="str">
        <x:v>spawn</x:v>
      </x:c>
      <x:c r="D292" s="136" t="str">
        <x:v>CSA</x:v>
      </x:c>
      <x:c r="E292" s="136" t="str">
        <x:v>Spawnpoint_HP_Defend_CSA_13thGA</x:v>
      </x:c>
      <x:c r="F292" s="137" t="n">
        <x:v>1046.859130859375</x:v>
      </x:c>
      <x:c r="G292" s="137" t="n">
        <x:v>2631.63525390625</x:v>
      </x:c>
      <x:c r="H292" s="137" t="n">
        <x:v>61.50882339477539</x:v>
      </x:c>
      <x:c r="I292" s="137" t="n">
        <x:v>1101.7365397862754</x:v>
      </x:c>
      <x:c r="J292" s="137" t="n">
        <x:v>1125.5199324029334</x:v>
      </x:c>
      <x:c r="K292" s="136" t="str">
        <x:v>map-15</x:v>
      </x:c>
      <x:c r="L292" s="136" t="str">
        <x:v>Antietam | Skirmish | Hooker's Push||Spawn | CSA Spawnpoint_HP_Defend_CSA_13thGA [map-15/001]</x:v>
      </x:c>
      <x:c r="M292" s="35"/>
      <x:c r="N292" s="35"/>
      <x:c r="O292" s="35"/>
      <x:c r="P292" s="35"/>
      <x:c r="Q292" s="35"/>
      <x:c r="R292" s="35"/>
      <x:c r="S292" s="35"/>
      <x:c r="T292" s="35"/>
      <x:c r="U292" s="35"/>
      <x:c r="V292" s="35"/>
      <x:c r="W292" s="35"/>
      <x:c r="X292" s="35"/>
      <x:c r="Y292" s="35"/>
      <x:c r="Z292" s="35"/>
      <x:c r="AA292" s="35"/>
    </x:row>
    <x:row r="293">
      <x:c r="A293" s="136" t="str">
        <x:v>Antietam | Skirmish | Hooker's Push</x:v>
      </x:c>
      <x:c r="B293" s="136" t="str">
        <x:v>Artillery | CSA Spawnpoint_HP_CSA_Arty_Base [map-15/002]</x:v>
      </x:c>
      <x:c r="C293" s="136" t="str">
        <x:v>battery</x:v>
      </x:c>
      <x:c r="D293" s="136" t="str">
        <x:v>CSA</x:v>
      </x:c>
      <x:c r="E293" s="136" t="str">
        <x:v>Spawnpoint_HP_CSA_Arty_Base</x:v>
      </x:c>
      <x:c r="F293" s="137" t="n">
        <x:v>500.38275146484375</x:v>
      </x:c>
      <x:c r="G293" s="137" t="n">
        <x:v>2587.102783203125</x:v>
      </x:c>
      <x:c r="H293" s="137" t="n">
        <x:v>63.0335578918457</x:v>
      </x:c>
      <x:c r="I293" s="137" t="n">
        <x:v>771.3715874758519</x:v>
      </x:c>
      <x:c r="J293" s="137" t="n">
        <x:v>1641.6231752874503</x:v>
      </x:c>
      <x:c r="K293" s="136" t="str">
        <x:v>map-15</x:v>
      </x:c>
      <x:c r="L293" s="136" t="str">
        <x:v>Antietam | Skirmish | Hooker's Push||Artillery | CSA Spawnpoint_HP_CSA_Arty_Base [map-15/002]</x:v>
      </x:c>
      <x:c r="M293" s="35"/>
      <x:c r="N293" s="35"/>
      <x:c r="O293" s="35"/>
      <x:c r="P293" s="35"/>
      <x:c r="Q293" s="35"/>
      <x:c r="R293" s="35"/>
      <x:c r="S293" s="35"/>
      <x:c r="T293" s="35"/>
      <x:c r="U293" s="35"/>
      <x:c r="V293" s="35"/>
      <x:c r="W293" s="35"/>
      <x:c r="X293" s="35"/>
      <x:c r="Y293" s="35"/>
      <x:c r="Z293" s="35"/>
      <x:c r="AA293" s="35"/>
    </x:row>
    <x:row r="294">
      <x:c r="A294" s="136" t="str">
        <x:v>Antietam | Skirmish | Hooker's Push</x:v>
      </x:c>
      <x:c r="B294" s="136" t="str">
        <x:v>Spawn | CSA Spawnpoint_HP_Defend_CSA_13thGA-2 [map-15/003]</x:v>
      </x:c>
      <x:c r="C294" s="136" t="str">
        <x:v>spawn</x:v>
      </x:c>
      <x:c r="D294" s="136" t="str">
        <x:v>CSA</x:v>
      </x:c>
      <x:c r="E294" s="136" t="str">
        <x:v>Spawnpoint_HP_Defend_CSA_13thGA-2</x:v>
      </x:c>
      <x:c r="F294" s="137" t="n">
        <x:v>1034.1728515625</x:v>
      </x:c>
      <x:c r="G294" s="137" t="n">
        <x:v>2639.102294921875</x:v>
      </x:c>
      <x:c r="H294" s="137" t="n">
        <x:v>61.98917770385742</x:v>
      </x:c>
      <x:c r="I294" s="137" t="n">
        <x:v>1086.507831886909</x:v>
      </x:c>
      <x:c r="J294" s="137" t="n">
        <x:v>1131.746018975282</x:v>
      </x:c>
      <x:c r="K294" s="136" t="str">
        <x:v>map-15</x:v>
      </x:c>
      <x:c r="L294" s="136" t="str">
        <x:v>Antietam | Skirmish | Hooker's Push||Spawn | CSA Spawnpoint_HP_Defend_CSA_13thGA-2 [map-15/003]</x:v>
      </x:c>
      <x:c r="M294" s="35"/>
      <x:c r="N294" s="35"/>
      <x:c r="O294" s="35"/>
      <x:c r="P294" s="35"/>
      <x:c r="Q294" s="35"/>
      <x:c r="R294" s="35"/>
      <x:c r="S294" s="35"/>
      <x:c r="T294" s="35"/>
      <x:c r="U294" s="35"/>
      <x:c r="V294" s="35"/>
      <x:c r="W294" s="35"/>
      <x:c r="X294" s="35"/>
      <x:c r="Y294" s="35"/>
      <x:c r="Z294" s="35"/>
      <x:c r="AA294" s="35"/>
    </x:row>
    <x:row r="295">
      <x:c r="A295" s="136" t="str">
        <x:v>Antietam | Skirmish | Hooker's Push</x:v>
      </x:c>
      <x:c r="B295" s="136" t="str">
        <x:v>Artillery | USA Spawnpoint_HP_USA_Arty_Base [map-15/004]</x:v>
      </x:c>
      <x:c r="C295" s="136" t="str">
        <x:v>battery</x:v>
      </x:c>
      <x:c r="D295" s="136" t="str">
        <x:v>USA</x:v>
      </x:c>
      <x:c r="E295" s="136" t="str">
        <x:v>Spawnpoint_HP_USA_Arty_Base</x:v>
      </x:c>
      <x:c r="F295" s="137" t="n">
        <x:v>1455.1011962890625</x:v>
      </x:c>
      <x:c r="G295" s="137" t="n">
        <x:v>3261.256103515625</x:v>
      </x:c>
      <x:c r="H295" s="137" t="n">
        <x:v>56.6999397277832</x:v>
      </x:c>
      <x:c r="I295" s="137" t="n">
        <x:v>818.2261717292303</x:v>
      </x:c>
      <x:c r="J295" s="137" t="n">
        <x:v>336.2358037048112</x:v>
      </x:c>
      <x:c r="K295" s="136" t="str">
        <x:v>map-15</x:v>
      </x:c>
      <x:c r="L295" s="136" t="str">
        <x:v>Antietam | Skirmish | Hooker's Push||Artillery | USA Spawnpoint_HP_USA_Arty_Base [map-15/004]</x:v>
      </x:c>
      <x:c r="M295" s="35"/>
      <x:c r="N295" s="35"/>
      <x:c r="O295" s="35"/>
      <x:c r="P295" s="35"/>
      <x:c r="Q295" s="35"/>
      <x:c r="R295" s="35"/>
      <x:c r="S295" s="35"/>
      <x:c r="T295" s="35"/>
      <x:c r="U295" s="35"/>
      <x:c r="V295" s="35"/>
      <x:c r="W295" s="35"/>
      <x:c r="X295" s="35"/>
      <x:c r="Y295" s="35"/>
      <x:c r="Z295" s="35"/>
      <x:c r="AA295" s="35"/>
    </x:row>
    <x:row r="296">
      <x:c r="A296" s="136" t="str">
        <x:v>Antietam | Skirmish | Hooker's Push</x:v>
      </x:c>
      <x:c r="B296" s="136" t="str">
        <x:v>Spawn | CSA Spawnpoint_HP_Defend_CSA_6thLA [map-15/005]</x:v>
      </x:c>
      <x:c r="C296" s="136" t="str">
        <x:v>spawn</x:v>
      </x:c>
      <x:c r="D296" s="136" t="str">
        <x:v>CSA</x:v>
      </x:c>
      <x:c r="E296" s="136" t="str">
        <x:v>Spawnpoint_HP_Defend_CSA_6thLA</x:v>
      </x:c>
      <x:c r="F296" s="137" t="n">
        <x:v>1067.580078125</x:v>
      </x:c>
      <x:c r="G296" s="137" t="n">
        <x:v>2619.439208984375</x:v>
      </x:c>
      <x:c r="H296" s="137" t="n">
        <x:v>61.00088119506836</x:v>
      </x:c>
      <x:c r="I296" s="137" t="n">
        <x:v>1126.6100039991222</x:v>
      </x:c>
      <x:c r="J296" s="137" t="n">
        <x:v>1115.3505533160446</x:v>
      </x:c>
      <x:c r="K296" s="136" t="str">
        <x:v>map-15</x:v>
      </x:c>
      <x:c r="L296" s="136" t="str">
        <x:v>Antietam | Skirmish | Hooker's Push||Spawn | CSA Spawnpoint_HP_Defend_CSA_6thLA [map-15/005]</x:v>
      </x:c>
      <x:c r="M296" s="35"/>
      <x:c r="N296" s="35"/>
      <x:c r="O296" s="35"/>
      <x:c r="P296" s="35"/>
      <x:c r="Q296" s="35"/>
      <x:c r="R296" s="35"/>
      <x:c r="S296" s="35"/>
      <x:c r="T296" s="35"/>
      <x:c r="U296" s="35"/>
      <x:c r="V296" s="35"/>
      <x:c r="W296" s="35"/>
      <x:c r="X296" s="35"/>
      <x:c r="Y296" s="35"/>
      <x:c r="Z296" s="35"/>
      <x:c r="AA296" s="35"/>
    </x:row>
    <x:row r="297">
      <x:c r="A297" s="136" t="str">
        <x:v>Antietam | Skirmish | Hooker's Push</x:v>
      </x:c>
      <x:c r="B297" s="136" t="str">
        <x:v>Spawn | CSA Spawnpoint_HP_Base_CSA_13thGA-2 [map-15/006]</x:v>
      </x:c>
      <x:c r="C297" s="136" t="str">
        <x:v>spawn</x:v>
      </x:c>
      <x:c r="D297" s="136" t="str">
        <x:v>CSA</x:v>
      </x:c>
      <x:c r="E297" s="136" t="str">
        <x:v>Spawnpoint_HP_Base_CSA_13thGA-2</x:v>
      </x:c>
      <x:c r="F297" s="137" t="n">
        <x:v>529.6063232421875</x:v>
      </x:c>
      <x:c r="G297" s="137" t="n">
        <x:v>2556.829833984375</x:v>
      </x:c>
      <x:c r="H297" s="137" t="n">
        <x:v>62.306190490722656</x:v>
      </x:c>
      <x:c r="I297" s="137" t="n">
        <x:v>818.0762495113263</x:v>
      </x:c>
      <x:c r="J297" s="137" t="n">
        <x:v>1636.130925562881</x:v>
      </x:c>
      <x:c r="K297" s="136" t="str">
        <x:v>map-15</x:v>
      </x:c>
      <x:c r="L297" s="136" t="str">
        <x:v>Antietam | Skirmish | Hooker's Push||Spawn | CSA Spawnpoint_HP_Base_CSA_13thGA-2 [map-15/006]</x:v>
      </x:c>
      <x:c r="M297" s="35"/>
      <x:c r="N297" s="35"/>
      <x:c r="O297" s="35"/>
      <x:c r="P297" s="35"/>
      <x:c r="Q297" s="35"/>
      <x:c r="R297" s="35"/>
      <x:c r="S297" s="35"/>
      <x:c r="T297" s="35"/>
      <x:c r="U297" s="35"/>
      <x:c r="V297" s="35"/>
      <x:c r="W297" s="35"/>
      <x:c r="X297" s="35"/>
      <x:c r="Y297" s="35"/>
      <x:c r="Z297" s="35"/>
      <x:c r="AA297" s="35"/>
    </x:row>
    <x:row r="298">
      <x:c r="A298" s="136" t="str">
        <x:v>Antietam | Skirmish | Hooker's Push</x:v>
      </x:c>
      <x:c r="B298" s="136" t="str">
        <x:v>Spawn | USA Spawnpoint_HP_Base_USA_2ndUSSS [map-15/007]</x:v>
      </x:c>
      <x:c r="C298" s="136" t="str">
        <x:v>spawn</x:v>
      </x:c>
      <x:c r="D298" s="136" t="str">
        <x:v>USA</x:v>
      </x:c>
      <x:c r="E298" s="136" t="str">
        <x:v>Spawnpoint_HP_Base_USA_2ndUSSS</x:v>
      </x:c>
      <x:c r="F298" s="137" t="n">
        <x:v>1480.1842041015625</x:v>
      </x:c>
      <x:c r="G298" s="137" t="n">
        <x:v>3246.0166015625</x:v>
      </x:c>
      <x:c r="H298" s="137" t="n">
        <x:v>56.02541732788086</x:v>
      </x:c>
      <x:c r="I298" s="137" t="n">
        <x:v>848.7591561033455</x:v>
      </x:c>
      <x:c r="J298" s="137" t="n">
        <x:v>324.2478837283078</x:v>
      </x:c>
      <x:c r="K298" s="136" t="str">
        <x:v>map-15</x:v>
      </x:c>
      <x:c r="L298" s="136" t="str">
        <x:v>Antietam | Skirmish | Hooker's Push||Spawn | USA Spawnpoint_HP_Base_USA_2ndUSSS [map-15/007]</x:v>
      </x:c>
      <x:c r="M298" s="35"/>
      <x:c r="N298" s="35"/>
      <x:c r="O298" s="35"/>
      <x:c r="P298" s="35"/>
      <x:c r="Q298" s="35"/>
      <x:c r="R298" s="35"/>
      <x:c r="S298" s="35"/>
      <x:c r="T298" s="35"/>
      <x:c r="U298" s="35"/>
      <x:c r="V298" s="35"/>
      <x:c r="W298" s="35"/>
      <x:c r="X298" s="35"/>
      <x:c r="Y298" s="35"/>
      <x:c r="Z298" s="35"/>
      <x:c r="AA298" s="35"/>
    </x:row>
    <x:row r="299">
      <x:c r="A299" s="136" t="str">
        <x:v>Antietam | Skirmish | Hooker's Push</x:v>
      </x:c>
      <x:c r="B299" s="136" t="str">
        <x:v>Spawn | CSA Spawnpoint_HP_Base_CSA_13thGA [map-15/008]</x:v>
      </x:c>
      <x:c r="C299" s="136" t="str">
        <x:v>spawn</x:v>
      </x:c>
      <x:c r="D299" s="136" t="str">
        <x:v>CSA</x:v>
      </x:c>
      <x:c r="E299" s="136" t="str">
        <x:v>Spawnpoint_HP_Base_CSA_13thGA</x:v>
      </x:c>
      <x:c r="F299" s="137" t="n">
        <x:v>516.2991333007812</x:v>
      </x:c>
      <x:c r="G299" s="137" t="n">
        <x:v>2569.33203125</x:v>
      </x:c>
      <x:c r="H299" s="137" t="n">
        <x:v>63.580467224121094</x:v>
      </x:c>
      <x:c r="I299" s="137" t="n">
        <x:v>797.9496661339077</x:v>
      </x:c>
      <x:c r="J299" s="137" t="n">
        <x:v>1639.500347671184</x:v>
      </x:c>
      <x:c r="K299" s="136" t="str">
        <x:v>map-15</x:v>
      </x:c>
      <x:c r="L299" s="136" t="str">
        <x:v>Antietam | Skirmish | Hooker's Push||Spawn | CSA Spawnpoint_HP_Base_CSA_13thGA [map-15/008]</x:v>
      </x:c>
      <x:c r="M299" s="35"/>
      <x:c r="N299" s="35"/>
      <x:c r="O299" s="35"/>
      <x:c r="P299" s="35"/>
      <x:c r="Q299" s="35"/>
      <x:c r="R299" s="35"/>
      <x:c r="S299" s="35"/>
      <x:c r="T299" s="35"/>
      <x:c r="U299" s="35"/>
      <x:c r="V299" s="35"/>
      <x:c r="W299" s="35"/>
      <x:c r="X299" s="35"/>
      <x:c r="Y299" s="35"/>
      <x:c r="Z299" s="35"/>
      <x:c r="AA299" s="35"/>
    </x:row>
    <x:row r="300">
      <x:c r="A300" s="136" t="str">
        <x:v>Antietam | Skirmish | Hooker's Push</x:v>
      </x:c>
      <x:c r="B300" s="136" t="str">
        <x:v>Spawn | CSA Spawnpoint_HP_Base_CSA_6thLA [map-15/009]</x:v>
      </x:c>
      <x:c r="C300" s="136" t="str">
        <x:v>spawn</x:v>
      </x:c>
      <x:c r="D300" s="136" t="str">
        <x:v>CSA</x:v>
      </x:c>
      <x:c r="E300" s="136" t="str">
        <x:v>Spawnpoint_HP_Base_CSA_6thLA</x:v>
      </x:c>
      <x:c r="F300" s="137" t="n">
        <x:v>542.2528686523438</x:v>
      </x:c>
      <x:c r="G300" s="137" t="n">
        <x:v>2544.31787109375</x:v>
      </x:c>
      <x:c r="H300" s="137" t="n">
        <x:v>61.55891799926758</x:v>
      </x:c>
      <x:c r="I300" s="137" t="n">
        <x:v>837.7642594379683</x:v>
      </x:c>
      <x:c r="J300" s="137" t="n">
        <x:v>1633.3555936259065</x:v>
      </x:c>
      <x:c r="K300" s="136" t="str">
        <x:v>map-15</x:v>
      </x:c>
      <x:c r="L300" s="136" t="str">
        <x:v>Antietam | Skirmish | Hooker's Push||Spawn | CSA Spawnpoint_HP_Base_CSA_6thLA [map-15/009]</x:v>
      </x:c>
      <x:c r="M300" s="35"/>
      <x:c r="N300" s="35"/>
      <x:c r="O300" s="35"/>
      <x:c r="P300" s="35"/>
      <x:c r="Q300" s="35"/>
      <x:c r="R300" s="35"/>
      <x:c r="S300" s="35"/>
      <x:c r="T300" s="35"/>
      <x:c r="U300" s="35"/>
      <x:c r="V300" s="35"/>
      <x:c r="W300" s="35"/>
      <x:c r="X300" s="35"/>
      <x:c r="Y300" s="35"/>
      <x:c r="Z300" s="35"/>
      <x:c r="AA300" s="35"/>
    </x:row>
    <x:row r="301">
      <x:c r="A301" s="136" t="str">
        <x:v>Antietam | Skirmish | Hooker's Push</x:v>
      </x:c>
      <x:c r="B301" s="136" t="str">
        <x:v>Spawn | CSA Spawnpoint_HP_Defend_CSA_6thLA-2 [map-15/010]</x:v>
      </x:c>
      <x:c r="C301" s="136" t="str">
        <x:v>spawn</x:v>
      </x:c>
      <x:c r="D301" s="136" t="str">
        <x:v>CSA</x:v>
      </x:c>
      <x:c r="E301" s="136" t="str">
        <x:v>Spawnpoint_HP_Defend_CSA_6thLA-2</x:v>
      </x:c>
      <x:c r="F301" s="137" t="n">
        <x:v>1079.718505859375</x:v>
      </x:c>
      <x:c r="G301" s="137" t="n">
        <x:v>2612.294921875</x:v>
      </x:c>
      <x:c r="H301" s="137" t="n">
        <x:v>61.06611251831055</x:v>
      </x:c>
      <x:c r="I301" s="137" t="n">
        <x:v>1141.180806158131</x:v>
      </x:c>
      <x:c r="J301" s="137" t="n">
        <x:v>1109.393139327924</x:v>
      </x:c>
      <x:c r="K301" s="136" t="str">
        <x:v>map-15</x:v>
      </x:c>
      <x:c r="L301" s="136" t="str">
        <x:v>Antietam | Skirmish | Hooker's Push||Spawn | CSA Spawnpoint_HP_Defend_CSA_6thLA-2 [map-15/010]</x:v>
      </x:c>
      <x:c r="M301" s="35"/>
      <x:c r="N301" s="35"/>
      <x:c r="O301" s="35"/>
      <x:c r="P301" s="35"/>
      <x:c r="Q301" s="35"/>
      <x:c r="R301" s="35"/>
      <x:c r="S301" s="35"/>
      <x:c r="T301" s="35"/>
      <x:c r="U301" s="35"/>
      <x:c r="V301" s="35"/>
      <x:c r="W301" s="35"/>
      <x:c r="X301" s="35"/>
      <x:c r="Y301" s="35"/>
      <x:c r="Z301" s="35"/>
      <x:c r="AA301" s="35"/>
    </x:row>
    <x:row r="302">
      <x:c r="A302" s="136" t="str">
        <x:v>Antietam | Skirmish | Hooker's Push</x:v>
      </x:c>
      <x:c r="B302" s="136" t="str">
        <x:v>Artillery | CSA Spawnpoint_HP_CSA_Arty_Jordan_Forward [map-15/011]</x:v>
      </x:c>
      <x:c r="C302" s="136" t="str">
        <x:v>battery</x:v>
      </x:c>
      <x:c r="D302" s="136" t="str">
        <x:v>CSA</x:v>
      </x:c>
      <x:c r="E302" s="136" t="str">
        <x:v>Spawnpoint_HP_CSA_Arty_Jordan_Forward</x:v>
      </x:c>
      <x:c r="F302" s="137" t="n">
        <x:v>905.8506469726562</x:v>
      </x:c>
      <x:c r="G302" s="137" t="n">
        <x:v>2362.685302734375</x:v>
      </x:c>
      <x:c r="H302" s="137" t="n">
        <x:v>60.86442565917969</x:v>
      </x:c>
      <x:c r="I302" s="137" t="n">
        <x:v>1245.437560432934</x:v>
      </x:c>
      <x:c r="J302" s="137" t="n">
        <x:v>1432.9914745015556</x:v>
      </x:c>
      <x:c r="K302" s="136" t="str">
        <x:v>map-15</x:v>
      </x:c>
      <x:c r="L302" s="136" t="str">
        <x:v>Antietam | Skirmish | Hooker's Push||Artillery | CSA Spawnpoint_HP_CSA_Arty_Jordan_Forward [map-15/011]</x:v>
      </x:c>
      <x:c r="M302" s="35"/>
      <x:c r="N302" s="35"/>
      <x:c r="O302" s="35"/>
      <x:c r="P302" s="35"/>
      <x:c r="Q302" s="35"/>
      <x:c r="R302" s="35"/>
      <x:c r="S302" s="35"/>
      <x:c r="T302" s="35"/>
      <x:c r="U302" s="35"/>
      <x:c r="V302" s="35"/>
      <x:c r="W302" s="35"/>
      <x:c r="X302" s="35"/>
      <x:c r="Y302" s="35"/>
      <x:c r="Z302" s="35"/>
      <x:c r="AA302" s="35"/>
    </x:row>
    <x:row r="303">
      <x:c r="A303" s="136" t="str">
        <x:v>Antietam | Skirmish | Hooker's Push</x:v>
      </x:c>
      <x:c r="B303" s="136" t="str">
        <x:v>Spawn | USA Spawnpoint_HP_Base_USA_2ndWI [map-15/012]</x:v>
      </x:c>
      <x:c r="C303" s="136" t="str">
        <x:v>spawn</x:v>
      </x:c>
      <x:c r="D303" s="136" t="str">
        <x:v>USA</x:v>
      </x:c>
      <x:c r="E303" s="136" t="str">
        <x:v>Spawnpoint_HP_Base_USA_2ndWI</x:v>
      </x:c>
      <x:c r="F303" s="137" t="n">
        <x:v>1472.5303955078125</x:v>
      </x:c>
      <x:c r="G303" s="137" t="n">
        <x:v>3257.216552734375</x:v>
      </x:c>
      <x:c r="H303" s="137" t="n">
        <x:v>56.811912536621094</x:v>
      </x:c>
      <x:c r="I303" s="137" t="n">
        <x:v>833.6179457972239</x:v>
      </x:c>
      <x:c r="J303" s="137" t="n">
        <x:v>323.4716536486821</x:v>
      </x:c>
      <x:c r="K303" s="136" t="str">
        <x:v>map-15</x:v>
      </x:c>
      <x:c r="L303" s="136" t="str">
        <x:v>Antietam | Skirmish | Hooker's Push||Spawn | USA Spawnpoint_HP_Base_USA_2ndWI [map-15/012]</x:v>
      </x:c>
      <x:c r="M303" s="35"/>
      <x:c r="N303" s="35"/>
      <x:c r="O303" s="35"/>
      <x:c r="P303" s="35"/>
      <x:c r="Q303" s="35"/>
      <x:c r="R303" s="35"/>
      <x:c r="S303" s="35"/>
      <x:c r="T303" s="35"/>
      <x:c r="U303" s="35"/>
      <x:c r="V303" s="35"/>
      <x:c r="W303" s="35"/>
      <x:c r="X303" s="35"/>
      <x:c r="Y303" s="35"/>
      <x:c r="Z303" s="35"/>
      <x:c r="AA303" s="35"/>
    </x:row>
    <x:row r="304">
      <x:c r="A304" s="136" t="str">
        <x:v>Antietam | Skirmish | Hooker's Push</x:v>
      </x:c>
      <x:c r="B304" s="136" t="str">
        <x:v>Spawn | USA Spawnpoint_HP_Base_USA_2ndWI-2 [map-15/013]</x:v>
      </x:c>
      <x:c r="C304" s="136" t="str">
        <x:v>spawn</x:v>
      </x:c>
      <x:c r="D304" s="136" t="str">
        <x:v>USA</x:v>
      </x:c>
      <x:c r="E304" s="136" t="str">
        <x:v>Spawnpoint_HP_Base_USA_2ndWI-2</x:v>
      </x:c>
      <x:c r="F304" s="137" t="n">
        <x:v>1456.9625244140625</x:v>
      </x:c>
      <x:c r="G304" s="137" t="n">
        <x:v>3239.475830078125</x:v>
      </x:c>
      <x:c r="H304" s="137" t="n">
        <x:v>56.34202194213867</x:v>
      </x:c>
      <x:c r="I304" s="137" t="n">
        <x:v>838.854424681979</x:v>
      </x:c>
      <x:c r="J304" s="137" t="n">
        <x:v>349.32590028374034</x:v>
      </x:c>
      <x:c r="K304" s="136" t="str">
        <x:v>map-15</x:v>
      </x:c>
      <x:c r="L304" s="136" t="str">
        <x:v>Antietam | Skirmish | Hooker's Push||Spawn | USA Spawnpoint_HP_Base_USA_2ndWI-2 [map-15/013]</x:v>
      </x:c>
      <x:c r="M304" s="35"/>
      <x:c r="N304" s="35"/>
      <x:c r="O304" s="35"/>
      <x:c r="P304" s="35"/>
      <x:c r="Q304" s="35"/>
      <x:c r="R304" s="35"/>
      <x:c r="S304" s="35"/>
      <x:c r="T304" s="35"/>
      <x:c r="U304" s="35"/>
      <x:c r="V304" s="35"/>
      <x:c r="W304" s="35"/>
      <x:c r="X304" s="35"/>
      <x:c r="Y304" s="35"/>
      <x:c r="Z304" s="35"/>
      <x:c r="AA304" s="35"/>
    </x:row>
    <x:row r="305">
      <x:c r="A305" s="136" t="str">
        <x:v>Antietam | Skirmish | Hooker's Push</x:v>
      </x:c>
      <x:c r="B305" s="136" t="str">
        <x:v>Artillery | USA Spawnpoint_HP_USA_Arty_Matthews_Forward [map-15/014]</x:v>
      </x:c>
      <x:c r="C305" s="136" t="str">
        <x:v>battery</x:v>
      </x:c>
      <x:c r="D305" s="136" t="str">
        <x:v>USA</x:v>
      </x:c>
      <x:c r="E305" s="136" t="str">
        <x:v>Spawnpoint_HP_USA_Arty_Matthews_Forward</x:v>
      </x:c>
      <x:c r="F305" s="137" t="n">
        <x:v>1319.8756103515625</x:v>
      </x:c>
      <x:c r="G305" s="137" t="n">
        <x:v>2968.640625</x:v>
      </x:c>
      <x:c r="H305" s="137" t="n">
        <x:v>62.86933517456055</x:v>
      </x:c>
      <x:c r="I305" s="137" t="n">
        <x:v>986.8868191595482</x:v>
      </x:c>
      <x:c r="J305" s="137" t="n">
        <x:v>654.5865027077965</x:v>
      </x:c>
      <x:c r="K305" s="136" t="str">
        <x:v>map-15</x:v>
      </x:c>
      <x:c r="L305" s="136" t="str">
        <x:v>Antietam | Skirmish | Hooker's Push||Artillery | USA Spawnpoint_HP_USA_Arty_Matthews_Forward [map-15/014]</x:v>
      </x:c>
      <x:c r="M305" s="35"/>
      <x:c r="N305" s="35"/>
      <x:c r="O305" s="35"/>
      <x:c r="P305" s="35"/>
      <x:c r="Q305" s="35"/>
      <x:c r="R305" s="35"/>
      <x:c r="S305" s="35"/>
      <x:c r="T305" s="35"/>
      <x:c r="U305" s="35"/>
      <x:c r="V305" s="35"/>
      <x:c r="W305" s="35"/>
      <x:c r="X305" s="35"/>
      <x:c r="Y305" s="35"/>
      <x:c r="Z305" s="35"/>
      <x:c r="AA305" s="35"/>
    </x:row>
    <x:row r="306">
      <x:c r="A306" s="136" t="str">
        <x:v>Antietam | Skirmish | Hooker's Push</x:v>
      </x:c>
      <x:c r="B306" s="136" t="str">
        <x:v>Artillery | CSA Spawnpoint_HP_CSA_Arty_Brockenbrough_Forward [map-15/015]</x:v>
      </x:c>
      <x:c r="C306" s="136" t="str">
        <x:v>battery</x:v>
      </x:c>
      <x:c r="D306" s="136" t="str">
        <x:v>CSA</x:v>
      </x:c>
      <x:c r="E306" s="136" t="str">
        <x:v>Spawnpoint_HP_CSA_Arty_Brockenbrough_Forward</x:v>
      </x:c>
      <x:c r="F306" s="137" t="n">
        <x:v>703.1757202148438</x:v>
      </x:c>
      <x:c r="G306" s="137" t="n">
        <x:v>2652.31982421875</x:v>
      </x:c>
      <x:c r="H306" s="137" t="n">
        <x:v>61.463199615478516</x:v>
      </x:c>
      <x:c r="I306" s="137" t="n">
        <x:v>850.668473716204</x:v>
      </x:c>
      <x:c r="J306" s="137" t="n">
        <x:v>1417.1372655330722</x:v>
      </x:c>
      <x:c r="K306" s="136" t="str">
        <x:v>map-15</x:v>
      </x:c>
      <x:c r="L306" s="136" t="str">
        <x:v>Antietam | Skirmish | Hooker's Push||Artillery | CSA Spawnpoint_HP_CSA_Arty_Brockenbrough_Forward [map-15/015]</x:v>
      </x:c>
      <x:c r="M306" s="35"/>
      <x:c r="N306" s="35"/>
      <x:c r="O306" s="35"/>
      <x:c r="P306" s="35"/>
      <x:c r="Q306" s="35"/>
      <x:c r="R306" s="35"/>
      <x:c r="S306" s="35"/>
      <x:c r="T306" s="35"/>
      <x:c r="U306" s="35"/>
      <x:c r="V306" s="35"/>
      <x:c r="W306" s="35"/>
      <x:c r="X306" s="35"/>
      <x:c r="Y306" s="35"/>
      <x:c r="Z306" s="35"/>
      <x:c r="AA306" s="35"/>
    </x:row>
    <x:row r="307">
      <x:c r="A307" s="136" t="str">
        <x:v>Antietam | Skirmish | Hooker's Push</x:v>
      </x:c>
      <x:c r="B307" s="136" t="str">
        <x:v>Artillery | CSA Spawnpoint_HP_CSA_Arty_Poague_Forward [map-15/016]</x:v>
      </x:c>
      <x:c r="C307" s="136" t="str">
        <x:v>battery</x:v>
      </x:c>
      <x:c r="D307" s="136" t="str">
        <x:v>CSA</x:v>
      </x:c>
      <x:c r="E307" s="136" t="str">
        <x:v>Spawnpoint_HP_CSA_Arty_Poague_Forward</x:v>
      </x:c>
      <x:c r="F307" s="137" t="n">
        <x:v>783.9169311523438</x:v>
      </x:c>
      <x:c r="G307" s="137" t="n">
        <x:v>2733.3583984375</x:v>
      </x:c>
      <x:c r="H307" s="137" t="n">
        <x:v>61.6307258605957</x:v>
      </x:c>
      <x:c r="I307" s="137" t="n">
        <x:v>833.2667845253596</x:v>
      </x:c>
      <x:c r="J307" s="137" t="n">
        <x:v>1290.474799724184</x:v>
      </x:c>
      <x:c r="K307" s="136" t="str">
        <x:v>map-15</x:v>
      </x:c>
      <x:c r="L307" s="136" t="str">
        <x:v>Antietam | Skirmish | Hooker's Push||Artillery | CSA Spawnpoint_HP_CSA_Arty_Poague_Forward [map-15/016]</x:v>
      </x:c>
      <x:c r="M307" s="35"/>
      <x:c r="N307" s="35"/>
      <x:c r="O307" s="35"/>
      <x:c r="P307" s="35"/>
      <x:c r="Q307" s="35"/>
      <x:c r="R307" s="35"/>
      <x:c r="S307" s="35"/>
      <x:c r="T307" s="35"/>
      <x:c r="U307" s="35"/>
      <x:c r="V307" s="35"/>
      <x:c r="W307" s="35"/>
      <x:c r="X307" s="35"/>
      <x:c r="Y307" s="35"/>
      <x:c r="Z307" s="35"/>
      <x:c r="AA307" s="35"/>
    </x:row>
    <x:row r="308">
      <x:c r="A308" s="136" t="str">
        <x:v>Antietam | Skirmish | Hooker's Push</x:v>
      </x:c>
      <x:c r="B308" s="136" t="str">
        <x:v>Objective | Victory_Hookers_Push [map-15/017]</x:v>
      </x:c>
      <x:c r="C308" s="136" t="str">
        <x:v>objective</x:v>
      </x:c>
      <x:c r="D308" s="136" t="str"/>
      <x:c r="E308" s="136" t="str">
        <x:v>Victory_Hookers_Push</x:v>
      </x:c>
      <x:c r="F308" s="137" t="n">
        <x:v>1044.711181640625</x:v>
      </x:c>
      <x:c r="G308" s="137" t="n">
        <x:v>2625.4267578125</x:v>
      </x:c>
      <x:c r="H308" s="137" t="n">
        <x:v>61.407447814941406</x:v>
      </x:c>
      <x:c r="I308" s="137" t="n">
        <x:v>1105.8032857847356</x:v>
      </x:c>
      <x:c r="J308" s="137" t="n">
        <x:v>1131.6331615309957</x:v>
      </x:c>
      <x:c r="K308" s="136" t="str">
        <x:v>map-15</x:v>
      </x:c>
      <x:c r="L308" s="136" t="str">
        <x:v>Antietam | Skirmish | Hooker's Push||Objective | Victory_Hookers_Push [map-15/017]</x:v>
      </x:c>
      <x:c r="M308" s="35"/>
      <x:c r="N308" s="35"/>
      <x:c r="O308" s="35"/>
      <x:c r="P308" s="35"/>
      <x:c r="Q308" s="35"/>
      <x:c r="R308" s="35"/>
      <x:c r="S308" s="35"/>
      <x:c r="T308" s="35"/>
      <x:c r="U308" s="35"/>
      <x:c r="V308" s="35"/>
      <x:c r="W308" s="35"/>
      <x:c r="X308" s="35"/>
      <x:c r="Y308" s="35"/>
      <x:c r="Z308" s="35"/>
      <x:c r="AA308" s="35"/>
    </x:row>
    <x:row r="309">
      <x:c r="A309" s="136" t="str">
        <x:v>Antietam | Skirmish | Hooker's Push</x:v>
      </x:c>
      <x:c r="B309" s="136" t="str">
        <x:v>Spawn | CSA Spawnpoint_HP_Base_CSA_6thLA-2 [map-15/018]</x:v>
      </x:c>
      <x:c r="C309" s="136" t="str">
        <x:v>spawn</x:v>
      </x:c>
      <x:c r="D309" s="136" t="str">
        <x:v>CSA</x:v>
      </x:c>
      <x:c r="E309" s="136" t="str">
        <x:v>Spawnpoint_HP_Base_CSA_6thLA-2</x:v>
      </x:c>
      <x:c r="F309" s="137" t="n">
        <x:v>555.1854248046875</x:v>
      </x:c>
      <x:c r="G309" s="137" t="n">
        <x:v>2531.747802734375</x:v>
      </x:c>
      <x:c r="H309" s="137" t="n">
        <x:v>61.32183837890625</x:v>
      </x:c>
      <x:c r="I309" s="137" t="n">
        <x:v>857.6975695020349</x:v>
      </x:c>
      <x:c r="J309" s="137" t="n">
        <x:v>1630.36526385119</x:v>
      </x:c>
      <x:c r="K309" s="136" t="str">
        <x:v>map-15</x:v>
      </x:c>
      <x:c r="L309" s="136" t="str">
        <x:v>Antietam | Skirmish | Hooker's Push||Spawn | CSA Spawnpoint_HP_Base_CSA_6thLA-2 [map-15/018]</x:v>
      </x:c>
      <x:c r="M309" s="35"/>
      <x:c r="N309" s="35"/>
      <x:c r="O309" s="35"/>
      <x:c r="P309" s="35"/>
      <x:c r="Q309" s="35"/>
      <x:c r="R309" s="35"/>
      <x:c r="S309" s="35"/>
      <x:c r="T309" s="35"/>
      <x:c r="U309" s="35"/>
      <x:c r="V309" s="35"/>
      <x:c r="W309" s="35"/>
      <x:c r="X309" s="35"/>
      <x:c r="Y309" s="35"/>
      <x:c r="Z309" s="35"/>
      <x:c r="AA309" s="35"/>
    </x:row>
    <x:row r="310">
      <x:c r="A310" s="136" t="str">
        <x:v>Antietam | Skirmish | Hooker's Push</x:v>
      </x:c>
      <x:c r="B310" s="136" t="str">
        <x:v>Spawn | USA Spawnpoint_HP_Base_USA_6thWI [map-15/019]</x:v>
      </x:c>
      <x:c r="C310" s="136" t="str">
        <x:v>spawn</x:v>
      </x:c>
      <x:c r="D310" s="136" t="str">
        <x:v>USA</x:v>
      </x:c>
      <x:c r="E310" s="136" t="str">
        <x:v>Spawnpoint_HP_Base_USA_6thWI</x:v>
      </x:c>
      <x:c r="F310" s="137" t="n">
        <x:v>1463.5902099609375</x:v>
      </x:c>
      <x:c r="G310" s="137" t="n">
        <x:v>3227.09619140625</x:v>
      </x:c>
      <x:c r="H310" s="137" t="n">
        <x:v>55.377037048339844</x:v>
      </x:c>
      <x:c r="I310" s="137" t="n">
        <x:v>854.3499861457492</x:v>
      </x:c>
      <x:c r="J310" s="137" t="n">
        <x:v>351.8132619045904</x:v>
      </x:c>
      <x:c r="K310" s="136" t="str">
        <x:v>map-15</x:v>
      </x:c>
      <x:c r="L310" s="136" t="str">
        <x:v>Antietam | Skirmish | Hooker's Push||Spawn | USA Spawnpoint_HP_Base_USA_6thWI [map-15/019]</x:v>
      </x:c>
      <x:c r="M310" s="35"/>
      <x:c r="N310" s="35"/>
      <x:c r="O310" s="35"/>
      <x:c r="P310" s="35"/>
      <x:c r="Q310" s="35"/>
      <x:c r="R310" s="35"/>
      <x:c r="S310" s="35"/>
      <x:c r="T310" s="35"/>
      <x:c r="U310" s="35"/>
      <x:c r="V310" s="35"/>
      <x:c r="W310" s="35"/>
      <x:c r="X310" s="35"/>
      <x:c r="Y310" s="35"/>
      <x:c r="Z310" s="35"/>
      <x:c r="AA310" s="35"/>
    </x:row>
    <x:row r="311">
      <x:c r="A311" s="136" t="str">
        <x:v>Antietam | Skirmish | Hooker's Push</x:v>
      </x:c>
      <x:c r="B311" s="136" t="str">
        <x:v>Artillery | USA Spawnpoint_HP_USA_Arty_Thompson_Forward [map-15/020]</x:v>
      </x:c>
      <x:c r="C311" s="136" t="str">
        <x:v>battery</x:v>
      </x:c>
      <x:c r="D311" s="136" t="str">
        <x:v>USA</x:v>
      </x:c>
      <x:c r="E311" s="136" t="str">
        <x:v>Spawnpoint_HP_USA_Arty_Thompson_Forward</x:v>
      </x:c>
      <x:c r="F311" s="137" t="n">
        <x:v>1301.65283203125</x:v>
      </x:c>
      <x:c r="G311" s="137" t="n">
        <x:v>3103.351806640625</x:v>
      </x:c>
      <x:c r="H311" s="137" t="n">
        <x:v>62.242733001708984</x:v>
      </x:c>
      <x:c r="I311" s="137" t="n">
        <x:v>854.7579091292806</x:v>
      </x:c>
      <x:c r="J311" s="137" t="n">
        <x:v>579.591413307459</x:v>
      </x:c>
      <x:c r="K311" s="136" t="str">
        <x:v>map-15</x:v>
      </x:c>
      <x:c r="L311" s="136" t="str">
        <x:v>Antietam | Skirmish | Hooker's Push||Artillery | USA Spawnpoint_HP_USA_Arty_Thompson_Forward [map-15/020]</x:v>
      </x:c>
      <x:c r="M311" s="35"/>
      <x:c r="N311" s="35"/>
      <x:c r="O311" s="35"/>
      <x:c r="P311" s="35"/>
      <x:c r="Q311" s="35"/>
      <x:c r="R311" s="35"/>
      <x:c r="S311" s="35"/>
      <x:c r="T311" s="35"/>
      <x:c r="U311" s="35"/>
      <x:c r="V311" s="35"/>
      <x:c r="W311" s="35"/>
      <x:c r="X311" s="35"/>
      <x:c r="Y311" s="35"/>
      <x:c r="Z311" s="35"/>
      <x:c r="AA311" s="35"/>
    </x:row>
    <x:row r="312">
      <x:c r="A312" s="136" t="str">
        <x:v>Antietam | Skirmish | Hooker's Push</x:v>
      </x:c>
      <x:c r="B312" s="136" t="str">
        <x:v>Gun | 12-pounder Napoleon (USA) · Entity-1171 [map-15/021]</x:v>
      </x:c>
      <x:c r="C312" s="136" t="str">
        <x:v>gun_spawn</x:v>
      </x:c>
      <x:c r="D312" s="136" t="str"/>
      <x:c r="E312" s="136" t="str">
        <x:v>12-pounder Napoleon (USA) · Entity-1171</x:v>
      </x:c>
      <x:c r="F312" s="137" t="n">
        <x:v>1269.760009765625</x:v>
      </x:c>
      <x:c r="G312" s="137" t="n">
        <x:v>3082.10009765625</x:v>
      </x:c>
      <x:c r="H312" s="137" t="n">
        <x:v>63.20096206665039</x:v>
      </x:c>
      <x:c r="I312" s="137" t="n">
        <x:v>852.0645147233809</x:v>
      </x:c>
      <x:c r="J312" s="137" t="n">
        <x:v>622.3395835752693</x:v>
      </x:c>
      <x:c r="K312" s="136" t="str">
        <x:v>map-15</x:v>
      </x:c>
      <x:c r="L312" s="136" t="str">
        <x:v>Antietam | Skirmish | Hooker's Push||Gun | 12-pounder Napoleon (USA) · Entity-1171 [map-15/021]</x:v>
      </x:c>
      <x:c r="M312" s="35"/>
      <x:c r="N312" s="35"/>
      <x:c r="O312" s="35"/>
      <x:c r="P312" s="35"/>
      <x:c r="Q312" s="35"/>
      <x:c r="R312" s="35"/>
      <x:c r="S312" s="35"/>
      <x:c r="T312" s="35"/>
      <x:c r="U312" s="35"/>
      <x:c r="V312" s="35"/>
      <x:c r="W312" s="35"/>
      <x:c r="X312" s="35"/>
      <x:c r="Y312" s="35"/>
      <x:c r="Z312" s="35"/>
      <x:c r="AA312" s="35"/>
    </x:row>
    <x:row r="313">
      <x:c r="A313" s="136" t="str">
        <x:v>Antietam | Skirmish | Hooker's Push</x:v>
      </x:c>
      <x:c r="B313" s="136" t="str">
        <x:v>Gun | 3-inch Ordnance · Entity-1193 [map-15/022]</x:v>
      </x:c>
      <x:c r="C313" s="136" t="str">
        <x:v>gun_spawn</x:v>
      </x:c>
      <x:c r="D313" s="136" t="str"/>
      <x:c r="E313" s="136" t="str">
        <x:v>3-inch Ordnance · Entity-1193</x:v>
      </x:c>
      <x:c r="F313" s="137" t="n">
        <x:v>886.8870239257812</x:v>
      </x:c>
      <x:c r="G313" s="137" t="n">
        <x:v>2389.3701171875</x:v>
      </x:c>
      <x:c r="H313" s="137" t="n">
        <x:v>63.34879684448242</x:v>
      </x:c>
      <x:c r="I313" s="137" t="n">
        <x:v>1208.8696547613913</x:v>
      </x:c>
      <x:c r="J313" s="137" t="n">
        <x:v>1431.7892280447043</x:v>
      </x:c>
      <x:c r="K313" s="136" t="str">
        <x:v>map-15</x:v>
      </x:c>
      <x:c r="L313" s="136" t="str">
        <x:v>Antietam | Skirmish | Hooker's Push||Gun | 3-inch Ordnance · Entity-1193 [map-15/022]</x:v>
      </x:c>
      <x:c r="M313" s="35"/>
      <x:c r="N313" s="35"/>
      <x:c r="O313" s="35"/>
      <x:c r="P313" s="35"/>
      <x:c r="Q313" s="35"/>
      <x:c r="R313" s="35"/>
      <x:c r="S313" s="35"/>
      <x:c r="T313" s="35"/>
      <x:c r="U313" s="35"/>
      <x:c r="V313" s="35"/>
      <x:c r="W313" s="35"/>
      <x:c r="X313" s="35"/>
      <x:c r="Y313" s="35"/>
      <x:c r="Z313" s="35"/>
      <x:c r="AA313" s="35"/>
    </x:row>
    <x:row r="314">
      <x:c r="A314" s="136" t="str">
        <x:v>Antietam | Skirmish | Hooker's Push</x:v>
      </x:c>
      <x:c r="B314" s="136" t="str">
        <x:v>Gun | 12-pounder Napoleon (USA) · Entity-1201 [map-15/023]</x:v>
      </x:c>
      <x:c r="C314" s="136" t="str">
        <x:v>gun_spawn</x:v>
      </x:c>
      <x:c r="D314" s="136" t="str"/>
      <x:c r="E314" s="136" t="str">
        <x:v>12-pounder Napoleon (USA) · Entity-1201</x:v>
      </x:c>
      <x:c r="F314" s="137" t="n">
        <x:v>733.9169921875</x:v>
      </x:c>
      <x:c r="G314" s="137" t="n">
        <x:v>2668.070068359375</x:v>
      </x:c>
      <x:c r="H314" s="137" t="n">
        <x:v>62.91117858886719</x:v>
      </x:c>
      <x:c r="I314" s="137" t="n">
        <x:v>857.4744497332049</x:v>
      </x:c>
      <x:c r="J314" s="137" t="n">
        <x:v>1379.1376141935173</x:v>
      </x:c>
      <x:c r="K314" s="136" t="str">
        <x:v>map-15</x:v>
      </x:c>
      <x:c r="L314" s="136" t="str">
        <x:v>Antietam | Skirmish | Hooker's Push||Gun | 12-pounder Napoleon (USA) · Entity-1201 [map-15/023]</x:v>
      </x:c>
      <x:c r="M314" s="35"/>
      <x:c r="N314" s="35"/>
      <x:c r="O314" s="35"/>
      <x:c r="P314" s="35"/>
      <x:c r="Q314" s="35"/>
      <x:c r="R314" s="35"/>
      <x:c r="S314" s="35"/>
      <x:c r="T314" s="35"/>
      <x:c r="U314" s="35"/>
      <x:c r="V314" s="35"/>
      <x:c r="W314" s="35"/>
      <x:c r="X314" s="35"/>
      <x:c r="Y314" s="35"/>
      <x:c r="Z314" s="35"/>
      <x:c r="AA314" s="35"/>
    </x:row>
    <x:row r="315">
      <x:c r="A315" s="136" t="str">
        <x:v>Antietam | Skirmish | Hooker's Push</x:v>
      </x:c>
      <x:c r="B315" s="136" t="str">
        <x:v>Gun | 10-pounder Parrott · Entity-1184 [map-15/024]</x:v>
      </x:c>
      <x:c r="C315" s="136" t="str">
        <x:v>gun_spawn</x:v>
      </x:c>
      <x:c r="D315" s="136" t="str"/>
      <x:c r="E315" s="136" t="str">
        <x:v>10-pounder Parrott · Entity-1184</x:v>
      </x:c>
      <x:c r="F315" s="137" t="n">
        <x:v>1319.8199462890625</x:v>
      </x:c>
      <x:c r="G315" s="137" t="n">
        <x:v>2939.47998046875</x:v>
      </x:c>
      <x:c r="H315" s="137" t="n">
        <x:v>62.99903106689453</x:v>
      </x:c>
      <x:c r="I315" s="137" t="n">
        <x:v>1012.78026748181</x:v>
      </x:c>
      <x:c r="J315" s="137" t="n">
        <x:v>674.3778111333738</x:v>
      </x:c>
      <x:c r="K315" s="136" t="str">
        <x:v>map-15</x:v>
      </x:c>
      <x:c r="L315" s="136" t="str">
        <x:v>Antietam | Skirmish | Hooker's Push||Gun | 10-pounder Parrott · Entity-1184 [map-15/024]</x:v>
      </x:c>
      <x:c r="M315" s="35"/>
      <x:c r="N315" s="35"/>
      <x:c r="O315" s="35"/>
      <x:c r="P315" s="35"/>
      <x:c r="Q315" s="35"/>
      <x:c r="R315" s="35"/>
      <x:c r="S315" s="35"/>
      <x:c r="T315" s="35"/>
      <x:c r="U315" s="35"/>
      <x:c r="V315" s="35"/>
      <x:c r="W315" s="35"/>
      <x:c r="X315" s="35"/>
      <x:c r="Y315" s="35"/>
      <x:c r="Z315" s="35"/>
      <x:c r="AA315" s="35"/>
    </x:row>
    <x:row r="316">
      <x:c r="A316" s="136" t="str">
        <x:v>Antietam | Skirmish | Hooker's Push</x:v>
      </x:c>
      <x:c r="B316" s="136" t="str">
        <x:v>Gun | 12-pounder Napoleon (CSA) · Entity-1199 [map-15/025]</x:v>
      </x:c>
      <x:c r="C316" s="136" t="str">
        <x:v>gun_spawn</x:v>
      </x:c>
      <x:c r="D316" s="136" t="str"/>
      <x:c r="E316" s="136" t="str">
        <x:v>12-pounder Napoleon (CSA) · Entity-1199</x:v>
      </x:c>
      <x:c r="F316" s="137" t="n">
        <x:v>726.1690063476562</x:v>
      </x:c>
      <x:c r="G316" s="137" t="n">
        <x:v>2655.199951171875</x:v>
      </x:c>
      <x:c r="H316" s="137" t="n">
        <x:v>61.85126876831055</x:v>
      </x:c>
      <x:c r="I316" s="137" t="n">
        <x:v>863.6738141836945</x:v>
      </x:c>
      <x:c r="J316" s="137" t="n">
        <x:v>1394.740611149875</x:v>
      </x:c>
      <x:c r="K316" s="136" t="str">
        <x:v>map-15</x:v>
      </x:c>
      <x:c r="L316" s="136" t="str">
        <x:v>Antietam | Skirmish | Hooker's Push||Gun | 12-pounder Napoleon (CSA) · Entity-1199 [map-15/025]</x:v>
      </x:c>
      <x:c r="M316" s="35"/>
      <x:c r="N316" s="35"/>
      <x:c r="O316" s="35"/>
      <x:c r="P316" s="35"/>
      <x:c r="Q316" s="35"/>
      <x:c r="R316" s="35"/>
      <x:c r="S316" s="35"/>
      <x:c r="T316" s="35"/>
      <x:c r="U316" s="35"/>
      <x:c r="V316" s="35"/>
      <x:c r="W316" s="35"/>
      <x:c r="X316" s="35"/>
      <x:c r="Y316" s="35"/>
      <x:c r="Z316" s="35"/>
      <x:c r="AA316" s="35"/>
    </x:row>
    <x:row r="317">
      <x:c r="A317" s="136" t="str">
        <x:v>Antietam | Skirmish | Hooker's Push</x:v>
      </x:c>
      <x:c r="B317" s="136" t="str">
        <x:v>Gun | 3-inch Ordnance · Entity-1173 [map-15/026]</x:v>
      </x:c>
      <x:c r="C317" s="136" t="str">
        <x:v>gun_spawn</x:v>
      </x:c>
      <x:c r="D317" s="136" t="str"/>
      <x:c r="E317" s="136" t="str">
        <x:v>3-inch Ordnance · Entity-1173</x:v>
      </x:c>
      <x:c r="F317" s="137" t="n">
        <x:v>1287.72998046875</x:v>
      </x:c>
      <x:c r="G317" s="137" t="n">
        <x:v>3065.31005859375</x:v>
      </x:c>
      <x:c r="H317" s="137" t="n">
        <x:v>62.733699798583984</x:v>
      </x:c>
      <x:c r="I317" s="137" t="n">
        <x:v>879.1607768179107</x:v>
      </x:c>
      <x:c r="J317" s="137" t="n">
        <x:v>617.7266555560312</x:v>
      </x:c>
      <x:c r="K317" s="136" t="str">
        <x:v>map-15</x:v>
      </x:c>
      <x:c r="L317" s="136" t="str">
        <x:v>Antietam | Skirmish | Hooker's Push||Gun | 3-inch Ordnance · Entity-1173 [map-15/026]</x:v>
      </x:c>
      <x:c r="M317" s="35"/>
      <x:c r="N317" s="35"/>
      <x:c r="O317" s="35"/>
      <x:c r="P317" s="35"/>
      <x:c r="Q317" s="35"/>
      <x:c r="R317" s="35"/>
      <x:c r="S317" s="35"/>
      <x:c r="T317" s="35"/>
      <x:c r="U317" s="35"/>
      <x:c r="V317" s="35"/>
      <x:c r="W317" s="35"/>
      <x:c r="X317" s="35"/>
      <x:c r="Y317" s="35"/>
      <x:c r="Z317" s="35"/>
      <x:c r="AA317" s="35"/>
    </x:row>
    <x:row r="318">
      <x:c r="A318" s="136" t="str">
        <x:v>Antietam | Skirmish | Hooker's Push</x:v>
      </x:c>
      <x:c r="B318" s="136" t="str">
        <x:v>Gun | 3-inch Ordnance · Entity-1174 [map-15/027]</x:v>
      </x:c>
      <x:c r="C318" s="136" t="str">
        <x:v>gun_spawn</x:v>
      </x:c>
      <x:c r="D318" s="136" t="str"/>
      <x:c r="E318" s="136" t="str">
        <x:v>3-inch Ordnance · Entity-1174</x:v>
      </x:c>
      <x:c r="F318" s="137" t="n">
        <x:v>1282.1500244140625</x:v>
      </x:c>
      <x:c r="G318" s="137" t="n">
        <x:v>3070.139892578125</x:v>
      </x:c>
      <x:c r="H318" s="137" t="n">
        <x:v>62.89039993286133</x:v>
      </x:c>
      <x:c r="I318" s="137" t="n">
        <x:v>871.0882016608087</x:v>
      </x:c>
      <x:c r="J318" s="137" t="n">
        <x:v>619.4188308434686</x:v>
      </x:c>
      <x:c r="K318" s="136" t="str">
        <x:v>map-15</x:v>
      </x:c>
      <x:c r="L318" s="136" t="str">
        <x:v>Antietam | Skirmish | Hooker's Push||Gun | 3-inch Ordnance · Entity-1174 [map-15/027]</x:v>
      </x:c>
      <x:c r="M318" s="35"/>
      <x:c r="N318" s="35"/>
      <x:c r="O318" s="35"/>
      <x:c r="P318" s="35"/>
      <x:c r="Q318" s="35"/>
      <x:c r="R318" s="35"/>
      <x:c r="S318" s="35"/>
      <x:c r="T318" s="35"/>
      <x:c r="U318" s="35"/>
      <x:c r="V318" s="35"/>
      <x:c r="W318" s="35"/>
      <x:c r="X318" s="35"/>
      <x:c r="Y318" s="35"/>
      <x:c r="Z318" s="35"/>
      <x:c r="AA318" s="35"/>
    </x:row>
    <x:row r="319">
      <x:c r="A319" s="136" t="str">
        <x:v>Antietam | Skirmish | Hooker's Push</x:v>
      </x:c>
      <x:c r="B319" s="136" t="str">
        <x:v>Gun | 12-pounder Napoleon (USA) · Entity-1172 [map-15/028]</x:v>
      </x:c>
      <x:c r="C319" s="136" t="str">
        <x:v>gun_spawn</x:v>
      </x:c>
      <x:c r="D319" s="136" t="str"/>
      <x:c r="E319" s="136" t="str">
        <x:v>12-pounder Napoleon (USA) · Entity-1172</x:v>
      </x:c>
      <x:c r="F319" s="137" t="n">
        <x:v>1276.1600341796875</x:v>
      </x:c>
      <x:c r="G319" s="137" t="n">
        <x:v>3075.85009765625</x:v>
      </x:c>
      <x:c r="H319" s="137" t="n">
        <x:v>63.031898498535156</x:v>
      </x:c>
      <x:c r="I319" s="137" t="n">
        <x:v>861.955161726167</x:v>
      </x:c>
      <x:c r="J319" s="137" t="n">
        <x:v>620.8796166217205</x:v>
      </x:c>
      <x:c r="K319" s="136" t="str">
        <x:v>map-15</x:v>
      </x:c>
      <x:c r="L319" s="136" t="str">
        <x:v>Antietam | Skirmish | Hooker's Push||Gun | 12-pounder Napoleon (USA) · Entity-1172 [map-15/028]</x:v>
      </x:c>
      <x:c r="M319" s="35"/>
      <x:c r="N319" s="35"/>
      <x:c r="O319" s="35"/>
      <x:c r="P319" s="35"/>
      <x:c r="Q319" s="35"/>
      <x:c r="R319" s="35"/>
      <x:c r="S319" s="35"/>
      <x:c r="T319" s="35"/>
      <x:c r="U319" s="35"/>
      <x:c r="V319" s="35"/>
      <x:c r="W319" s="35"/>
      <x:c r="X319" s="35"/>
      <x:c r="Y319" s="35"/>
      <x:c r="Z319" s="35"/>
      <x:c r="AA319" s="35"/>
    </x:row>
    <x:row r="320">
      <x:c r="A320" s="136" t="str">
        <x:v>Antietam | Skirmish | Hooker's Push</x:v>
      </x:c>
      <x:c r="B320" s="136" t="str">
        <x:v>Gun | 10-pounder Parrott · Entity-1182 [map-15/029]</x:v>
      </x:c>
      <x:c r="C320" s="136" t="str">
        <x:v>gun_spawn</x:v>
      </x:c>
      <x:c r="D320" s="136" t="str"/>
      <x:c r="E320" s="136" t="str">
        <x:v>10-pounder Parrott · Entity-1182</x:v>
      </x:c>
      <x:c r="F320" s="137" t="n">
        <x:v>1308.699951171875</x:v>
      </x:c>
      <x:c r="G320" s="137" t="n">
        <x:v>2950.7099609375</x:v>
      </x:c>
      <x:c r="H320" s="137" t="n">
        <x:v>63.5280647277832</x:v>
      </x:c>
      <x:c r="I320" s="137" t="n">
        <x:v>995.2657390458007</x:v>
      </x:c>
      <x:c r="J320" s="137" t="n">
        <x:v>676.6635610788028</x:v>
      </x:c>
      <x:c r="K320" s="136" t="str">
        <x:v>map-15</x:v>
      </x:c>
      <x:c r="L320" s="136" t="str">
        <x:v>Antietam | Skirmish | Hooker's Push||Gun | 10-pounder Parrott · Entity-1182 [map-15/029]</x:v>
      </x:c>
      <x:c r="M320" s="35"/>
      <x:c r="N320" s="35"/>
      <x:c r="O320" s="35"/>
      <x:c r="P320" s="35"/>
      <x:c r="Q320" s="35"/>
      <x:c r="R320" s="35"/>
      <x:c r="S320" s="35"/>
      <x:c r="T320" s="35"/>
      <x:c r="U320" s="35"/>
      <x:c r="V320" s="35"/>
      <x:c r="W320" s="35"/>
      <x:c r="X320" s="35"/>
      <x:c r="Y320" s="35"/>
      <x:c r="Z320" s="35"/>
      <x:c r="AA320" s="35"/>
    </x:row>
    <x:row r="321">
      <x:c r="A321" s="136" t="str">
        <x:v>Antietam | Skirmish | Hooker's Push</x:v>
      </x:c>
      <x:c r="B321" s="136" t="str">
        <x:v>Gun | 12-pounder Napoleon (USA) · Entity-1180 [map-15/030]</x:v>
      </x:c>
      <x:c r="C321" s="136" t="str">
        <x:v>gun_spawn</x:v>
      </x:c>
      <x:c r="D321" s="136" t="str"/>
      <x:c r="E321" s="136" t="str">
        <x:v>12-pounder Napoleon (USA) · Entity-1180</x:v>
      </x:c>
      <x:c r="F321" s="137" t="n">
        <x:v>1297.6099853515625</x:v>
      </x:c>
      <x:c r="G321" s="137" t="n">
        <x:v>2961.1201171875</x:v>
      </x:c>
      <x:c r="H321" s="137" t="n">
        <x:v>63.009796142578125</x:v>
      </x:c>
      <x:c r="I321" s="137" t="n">
        <x:v>978.5005700236561</x:v>
      </x:c>
      <x:c r="J321" s="137" t="n">
        <x:v>679.4776299204584</x:v>
      </x:c>
      <x:c r="K321" s="136" t="str">
        <x:v>map-15</x:v>
      </x:c>
      <x:c r="L321" s="136" t="str">
        <x:v>Antietam | Skirmish | Hooker's Push||Gun | 12-pounder Napoleon (USA) · Entity-1180 [map-15/030]</x:v>
      </x:c>
      <x:c r="M321" s="35"/>
      <x:c r="N321" s="35"/>
      <x:c r="O321" s="35"/>
      <x:c r="P321" s="35"/>
      <x:c r="Q321" s="35"/>
      <x:c r="R321" s="35"/>
      <x:c r="S321" s="35"/>
      <x:c r="T321" s="35"/>
      <x:c r="U321" s="35"/>
      <x:c r="V321" s="35"/>
      <x:c r="W321" s="35"/>
      <x:c r="X321" s="35"/>
      <x:c r="Y321" s="35"/>
      <x:c r="Z321" s="35"/>
      <x:c r="AA321" s="35"/>
    </x:row>
    <x:row r="322">
      <x:c r="A322" s="136" t="str">
        <x:v>Antietam | Skirmish | Hooker's Push</x:v>
      </x:c>
      <x:c r="B322" s="136" t="str">
        <x:v>Gun | 12-pounder Napoleon (USA) · Entity-1192 [map-15/031]</x:v>
      </x:c>
      <x:c r="C322" s="136" t="str">
        <x:v>gun_spawn</x:v>
      </x:c>
      <x:c r="D322" s="136" t="str"/>
      <x:c r="E322" s="136" t="str">
        <x:v>12-pounder Napoleon (USA) · Entity-1192</x:v>
      </x:c>
      <x:c r="F322" s="137" t="n">
        <x:v>896.72900390625</x:v>
      </x:c>
      <x:c r="G322" s="137" t="n">
        <x:v>2385.110107421875</x:v>
      </x:c>
      <x:c r="H322" s="137" t="n">
        <x:v>62.77656936645508</x:v>
      </x:c>
      <x:c r="I322" s="137" t="n">
        <x:v>1219.3209110568084</x:v>
      </x:c>
      <x:c r="J322" s="137" t="n">
        <x:v>1425.9212715924455</x:v>
      </x:c>
      <x:c r="K322" s="136" t="str">
        <x:v>map-15</x:v>
      </x:c>
      <x:c r="L322" s="136" t="str">
        <x:v>Antietam | Skirmish | Hooker's Push||Gun | 12-pounder Napoleon (USA) · Entity-1192 [map-15/031]</x:v>
      </x:c>
      <x:c r="M322" s="35"/>
      <x:c r="N322" s="35"/>
      <x:c r="O322" s="35"/>
      <x:c r="P322" s="35"/>
      <x:c r="Q322" s="35"/>
      <x:c r="R322" s="35"/>
      <x:c r="S322" s="35"/>
      <x:c r="T322" s="35"/>
      <x:c r="U322" s="35"/>
      <x:c r="V322" s="35"/>
      <x:c r="W322" s="35"/>
      <x:c r="X322" s="35"/>
      <x:c r="Y322" s="35"/>
      <x:c r="Z322" s="35"/>
      <x:c r="AA322" s="35"/>
    </x:row>
    <x:row r="323">
      <x:c r="A323" s="136" t="str">
        <x:v>Antietam | Skirmish | Hooker's Push</x:v>
      </x:c>
      <x:c r="B323" s="136" t="str">
        <x:v>Gun | 10-pounder Parrott · Entity-1191 [map-15/032]</x:v>
      </x:c>
      <x:c r="C323" s="136" t="str">
        <x:v>gun_spawn</x:v>
      </x:c>
      <x:c r="D323" s="136" t="str"/>
      <x:c r="E323" s="136" t="str">
        <x:v>10-pounder Parrott · Entity-1191</x:v>
      </x:c>
      <x:c r="F323" s="137" t="n">
        <x:v>719.2849731445312</x:v>
      </x:c>
      <x:c r="G323" s="137" t="n">
        <x:v>2641.56005859375</x:v>
      </x:c>
      <x:c r="H323" s="137" t="n">
        <x:v>61.30485916137695</x:v>
      </x:c>
      <x:c r="I323" s="137" t="n">
        <x:v>871.1425996861093</x:v>
      </x:c>
      <x:c r="J323" s="137" t="n">
        <x:v>1410.096476671859</x:v>
      </x:c>
      <x:c r="K323" s="136" t="str">
        <x:v>map-15</x:v>
      </x:c>
      <x:c r="L323" s="136" t="str">
        <x:v>Antietam | Skirmish | Hooker's Push||Gun | 10-pounder Parrott · Entity-1191 [map-15/032]</x:v>
      </x:c>
      <x:c r="M323" s="35"/>
      <x:c r="N323" s="35"/>
      <x:c r="O323" s="35"/>
      <x:c r="P323" s="35"/>
      <x:c r="Q323" s="35"/>
      <x:c r="R323" s="35"/>
      <x:c r="S323" s="35"/>
      <x:c r="T323" s="35"/>
      <x:c r="U323" s="35"/>
      <x:c r="V323" s="35"/>
      <x:c r="W323" s="35"/>
      <x:c r="X323" s="35"/>
      <x:c r="Y323" s="35"/>
      <x:c r="Z323" s="35"/>
      <x:c r="AA323" s="35"/>
    </x:row>
    <x:row r="324">
      <x:c r="A324" s="136" t="str">
        <x:v>Antietam | Skirmish | Hooker's Push</x:v>
      </x:c>
      <x:c r="B324" s="136" t="str">
        <x:v>Gun | 12-pounder Napoleon (USA) · Entity-1209 [map-15/033]</x:v>
      </x:c>
      <x:c r="C324" s="136" t="str">
        <x:v>gun_spawn</x:v>
      </x:c>
      <x:c r="D324" s="136" t="str"/>
      <x:c r="E324" s="136" t="str">
        <x:v>12-pounder Napoleon (USA) · Entity-1209</x:v>
      </x:c>
      <x:c r="F324" s="137" t="n">
        <x:v>824.9110107421875</x:v>
      </x:c>
      <x:c r="G324" s="137" t="n">
        <x:v>2730.669921875</x:v>
      </x:c>
      <x:c r="H324" s="137" t="n">
        <x:v>60.90746307373047</x:v>
      </x:c>
      <x:c r="I324" s="137" t="n">
        <x:v>863.4105811031295</x:v>
      </x:c>
      <x:c r="J324" s="137" t="n">
        <x:v>1255.8408759908004</x:v>
      </x:c>
      <x:c r="K324" s="136" t="str">
        <x:v>map-15</x:v>
      </x:c>
      <x:c r="L324" s="136" t="str">
        <x:v>Antietam | Skirmish | Hooker's Push||Gun | 12-pounder Napoleon (USA) · Entity-1209 [map-15/033]</x:v>
      </x:c>
      <x:c r="M324" s="35"/>
      <x:c r="N324" s="35"/>
      <x:c r="O324" s="35"/>
      <x:c r="P324" s="35"/>
      <x:c r="Q324" s="35"/>
      <x:c r="R324" s="35"/>
      <x:c r="S324" s="35"/>
      <x:c r="T324" s="35"/>
      <x:c r="U324" s="35"/>
      <x:c r="V324" s="35"/>
      <x:c r="W324" s="35"/>
      <x:c r="X324" s="35"/>
      <x:c r="Y324" s="35"/>
      <x:c r="Z324" s="35"/>
      <x:c r="AA324" s="35"/>
    </x:row>
    <x:row r="325">
      <x:c r="A325" s="136" t="str">
        <x:v>Antietam | Skirmish | Hooker's Push</x:v>
      </x:c>
      <x:c r="B325" s="136" t="str">
        <x:v>Gun | 10-pounder Parrott · Entity-1183 [map-15/034]</x:v>
      </x:c>
      <x:c r="C325" s="136" t="str">
        <x:v>gun_spawn</x:v>
      </x:c>
      <x:c r="D325" s="136" t="str"/>
      <x:c r="E325" s="136" t="str">
        <x:v>10-pounder Parrott · Entity-1183</x:v>
      </x:c>
      <x:c r="F325" s="137" t="n">
        <x:v>1313.9599609375</x:v>
      </x:c>
      <x:c r="G325" s="137" t="n">
        <x:v>2945.1201171875</x:v>
      </x:c>
      <x:c r="H325" s="137" t="n">
        <x:v>63.543006896972656</x:v>
      </x:c>
      <x:c r="I325" s="137" t="n">
        <x:v>1003.7975494483034</x:v>
      </x:c>
      <x:c r="J325" s="137" t="n">
        <x:v>675.7704263425887</x:v>
      </x:c>
      <x:c r="K325" s="136" t="str">
        <x:v>map-15</x:v>
      </x:c>
      <x:c r="L325" s="136" t="str">
        <x:v>Antietam | Skirmish | Hooker's Push||Gun | 10-pounder Parrott · Entity-1183 [map-15/034]</x:v>
      </x:c>
      <x:c r="M325" s="35"/>
      <x:c r="N325" s="35"/>
      <x:c r="O325" s="35"/>
      <x:c r="P325" s="35"/>
      <x:c r="Q325" s="35"/>
      <x:c r="R325" s="35"/>
      <x:c r="S325" s="35"/>
      <x:c r="T325" s="35"/>
      <x:c r="U325" s="35"/>
      <x:c r="V325" s="35"/>
      <x:c r="W325" s="35"/>
      <x:c r="X325" s="35"/>
      <x:c r="Y325" s="35"/>
      <x:c r="Z325" s="35"/>
      <x:c r="AA325" s="35"/>
    </x:row>
    <x:row r="326">
      <x:c r="A326" s="136" t="str">
        <x:v>Antietam | Skirmish | Hooker's Push</x:v>
      </x:c>
      <x:c r="B326" s="136" t="str">
        <x:v>Gun | 12-pounder Napoleon (USA) · Entity-1179 [map-15/035]</x:v>
      </x:c>
      <x:c r="C326" s="136" t="str">
        <x:v>gun_spawn</x:v>
      </x:c>
      <x:c r="D326" s="136" t="str"/>
      <x:c r="E326" s="136" t="str">
        <x:v>12-pounder Napoleon (USA) · Entity-1179</x:v>
      </x:c>
      <x:c r="F326" s="137" t="n">
        <x:v>1292.1400146484375</x:v>
      </x:c>
      <x:c r="G326" s="137" t="n">
        <x:v>2966.75</x:v>
      </x:c>
      <x:c r="H326" s="137" t="n">
        <x:v>62.44883346557617</x:v>
      </x:c>
      <x:c r="I326" s="137" t="n">
        <x:v>969.7910109093289</x:v>
      </x:c>
      <x:c r="J326" s="137" t="n">
        <x:v>680.5303661174788</x:v>
      </x:c>
      <x:c r="K326" s="136" t="str">
        <x:v>map-15</x:v>
      </x:c>
      <x:c r="L326" s="136" t="str">
        <x:v>Antietam | Skirmish | Hooker's Push||Gun | 12-pounder Napoleon (USA) · Entity-1179 [map-15/035]</x:v>
      </x:c>
      <x:c r="M326" s="35"/>
      <x:c r="N326" s="35"/>
      <x:c r="O326" s="35"/>
      <x:c r="P326" s="35"/>
      <x:c r="Q326" s="35"/>
      <x:c r="R326" s="35"/>
      <x:c r="S326" s="35"/>
      <x:c r="T326" s="35"/>
      <x:c r="U326" s="35"/>
      <x:c r="V326" s="35"/>
      <x:c r="W326" s="35"/>
      <x:c r="X326" s="35"/>
      <x:c r="Y326" s="35"/>
      <x:c r="Z326" s="35"/>
      <x:c r="AA326" s="35"/>
    </x:row>
    <x:row r="327">
      <x:c r="A327" s="136" t="str">
        <x:v>Antietam | Skirmish | Hooker's Push</x:v>
      </x:c>
      <x:c r="B327" s="136" t="str">
        <x:v>Gun | 3-inch Ordnance · Entity-1210 [map-15/036]</x:v>
      </x:c>
      <x:c r="C327" s="136" t="str">
        <x:v>gun_spawn</x:v>
      </x:c>
      <x:c r="D327" s="136" t="str"/>
      <x:c r="E327" s="136" t="str">
        <x:v>3-inch Ordnance · Entity-1210</x:v>
      </x:c>
      <x:c r="F327" s="137" t="n">
        <x:v>823.2039794921875</x:v>
      </x:c>
      <x:c r="G327" s="137" t="n">
        <x:v>2721.64990234375</x:v>
      </x:c>
      <x:c r="H327" s="137" t="n">
        <x:v>60.88629913330078</x:v>
      </x:c>
      <x:c r="I327" s="137" t="n">
        <x:v>870.2759794582731</x:v>
      </x:c>
      <x:c r="J327" s="137" t="n">
        <x:v>1263.4654248173076</x:v>
      </x:c>
      <x:c r="K327" s="136" t="str">
        <x:v>map-15</x:v>
      </x:c>
      <x:c r="L327" s="136" t="str">
        <x:v>Antietam | Skirmish | Hooker's Push||Gun | 3-inch Ordnance · Entity-1210 [map-15/036]</x:v>
      </x:c>
      <x:c r="M327" s="35"/>
      <x:c r="N327" s="35"/>
      <x:c r="O327" s="35"/>
      <x:c r="P327" s="35"/>
      <x:c r="Q327" s="35"/>
      <x:c r="R327" s="35"/>
      <x:c r="S327" s="35"/>
      <x:c r="T327" s="35"/>
      <x:c r="U327" s="35"/>
      <x:c r="V327" s="35"/>
      <x:c r="W327" s="35"/>
      <x:c r="X327" s="35"/>
      <x:c r="Y327" s="35"/>
      <x:c r="Z327" s="35"/>
      <x:c r="AA327" s="35"/>
    </x:row>
    <x:row r="328">
      <x:c r="A328" s="136" t="str">
        <x:v>Antietam | Skirmish | Hooker's Push</x:v>
      </x:c>
      <x:c r="B328" s="136" t="str">
        <x:v>Gun | 10-pounder Parrott · Entity-1196 [map-15/037]</x:v>
      </x:c>
      <x:c r="C328" s="136" t="str">
        <x:v>gun_spawn</x:v>
      </x:c>
      <x:c r="D328" s="136" t="str"/>
      <x:c r="E328" s="136" t="str">
        <x:v>10-pounder Parrott · Entity-1196</x:v>
      </x:c>
      <x:c r="F328" s="137" t="n">
        <x:v>715.1920166015625</x:v>
      </x:c>
      <x:c r="G328" s="137" t="n">
        <x:v>2633.820068359375</x:v>
      </x:c>
      <x:c r="H328" s="137" t="n">
        <x:v>60.74470138549805</x:v>
      </x:c>
      <x:c r="I328" s="137" t="n">
        <x:v>875.2544549393641</x:v>
      </x:c>
      <x:c r="J328" s="137" t="n">
        <x:v>1418.9761298573296</x:v>
      </x:c>
      <x:c r="K328" s="136" t="str">
        <x:v>map-15</x:v>
      </x:c>
      <x:c r="L328" s="136" t="str">
        <x:v>Antietam | Skirmish | Hooker's Push||Gun | 10-pounder Parrott · Entity-1196 [map-15/037]</x:v>
      </x:c>
      <x:c r="M328" s="35"/>
      <x:c r="N328" s="35"/>
      <x:c r="O328" s="35"/>
      <x:c r="P328" s="35"/>
      <x:c r="Q328" s="35"/>
      <x:c r="R328" s="35"/>
      <x:c r="S328" s="35"/>
      <x:c r="T328" s="35"/>
      <x:c r="U328" s="35"/>
      <x:c r="V328" s="35"/>
      <x:c r="W328" s="35"/>
      <x:c r="X328" s="35"/>
      <x:c r="Y328" s="35"/>
      <x:c r="Z328" s="35"/>
      <x:c r="AA328" s="35"/>
    </x:row>
    <x:row r="329">
      <x:c r="A329" s="136" t="str">
        <x:v>Antietam | Skirmish | Hooker's Push</x:v>
      </x:c>
      <x:c r="B329" s="136" t="str">
        <x:v>Gun | 12-pounder Napoleon (USA) · Entity-1181 [map-15/038]</x:v>
      </x:c>
      <x:c r="C329" s="136" t="str">
        <x:v>gun_spawn</x:v>
      </x:c>
      <x:c r="D329" s="136" t="str"/>
      <x:c r="E329" s="136" t="str">
        <x:v>12-pounder Napoleon (USA) · Entity-1181</x:v>
      </x:c>
      <x:c r="F329" s="137" t="n">
        <x:v>1303.6600341796875</x:v>
      </x:c>
      <x:c r="G329" s="137" t="n">
        <x:v>2955.330078125</x:v>
      </x:c>
      <x:c r="H329" s="137" t="n">
        <x:v>63.53176498413086</x:v>
      </x:c>
      <x:c r="I329" s="137" t="n">
        <x:v>987.7452621872261</x:v>
      </x:c>
      <x:c r="J329" s="137" t="n">
        <x:v>678.0174847280949</x:v>
      </x:c>
      <x:c r="K329" s="136" t="str">
        <x:v>map-15</x:v>
      </x:c>
      <x:c r="L329" s="136" t="str">
        <x:v>Antietam | Skirmish | Hooker's Push||Gun | 12-pounder Napoleon (USA) · Entity-1181 [map-15/038]</x:v>
      </x:c>
      <x:c r="M329" s="35"/>
      <x:c r="N329" s="35"/>
      <x:c r="O329" s="35"/>
      <x:c r="P329" s="35"/>
      <x:c r="Q329" s="35"/>
      <x:c r="R329" s="35"/>
      <x:c r="S329" s="35"/>
      <x:c r="T329" s="35"/>
      <x:c r="U329" s="35"/>
      <x:c r="V329" s="35"/>
      <x:c r="W329" s="35"/>
      <x:c r="X329" s="35"/>
      <x:c r="Y329" s="35"/>
      <x:c r="Z329" s="35"/>
      <x:c r="AA329" s="35"/>
    </x:row>
    <x:row r="330">
      <x:c r="A330" s="136" t="str">
        <x:v>Antietam | Skirmish | Hooker's Push</x:v>
      </x:c>
      <x:c r="B330" s="136" t="str">
        <x:v>Gun | 12-pounder Napoleon (CSA) · Entity-1198 [map-15/039]</x:v>
      </x:c>
      <x:c r="C330" s="136" t="str">
        <x:v>gun_spawn</x:v>
      </x:c>
      <x:c r="D330" s="136" t="str"/>
      <x:c r="E330" s="136" t="str">
        <x:v>12-pounder Napoleon (CSA) · Entity-1198</x:v>
      </x:c>
      <x:c r="F330" s="137" t="n">
        <x:v>730.2000122070312</x:v>
      </x:c>
      <x:c r="G330" s="137" t="n">
        <x:v>2661.739990234375</x:v>
      </x:c>
      <x:c r="H330" s="137" t="n">
        <x:v>62.31328582763672</x:v>
      </x:c>
      <x:c r="I330" s="137" t="n">
        <x:v>860.5870760132293</x:v>
      </x:c>
      <x:c r="J330" s="137" t="n">
        <x:v>1386.7284167873358</x:v>
      </x:c>
      <x:c r="K330" s="136" t="str">
        <x:v>map-15</x:v>
      </x:c>
      <x:c r="L330" s="136" t="str">
        <x:v>Antietam | Skirmish | Hooker's Push||Gun | 12-pounder Napoleon (CSA) · Entity-1198 [map-15/039]</x:v>
      </x:c>
      <x:c r="M330" s="35"/>
      <x:c r="N330" s="35"/>
      <x:c r="O330" s="35"/>
      <x:c r="P330" s="35"/>
      <x:c r="Q330" s="35"/>
      <x:c r="R330" s="35"/>
      <x:c r="S330" s="35"/>
      <x:c r="T330" s="35"/>
      <x:c r="U330" s="35"/>
      <x:c r="V330" s="35"/>
      <x:c r="W330" s="35"/>
      <x:c r="X330" s="35"/>
      <x:c r="Y330" s="35"/>
      <x:c r="Z330" s="35"/>
      <x:c r="AA330" s="35"/>
    </x:row>
    <x:row r="331">
      <x:c r="A331" s="136" t="str">
        <x:v>Antietam | Skirmish | Hooker's Push</x:v>
      </x:c>
      <x:c r="B331" s="136" t="str">
        <x:v>Gun | 10-pounder Parrott · Entity-1197 [map-15/040]</x:v>
      </x:c>
      <x:c r="C331" s="136" t="str">
        <x:v>gun_spawn</x:v>
      </x:c>
      <x:c r="D331" s="136" t="str"/>
      <x:c r="E331" s="136" t="str">
        <x:v>10-pounder Parrott · Entity-1197</x:v>
      </x:c>
      <x:c r="F331" s="137" t="n">
        <x:v>723.14599609375</x:v>
      </x:c>
      <x:c r="G331" s="137" t="n">
        <x:v>2649</x:v>
      </x:c>
      <x:c r="H331" s="137" t="n">
        <x:v>61.52346420288086</x:v>
      </x:c>
      <x:c r="I331" s="137" t="n">
        <x:v>867.1405436977929</x:v>
      </x:c>
      <x:c r="J331" s="137" t="n">
        <x:v>1401.6262042714454</x:v>
      </x:c>
      <x:c r="K331" s="136" t="str">
        <x:v>map-15</x:v>
      </x:c>
      <x:c r="L331" s="136" t="str">
        <x:v>Antietam | Skirmish | Hooker's Push||Gun | 10-pounder Parrott · Entity-1197 [map-15/040]</x:v>
      </x:c>
      <x:c r="M331" s="35"/>
      <x:c r="N331" s="35"/>
      <x:c r="O331" s="35"/>
      <x:c r="P331" s="35"/>
      <x:c r="Q331" s="35"/>
      <x:c r="R331" s="35"/>
      <x:c r="S331" s="35"/>
      <x:c r="T331" s="35"/>
      <x:c r="U331" s="35"/>
      <x:c r="V331" s="35"/>
      <x:c r="W331" s="35"/>
      <x:c r="X331" s="35"/>
      <x:c r="Y331" s="35"/>
      <x:c r="Z331" s="35"/>
      <x:c r="AA331" s="35"/>
    </x:row>
    <x:row r="332">
      <x:c r="A332" s="136" t="str">
        <x:v>Antietam | Skirmish | Hooker's Push</x:v>
      </x:c>
      <x:c r="B332" s="136" t="str">
        <x:v>Gun | 12-pounder Napoleon (CSA) · Entity-1207 [map-15/041]</x:v>
      </x:c>
      <x:c r="C332" s="136" t="str">
        <x:v>gun_spawn</x:v>
      </x:c>
      <x:c r="D332" s="136" t="str"/>
      <x:c r="E332" s="136" t="str">
        <x:v>12-pounder Napoleon (CSA) · Entity-1207</x:v>
      </x:c>
      <x:c r="F332" s="137" t="n">
        <x:v>826.448974609375</x:v>
      </x:c>
      <x:c r="G332" s="137" t="n">
        <x:v>2739.739990234375</x:v>
      </x:c>
      <x:c r="H332" s="137" t="n">
        <x:v>60.95389938354492</x:v>
      </x:c>
      <x:c r="I332" s="137" t="n">
        <x:v>856.3862178523367</x:v>
      </x:c>
      <x:c r="J332" s="137" t="n">
        <x:v>1248.332787360306</x:v>
      </x:c>
      <x:c r="K332" s="136" t="str">
        <x:v>map-15</x:v>
      </x:c>
      <x:c r="L332" s="136" t="str">
        <x:v>Antietam | Skirmish | Hooker's Push||Gun | 12-pounder Napoleon (CSA) · Entity-1207 [map-15/041]</x:v>
      </x:c>
      <x:c r="M332" s="35"/>
      <x:c r="N332" s="35"/>
      <x:c r="O332" s="35"/>
      <x:c r="P332" s="35"/>
      <x:c r="Q332" s="35"/>
      <x:c r="R332" s="35"/>
      <x:c r="S332" s="35"/>
      <x:c r="T332" s="35"/>
      <x:c r="U332" s="35"/>
      <x:c r="V332" s="35"/>
      <x:c r="W332" s="35"/>
      <x:c r="X332" s="35"/>
      <x:c r="Y332" s="35"/>
      <x:c r="Z332" s="35"/>
      <x:c r="AA332" s="35"/>
    </x:row>
    <x:row r="333">
      <x:c r="A333" s="136" t="str">
        <x:v>Antietam | Skirmish | Hagerstown Turnpike</x:v>
      </x:c>
      <x:c r="B333" s="136" t="str">
        <x:v>Spawn | CSA Spawnpoint_HT_Defend_CSA_1stLZ-2 [map-16/001]</x:v>
      </x:c>
      <x:c r="C333" s="136" t="str">
        <x:v>spawn</x:v>
      </x:c>
      <x:c r="D333" s="136" t="str">
        <x:v>CSA</x:v>
      </x:c>
      <x:c r="E333" s="136" t="str">
        <x:v>Spawnpoint_HT_Defend_CSA_1stLZ-2</x:v>
      </x:c>
      <x:c r="F333" s="137" t="n">
        <x:v>852.8770751953125</x:v>
      </x:c>
      <x:c r="G333" s="137" t="n">
        <x:v>2745.578125</x:v>
      </x:c>
      <x:c r="H333" s="137" t="n">
        <x:v>61.0146369934082</x:v>
      </x:c>
      <x:c r="I333" s="137" t="n">
        <x:v>1028.850654709288</x:v>
      </x:c>
      <x:c r="J333" s="137" t="n">
        <x:v>978.1521070103371</x:v>
      </x:c>
      <x:c r="K333" s="136" t="str">
        <x:v>map-16</x:v>
      </x:c>
      <x:c r="L333" s="136" t="str">
        <x:v>Antietam | Skirmish | Hagerstown Turnpike||Spawn | CSA Spawnpoint_HT_Defend_CSA_1stLZ-2 [map-16/001]</x:v>
      </x:c>
      <x:c r="M333" s="35"/>
      <x:c r="N333" s="35"/>
      <x:c r="O333" s="35"/>
      <x:c r="P333" s="35"/>
      <x:c r="Q333" s="35"/>
      <x:c r="R333" s="35"/>
      <x:c r="S333" s="35"/>
      <x:c r="T333" s="35"/>
      <x:c r="U333" s="35"/>
      <x:c r="V333" s="35"/>
      <x:c r="W333" s="35"/>
      <x:c r="X333" s="35"/>
      <x:c r="Y333" s="35"/>
      <x:c r="Z333" s="35"/>
      <x:c r="AA333" s="35"/>
    </x:row>
    <x:row r="334">
      <x:c r="A334" s="136" t="str">
        <x:v>Antietam | Skirmish | Hagerstown Turnpike</x:v>
      </x:c>
      <x:c r="B334" s="136" t="str">
        <x:v>Spawn | USA Spawnpoint_HT_Base_USA_14thBR [map-16/002]</x:v>
      </x:c>
      <x:c r="C334" s="136" t="str">
        <x:v>spawn</x:v>
      </x:c>
      <x:c r="D334" s="136" t="str">
        <x:v>USA</x:v>
      </x:c>
      <x:c r="E334" s="136" t="str">
        <x:v>Spawnpoint_HT_Base_USA_14thBR</x:v>
      </x:c>
      <x:c r="F334" s="137" t="n">
        <x:v>1034.1041259765625</x:v>
      </x:c>
      <x:c r="G334" s="137" t="n">
        <x:v>2772.16796875</x:v>
      </x:c>
      <x:c r="H334" s="137" t="n">
        <x:v>61.622901916503906</x:v>
      </x:c>
      <x:c r="I334" s="137" t="n">
        <x:v>1359.0645752549192</x:v>
      </x:c>
      <x:c r="J334" s="137" t="n">
        <x:v>358.44237044865906</x:v>
      </x:c>
      <x:c r="K334" s="136" t="str">
        <x:v>map-16</x:v>
      </x:c>
      <x:c r="L334" s="136" t="str">
        <x:v>Antietam | Skirmish | Hagerstown Turnpike||Spawn | USA Spawnpoint_HT_Base_USA_14thBR [map-16/002]</x:v>
      </x:c>
      <x:c r="M334" s="35"/>
      <x:c r="N334" s="35"/>
      <x:c r="O334" s="35"/>
      <x:c r="P334" s="35"/>
      <x:c r="Q334" s="35"/>
      <x:c r="R334" s="35"/>
      <x:c r="S334" s="35"/>
      <x:c r="T334" s="35"/>
      <x:c r="U334" s="35"/>
      <x:c r="V334" s="35"/>
      <x:c r="W334" s="35"/>
      <x:c r="X334" s="35"/>
      <x:c r="Y334" s="35"/>
      <x:c r="Z334" s="35"/>
      <x:c r="AA334" s="35"/>
    </x:row>
    <x:row r="335">
      <x:c r="A335" s="136" t="str">
        <x:v>Antietam | Skirmish | Hagerstown Turnpike</x:v>
      </x:c>
      <x:c r="B335" s="136" t="str">
        <x:v>Spawn | CSA Spawnpoint_HT_Base_CSA_1stLZ [map-16/003]</x:v>
      </x:c>
      <x:c r="C335" s="136" t="str">
        <x:v>spawn</x:v>
      </x:c>
      <x:c r="D335" s="136" t="str">
        <x:v>CSA</x:v>
      </x:c>
      <x:c r="E335" s="136" t="str">
        <x:v>Spawnpoint_HT_Base_CSA_1stLZ</x:v>
      </x:c>
      <x:c r="F335" s="137" t="n">
        <x:v>674.8016357421875</x:v>
      </x:c>
      <x:c r="G335" s="137" t="n">
        <x:v>2708.691162109375</x:v>
      </x:c>
      <x:c r="H335" s="137" t="n">
        <x:v>62.59260559082031</x:v>
      </x:c>
      <x:c r="I335" s="137" t="n">
        <x:v>737.5805319156228</x:v>
      </x:c>
      <x:c r="J335" s="137" t="n">
        <x:v>1611.5611083473782</x:v>
      </x:c>
      <x:c r="K335" s="136" t="str">
        <x:v>map-16</x:v>
      </x:c>
      <x:c r="L335" s="136" t="str">
        <x:v>Antietam | Skirmish | Hagerstown Turnpike||Spawn | CSA Spawnpoint_HT_Base_CSA_1stLZ [map-16/003]</x:v>
      </x:c>
      <x:c r="M335" s="35"/>
      <x:c r="N335" s="35"/>
      <x:c r="O335" s="35"/>
      <x:c r="P335" s="35"/>
      <x:c r="Q335" s="35"/>
      <x:c r="R335" s="35"/>
      <x:c r="S335" s="35"/>
      <x:c r="T335" s="35"/>
      <x:c r="U335" s="35"/>
      <x:c r="V335" s="35"/>
      <x:c r="W335" s="35"/>
      <x:c r="X335" s="35"/>
      <x:c r="Y335" s="35"/>
      <x:c r="Z335" s="35"/>
      <x:c r="AA335" s="35"/>
    </x:row>
    <x:row r="336">
      <x:c r="A336" s="136" t="str">
        <x:v>Antietam | Skirmish | Hagerstown Turnpike</x:v>
      </x:c>
      <x:c r="B336" s="136" t="str">
        <x:v>Artillery | CSA Spawnpoint_HT_CSA_Arty_Base [map-16/004]</x:v>
      </x:c>
      <x:c r="C336" s="136" t="str">
        <x:v>battery</x:v>
      </x:c>
      <x:c r="D336" s="136" t="str">
        <x:v>CSA</x:v>
      </x:c>
      <x:c r="E336" s="136" t="str">
        <x:v>Spawnpoint_HT_CSA_Arty_Base</x:v>
      </x:c>
      <x:c r="F336" s="137" t="n">
        <x:v>683.1417846679688</x:v>
      </x:c>
      <x:c r="G336" s="137" t="n">
        <x:v>2735.6689453125</x:v>
      </x:c>
      <x:c r="H336" s="137" t="n">
        <x:v>63.092430114746094</x:v>
      </x:c>
      <x:c r="I336" s="137" t="n">
        <x:v>673.306306543996</x:v>
      </x:c>
      <x:c r="J336" s="137" t="n">
        <x:v>1524.4551680666784</x:v>
      </x:c>
      <x:c r="K336" s="136" t="str">
        <x:v>map-16</x:v>
      </x:c>
      <x:c r="L336" s="136" t="str">
        <x:v>Antietam | Skirmish | Hagerstown Turnpike||Artillery | CSA Spawnpoint_HT_CSA_Arty_Base [map-16/004]</x:v>
      </x:c>
      <x:c r="M336" s="35"/>
      <x:c r="N336" s="35"/>
      <x:c r="O336" s="35"/>
      <x:c r="P336" s="35"/>
      <x:c r="Q336" s="35"/>
      <x:c r="R336" s="35"/>
      <x:c r="S336" s="35"/>
      <x:c r="T336" s="35"/>
      <x:c r="U336" s="35"/>
      <x:c r="V336" s="35"/>
      <x:c r="W336" s="35"/>
      <x:c r="X336" s="35"/>
      <x:c r="Y336" s="35"/>
      <x:c r="Z336" s="35"/>
      <x:c r="AA336" s="35"/>
    </x:row>
    <x:row r="337">
      <x:c r="A337" s="136" t="str">
        <x:v>Antietam | Skirmish | Hagerstown Turnpike</x:v>
      </x:c>
      <x:c r="B337" s="136" t="str">
        <x:v>Artillery | CSA Spawnpoint_HT_CSA_Arty_Poague_Forward [map-16/005]</x:v>
      </x:c>
      <x:c r="C337" s="136" t="str">
        <x:v>battery</x:v>
      </x:c>
      <x:c r="D337" s="136" t="str">
        <x:v>CSA</x:v>
      </x:c>
      <x:c r="E337" s="136" t="str">
        <x:v>Spawnpoint_HT_CSA_Arty_Poague_Forward</x:v>
      </x:c>
      <x:c r="F337" s="137" t="n">
        <x:v>786.9829711914062</x:v>
      </x:c>
      <x:c r="G337" s="137" t="n">
        <x:v>2696.651611328125</x:v>
      </x:c>
      <x:c r="H337" s="137" t="n">
        <x:v>62.03462219238281</x:v>
      </x:c>
      <x:c r="I337" s="137" t="n">
        <x:v>1029.9268648859343</x:v>
      </x:c>
      <x:c r="J337" s="137" t="n">
        <x:v>1292.785323994666</x:v>
      </x:c>
      <x:c r="K337" s="136" t="str">
        <x:v>map-16</x:v>
      </x:c>
      <x:c r="L337" s="136" t="str">
        <x:v>Antietam | Skirmish | Hagerstown Turnpike||Artillery | CSA Spawnpoint_HT_CSA_Arty_Poague_Forward [map-16/005]</x:v>
      </x:c>
      <x:c r="M337" s="35"/>
      <x:c r="N337" s="35"/>
      <x:c r="O337" s="35"/>
      <x:c r="P337" s="35"/>
      <x:c r="Q337" s="35"/>
      <x:c r="R337" s="35"/>
      <x:c r="S337" s="35"/>
      <x:c r="T337" s="35"/>
      <x:c r="U337" s="35"/>
      <x:c r="V337" s="35"/>
      <x:c r="W337" s="35"/>
      <x:c r="X337" s="35"/>
      <x:c r="Y337" s="35"/>
      <x:c r="Z337" s="35"/>
      <x:c r="AA337" s="35"/>
    </x:row>
    <x:row r="338">
      <x:c r="A338" s="136" t="str">
        <x:v>Antietam | Skirmish | Hagerstown Turnpike</x:v>
      </x:c>
      <x:c r="B338" s="136" t="str">
        <x:v>Spawn | CSA Spawnpoint_HT_Defend_CSA_9thLA [map-16/006]</x:v>
      </x:c>
      <x:c r="C338" s="136" t="str">
        <x:v>spawn</x:v>
      </x:c>
      <x:c r="D338" s="136" t="str">
        <x:v>CSA</x:v>
      </x:c>
      <x:c r="E338" s="136" t="str">
        <x:v>Spawnpoint_HT_Defend_CSA_9thLA</x:v>
      </x:c>
      <x:c r="F338" s="137" t="n">
        <x:v>832.8480834960938</x:v>
      </x:c>
      <x:c r="G338" s="137" t="n">
        <x:v>2717.25732421875</x:v>
      </x:c>
      <x:c r="H338" s="137" t="n">
        <x:v>61.04627227783203</x:v>
      </x:c>
      <x:c r="I338" s="137" t="n">
        <x:v>1070.6787846727316</x:v>
      </x:c>
      <x:c r="J338" s="137" t="n">
        <x:v>1104.3820885167002</x:v>
      </x:c>
      <x:c r="K338" s="136" t="str">
        <x:v>map-16</x:v>
      </x:c>
      <x:c r="L338" s="136" t="str">
        <x:v>Antietam | Skirmish | Hagerstown Turnpike||Spawn | CSA Spawnpoint_HT_Defend_CSA_9thLA [map-16/006]</x:v>
      </x:c>
      <x:c r="M338" s="35"/>
      <x:c r="N338" s="35"/>
      <x:c r="O338" s="35"/>
      <x:c r="P338" s="35"/>
      <x:c r="Q338" s="35"/>
      <x:c r="R338" s="35"/>
      <x:c r="S338" s="35"/>
      <x:c r="T338" s="35"/>
      <x:c r="U338" s="35"/>
      <x:c r="V338" s="35"/>
      <x:c r="W338" s="35"/>
      <x:c r="X338" s="35"/>
      <x:c r="Y338" s="35"/>
      <x:c r="Z338" s="35"/>
      <x:c r="AA338" s="35"/>
    </x:row>
    <x:row r="339">
      <x:c r="A339" s="136" t="str">
        <x:v>Antietam | Skirmish | Hagerstown Turnpike</x:v>
      </x:c>
      <x:c r="B339" s="136" t="str">
        <x:v>Spawn | CSA Spawnpoint_HT_Base_CSA_9thLA-2 [map-16/007]</x:v>
      </x:c>
      <x:c r="C339" s="136" t="str">
        <x:v>spawn</x:v>
      </x:c>
      <x:c r="D339" s="136" t="str">
        <x:v>CSA</x:v>
      </x:c>
      <x:c r="E339" s="136" t="str">
        <x:v>Spawnpoint_HT_Base_CSA_9thLA-2</x:v>
      </x:c>
      <x:c r="F339" s="137" t="n">
        <x:v>693.1101684570312</x:v>
      </x:c>
      <x:c r="G339" s="137" t="n">
        <x:v>2703.128173828125</x:v>
      </x:c>
      <x:c r="H339" s="137" t="n">
        <x:v>62.79079818725586</x:v>
      </x:c>
      <x:c r="I339" s="137" t="n">
        <x:v>796.395631077698</x:v>
      </x:c>
      <x:c r="J339" s="137" t="n">
        <x:v>1567.720437298907</x:v>
      </x:c>
      <x:c r="K339" s="136" t="str">
        <x:v>map-16</x:v>
      </x:c>
      <x:c r="L339" s="136" t="str">
        <x:v>Antietam | Skirmish | Hagerstown Turnpike||Spawn | CSA Spawnpoint_HT_Base_CSA_9thLA-2 [map-16/007]</x:v>
      </x:c>
      <x:c r="M339" s="35"/>
      <x:c r="N339" s="35"/>
      <x:c r="O339" s="35"/>
      <x:c r="P339" s="35"/>
      <x:c r="Q339" s="35"/>
      <x:c r="R339" s="35"/>
      <x:c r="S339" s="35"/>
      <x:c r="T339" s="35"/>
      <x:c r="U339" s="35"/>
      <x:c r="V339" s="35"/>
      <x:c r="W339" s="35"/>
      <x:c r="X339" s="35"/>
      <x:c r="Y339" s="35"/>
      <x:c r="Z339" s="35"/>
      <x:c r="AA339" s="35"/>
    </x:row>
    <x:row r="340">
      <x:c r="A340" s="136" t="str">
        <x:v>Antietam | Skirmish | Hagerstown Turnpike</x:v>
      </x:c>
      <x:c r="B340" s="136" t="str">
        <x:v>Spawn | USA Spawnpoint_HT_Base_USA_14thBR-2 [map-16/008]</x:v>
      </x:c>
      <x:c r="C340" s="136" t="str">
        <x:v>spawn</x:v>
      </x:c>
      <x:c r="D340" s="136" t="str">
        <x:v>USA</x:v>
      </x:c>
      <x:c r="E340" s="136" t="str">
        <x:v>Spawnpoint_HT_Base_USA_14thBR-2</x:v>
      </x:c>
      <x:c r="F340" s="137" t="n">
        <x:v>1052.4058837890625</x:v>
      </x:c>
      <x:c r="G340" s="137" t="n">
        <x:v>2774.405029296875</x:v>
      </x:c>
      <x:c r="H340" s="137" t="n">
        <x:v>61.622901916503906</x:v>
      </x:c>
      <x:c r="I340" s="137" t="n">
        <x:v>1393.7952374626652</x:v>
      </x:c>
      <x:c r="J340" s="137" t="n">
        <x:v>296.87869594892555</x:v>
      </x:c>
      <x:c r="K340" s="136" t="str">
        <x:v>map-16</x:v>
      </x:c>
      <x:c r="L340" s="136" t="str">
        <x:v>Antietam | Skirmish | Hagerstown Turnpike||Spawn | USA Spawnpoint_HT_Base_USA_14thBR-2 [map-16/008]</x:v>
      </x:c>
      <x:c r="M340" s="35"/>
      <x:c r="N340" s="35"/>
      <x:c r="O340" s="35"/>
      <x:c r="P340" s="35"/>
      <x:c r="Q340" s="35"/>
      <x:c r="R340" s="35"/>
      <x:c r="S340" s="35"/>
      <x:c r="T340" s="35"/>
      <x:c r="U340" s="35"/>
      <x:c r="V340" s="35"/>
      <x:c r="W340" s="35"/>
      <x:c r="X340" s="35"/>
      <x:c r="Y340" s="35"/>
      <x:c r="Z340" s="35"/>
      <x:c r="AA340" s="35"/>
    </x:row>
    <x:row r="341">
      <x:c r="A341" s="136" t="str">
        <x:v>Antietam | Skirmish | Hagerstown Turnpike</x:v>
      </x:c>
      <x:c r="B341" s="136" t="str">
        <x:v>Spawn | CSA Spawnpoint_HT_Defend_CSA_1stLZ [map-16/009]</x:v>
      </x:c>
      <x:c r="C341" s="136" t="str">
        <x:v>spawn</x:v>
      </x:c>
      <x:c r="D341" s="136" t="str">
        <x:v>CSA</x:v>
      </x:c>
      <x:c r="E341" s="136" t="str">
        <x:v>Spawnpoint_HT_Defend_CSA_1stLZ</x:v>
      </x:c>
      <x:c r="F341" s="137" t="n">
        <x:v>844.5690307617188</x:v>
      </x:c>
      <x:c r="G341" s="137" t="n">
        <x:v>2732.967529296875</x:v>
      </x:c>
      <x:c r="H341" s="137" t="n">
        <x:v>60.97881317138672</x:v>
      </x:c>
      <x:c r="I341" s="137" t="n">
        <x:v>1048.86431903773</x:v>
      </x:c>
      <x:c r="J341" s="137" t="n">
        <x:v>1032.4758431178757</x:v>
      </x:c>
      <x:c r="K341" s="136" t="str">
        <x:v>map-16</x:v>
      </x:c>
      <x:c r="L341" s="136" t="str">
        <x:v>Antietam | Skirmish | Hagerstown Turnpike||Spawn | CSA Spawnpoint_HT_Defend_CSA_1stLZ [map-16/009]</x:v>
      </x:c>
      <x:c r="M341" s="35"/>
      <x:c r="N341" s="35"/>
      <x:c r="O341" s="35"/>
      <x:c r="P341" s="35"/>
      <x:c r="Q341" s="35"/>
      <x:c r="R341" s="35"/>
      <x:c r="S341" s="35"/>
      <x:c r="T341" s="35"/>
      <x:c r="U341" s="35"/>
      <x:c r="V341" s="35"/>
      <x:c r="W341" s="35"/>
      <x:c r="X341" s="35"/>
      <x:c r="Y341" s="35"/>
      <x:c r="Z341" s="35"/>
      <x:c r="AA341" s="35"/>
    </x:row>
    <x:row r="342">
      <x:c r="A342" s="136" t="str">
        <x:v>Antietam | Skirmish | Hagerstown Turnpike</x:v>
      </x:c>
      <x:c r="B342" s="136" t="str">
        <x:v>Spawn | USA Spawnpoint_HT_Base_USA_6thWI [map-16/010]</x:v>
      </x:c>
      <x:c r="C342" s="136" t="str">
        <x:v>spawn</x:v>
      </x:c>
      <x:c r="D342" s="136" t="str">
        <x:v>USA</x:v>
      </x:c>
      <x:c r="E342" s="136" t="str">
        <x:v>Spawnpoint_HT_Base_USA_6thWI</x:v>
      </x:c>
      <x:c r="F342" s="137" t="n">
        <x:v>1033.0587158203125</x:v>
      </x:c>
      <x:c r="G342" s="137" t="n">
        <x:v>2780.15283203125</x:v>
      </x:c>
      <x:c r="H342" s="137" t="n">
        <x:v>61.77256774902344</x:v>
      </x:c>
      <x:c r="I342" s="137" t="n">
        <x:v>1332.047111370093</x:v>
      </x:c>
      <x:c r="J342" s="137" t="n">
        <x:v>343.5039145827056</x:v>
      </x:c>
      <x:c r="K342" s="136" t="str">
        <x:v>map-16</x:v>
      </x:c>
      <x:c r="L342" s="136" t="str">
        <x:v>Antietam | Skirmish | Hagerstown Turnpike||Spawn | USA Spawnpoint_HT_Base_USA_6thWI [map-16/010]</x:v>
      </x:c>
      <x:c r="M342" s="35"/>
      <x:c r="N342" s="35"/>
      <x:c r="O342" s="35"/>
      <x:c r="P342" s="35"/>
      <x:c r="Q342" s="35"/>
      <x:c r="R342" s="35"/>
      <x:c r="S342" s="35"/>
      <x:c r="T342" s="35"/>
      <x:c r="U342" s="35"/>
      <x:c r="V342" s="35"/>
      <x:c r="W342" s="35"/>
      <x:c r="X342" s="35"/>
      <x:c r="Y342" s="35"/>
      <x:c r="Z342" s="35"/>
      <x:c r="AA342" s="35"/>
    </x:row>
    <x:row r="343">
      <x:c r="A343" s="136" t="str">
        <x:v>Antietam | Skirmish | Hagerstown Turnpike</x:v>
      </x:c>
      <x:c r="B343" s="136" t="str">
        <x:v>Spawn | CSA Spawnpoint_HT_Base_CSA_1stLZ-2 [map-16/011]</x:v>
      </x:c>
      <x:c r="C343" s="136" t="str">
        <x:v>spawn</x:v>
      </x:c>
      <x:c r="D343" s="136" t="str">
        <x:v>CSA</x:v>
      </x:c>
      <x:c r="E343" s="136" t="str">
        <x:v>Spawnpoint_HT_Base_CSA_1stLZ-2</x:v>
      </x:c>
      <x:c r="F343" s="137" t="n">
        <x:v>694.1192626953125</x:v>
      </x:c>
      <x:c r="G343" s="137" t="n">
        <x:v>2713.654052734375</x:v>
      </x:c>
      <x:c r="H343" s="137" t="n">
        <x:v>62.59260559082031</x:v>
      </x:c>
      <x:c r="I343" s="137" t="n">
        <x:v>766.2109011779864</x:v>
      </x:c>
      <x:c r="J343" s="137" t="n">
        <x:v>1540.6618690778694</x:v>
      </x:c>
      <x:c r="K343" s="136" t="str">
        <x:v>map-16</x:v>
      </x:c>
      <x:c r="L343" s="136" t="str">
        <x:v>Antietam | Skirmish | Hagerstown Turnpike||Spawn | CSA Spawnpoint_HT_Base_CSA_1stLZ-2 [map-16/011]</x:v>
      </x:c>
      <x:c r="M343" s="35"/>
      <x:c r="N343" s="35"/>
      <x:c r="O343" s="35"/>
      <x:c r="P343" s="35"/>
      <x:c r="Q343" s="35"/>
      <x:c r="R343" s="35"/>
      <x:c r="S343" s="35"/>
      <x:c r="T343" s="35"/>
      <x:c r="U343" s="35"/>
      <x:c r="V343" s="35"/>
      <x:c r="W343" s="35"/>
      <x:c r="X343" s="35"/>
      <x:c r="Y343" s="35"/>
      <x:c r="Z343" s="35"/>
      <x:c r="AA343" s="35"/>
    </x:row>
    <x:row r="344">
      <x:c r="A344" s="136" t="str">
        <x:v>Antietam | Skirmish | Hagerstown Turnpike</x:v>
      </x:c>
      <x:c r="B344" s="136" t="str">
        <x:v>Artillery | USA Spawnpoint_HT_USA_Arty_Base [map-16/012]</x:v>
      </x:c>
      <x:c r="C344" s="136" t="str">
        <x:v>battery</x:v>
      </x:c>
      <x:c r="D344" s="136" t="str">
        <x:v>USA</x:v>
      </x:c>
      <x:c r="E344" s="136" t="str">
        <x:v>Spawnpoint_HT_USA_Arty_Base</x:v>
      </x:c>
      <x:c r="F344" s="137" t="n">
        <x:v>1038.6624755859375</x:v>
      </x:c>
      <x:c r="G344" s="137" t="n">
        <x:v>2754.863525390625</x:v>
      </x:c>
      <x:c r="H344" s="137" t="n">
        <x:v>61.57075119018555</x:v>
      </x:c>
      <x:c r="I344" s="137" t="n">
        <x:v>1422.8313584738028</x:v>
      </x:c>
      <x:c r="J344" s="137" t="n">
        <x:v>383.7413709645457</x:v>
      </x:c>
      <x:c r="K344" s="136" t="str">
        <x:v>map-16</x:v>
      </x:c>
      <x:c r="L344" s="136" t="str">
        <x:v>Antietam | Skirmish | Hagerstown Turnpike||Artillery | USA Spawnpoint_HT_USA_Arty_Base [map-16/012]</x:v>
      </x:c>
      <x:c r="M344" s="35"/>
      <x:c r="N344" s="35"/>
      <x:c r="O344" s="35"/>
      <x:c r="P344" s="35"/>
      <x:c r="Q344" s="35"/>
      <x:c r="R344" s="35"/>
      <x:c r="S344" s="35"/>
      <x:c r="T344" s="35"/>
      <x:c r="U344" s="35"/>
      <x:c r="V344" s="35"/>
      <x:c r="W344" s="35"/>
      <x:c r="X344" s="35"/>
      <x:c r="Y344" s="35"/>
      <x:c r="Z344" s="35"/>
      <x:c r="AA344" s="35"/>
    </x:row>
    <x:row r="345">
      <x:c r="A345" s="136" t="str">
        <x:v>Antietam | Skirmish | Hagerstown Turnpike</x:v>
      </x:c>
      <x:c r="B345" s="136" t="str">
        <x:v>Artillery | CSA Spawnpoint_HT_CSA_Arty_Brockenbrough_Forward [map-16/013]</x:v>
      </x:c>
      <x:c r="C345" s="136" t="str">
        <x:v>battery</x:v>
      </x:c>
      <x:c r="D345" s="136" t="str">
        <x:v>CSA</x:v>
      </x:c>
      <x:c r="E345" s="136" t="str">
        <x:v>Spawnpoint_HT_CSA_Arty_Brockenbrough_Forward</x:v>
      </x:c>
      <x:c r="F345" s="137" t="n">
        <x:v>678.1141967773438</x:v>
      </x:c>
      <x:c r="G345" s="137" t="n">
        <x:v>2667.62060546875</x:v>
      </x:c>
      <x:c r="H345" s="137" t="n">
        <x:v>62.294761657714844</x:v>
      </x:c>
      <x:c r="I345" s="137" t="n">
        <x:v>871.8496965750869</x:v>
      </x:c>
      <x:c r="J345" s="137" t="n">
        <x:v>1694.7685503080756</x:v>
      </x:c>
      <x:c r="K345" s="136" t="str">
        <x:v>map-16</x:v>
      </x:c>
      <x:c r="L345" s="136" t="str">
        <x:v>Antietam | Skirmish | Hagerstown Turnpike||Artillery | CSA Spawnpoint_HT_CSA_Arty_Brockenbrough_Forward [map-16/013]</x:v>
      </x:c>
      <x:c r="M345" s="35"/>
      <x:c r="N345" s="35"/>
      <x:c r="O345" s="35"/>
      <x:c r="P345" s="35"/>
      <x:c r="Q345" s="35"/>
      <x:c r="R345" s="35"/>
      <x:c r="S345" s="35"/>
      <x:c r="T345" s="35"/>
      <x:c r="U345" s="35"/>
      <x:c r="V345" s="35"/>
      <x:c r="W345" s="35"/>
      <x:c r="X345" s="35"/>
      <x:c r="Y345" s="35"/>
      <x:c r="Z345" s="35"/>
      <x:c r="AA345" s="35"/>
    </x:row>
    <x:row r="346">
      <x:c r="A346" s="136" t="str">
        <x:v>Antietam | Skirmish | Hagerstown Turnpike</x:v>
      </x:c>
      <x:c r="B346" s="136" t="str">
        <x:v>Spawn | USA Spawnpoint_HT_Base_USA_6thWI-2 [map-16/014]</x:v>
      </x:c>
      <x:c r="C346" s="136" t="str">
        <x:v>spawn</x:v>
      </x:c>
      <x:c r="D346" s="136" t="str">
        <x:v>USA</x:v>
      </x:c>
      <x:c r="E346" s="136" t="str">
        <x:v>Spawnpoint_HT_Base_USA_6thWI-2</x:v>
      </x:c>
      <x:c r="F346" s="137" t="n">
        <x:v>1051.329345703125</x:v>
      </x:c>
      <x:c r="G346" s="137" t="n">
        <x:v>2782.38623046875</x:v>
      </x:c>
      <x:c r="H346" s="137" t="n">
        <x:v>61.77256774902344</x:v>
      </x:c>
      <x:c r="I346" s="137" t="n">
        <x:v>1366.7182626999613</x:v>
      </x:c>
      <x:c r="J346" s="137" t="n">
        <x:v>282.0446239239868</x:v>
      </x:c>
      <x:c r="K346" s="136" t="str">
        <x:v>map-16</x:v>
      </x:c>
      <x:c r="L346" s="136" t="str">
        <x:v>Antietam | Skirmish | Hagerstown Turnpike||Spawn | USA Spawnpoint_HT_Base_USA_6thWI-2 [map-16/014]</x:v>
      </x:c>
      <x:c r="M346" s="35"/>
      <x:c r="N346" s="35"/>
      <x:c r="O346" s="35"/>
      <x:c r="P346" s="35"/>
      <x:c r="Q346" s="35"/>
      <x:c r="R346" s="35"/>
      <x:c r="S346" s="35"/>
      <x:c r="T346" s="35"/>
      <x:c r="U346" s="35"/>
      <x:c r="V346" s="35"/>
      <x:c r="W346" s="35"/>
      <x:c r="X346" s="35"/>
      <x:c r="Y346" s="35"/>
      <x:c r="Z346" s="35"/>
      <x:c r="AA346" s="35"/>
    </x:row>
    <x:row r="347">
      <x:c r="A347" s="136" t="str">
        <x:v>Antietam | Skirmish | Hagerstown Turnpike</x:v>
      </x:c>
      <x:c r="B347" s="136" t="str">
        <x:v>Objective | Victory_Hagerstown_Turnpike [map-16/015]</x:v>
      </x:c>
      <x:c r="C347" s="136" t="str">
        <x:v>objective</x:v>
      </x:c>
      <x:c r="D347" s="136" t="str"/>
      <x:c r="E347" s="136" t="str">
        <x:v>Victory_Hagerstown_Turnpike</x:v>
      </x:c>
      <x:c r="F347" s="137" t="n">
        <x:v>850.039794921875</x:v>
      </x:c>
      <x:c r="G347" s="137" t="n">
        <x:v>2715.6669921875</x:v>
      </x:c>
      <x:c r="H347" s="137" t="n">
        <x:v>60.900001525878906</x:v>
      </x:c>
      <x:c r="I347" s="137" t="n">
        <x:v>1114.6946510370067</x:v>
      </x:c>
      <x:c r="J347" s="137" t="n">
        <x:v>1054.950471459856</x:v>
      </x:c>
      <x:c r="K347" s="136" t="str">
        <x:v>map-16</x:v>
      </x:c>
      <x:c r="L347" s="136" t="str">
        <x:v>Antietam | Skirmish | Hagerstown Turnpike||Objective | Victory_Hagerstown_Turnpike [map-16/015]</x:v>
      </x:c>
      <x:c r="M347" s="35"/>
      <x:c r="N347" s="35"/>
      <x:c r="O347" s="35"/>
      <x:c r="P347" s="35"/>
      <x:c r="Q347" s="35"/>
      <x:c r="R347" s="35"/>
      <x:c r="S347" s="35"/>
      <x:c r="T347" s="35"/>
      <x:c r="U347" s="35"/>
      <x:c r="V347" s="35"/>
      <x:c r="W347" s="35"/>
      <x:c r="X347" s="35"/>
      <x:c r="Y347" s="35"/>
      <x:c r="Z347" s="35"/>
      <x:c r="AA347" s="35"/>
    </x:row>
    <x:row r="348">
      <x:c r="A348" s="136" t="str">
        <x:v>Antietam | Skirmish | Hagerstown Turnpike</x:v>
      </x:c>
      <x:c r="B348" s="136" t="str">
        <x:v>Spawn | CSA Spawnpoint_HT_Base_CSA_9thLA [map-16/016]</x:v>
      </x:c>
      <x:c r="C348" s="136" t="str">
        <x:v>spawn</x:v>
      </x:c>
      <x:c r="D348" s="136" t="str">
        <x:v>CSA</x:v>
      </x:c>
      <x:c r="E348" s="136" t="str">
        <x:v>Spawnpoint_HT_Base_CSA_9thLA</x:v>
      </x:c>
      <x:c r="F348" s="137" t="n">
        <x:v>674.0578002929688</x:v>
      </x:c>
      <x:c r="G348" s="137" t="n">
        <x:v>2698.233154296875</x:v>
      </x:c>
      <x:c r="H348" s="137" t="n">
        <x:v>62.94503402709961</x:v>
      </x:c>
      <x:c r="I348" s="137" t="n">
        <x:v>768.1592512450618</x:v>
      </x:c>
      <x:c r="J348" s="137" t="n">
        <x:v>1637.646757149853</x:v>
      </x:c>
      <x:c r="K348" s="136" t="str">
        <x:v>map-16</x:v>
      </x:c>
      <x:c r="L348" s="136" t="str">
        <x:v>Antietam | Skirmish | Hagerstown Turnpike||Spawn | CSA Spawnpoint_HT_Base_CSA_9thLA [map-16/016]</x:v>
      </x:c>
      <x:c r="M348" s="35"/>
      <x:c r="N348" s="35"/>
      <x:c r="O348" s="35"/>
      <x:c r="P348" s="35"/>
      <x:c r="Q348" s="35"/>
      <x:c r="R348" s="35"/>
      <x:c r="S348" s="35"/>
      <x:c r="T348" s="35"/>
      <x:c r="U348" s="35"/>
      <x:c r="V348" s="35"/>
      <x:c r="W348" s="35"/>
      <x:c r="X348" s="35"/>
      <x:c r="Y348" s="35"/>
      <x:c r="Z348" s="35"/>
      <x:c r="AA348" s="35"/>
    </x:row>
    <x:row r="349">
      <x:c r="A349" s="136" t="str">
        <x:v>Antietam | Skirmish | Hagerstown Turnpike</x:v>
      </x:c>
      <x:c r="B349" s="136" t="str">
        <x:v>Spawn | CSA Spawnpoint_HT_Defend_CSA_9thLA-2 [map-16/017]</x:v>
      </x:c>
      <x:c r="C349" s="136" t="str">
        <x:v>spawn</x:v>
      </x:c>
      <x:c r="D349" s="136" t="str">
        <x:v>CSA</x:v>
      </x:c>
      <x:c r="E349" s="136" t="str">
        <x:v>Spawnpoint_HT_Defend_CSA_9thLA-2</x:v>
      </x:c>
      <x:c r="F349" s="137" t="n">
        <x:v>824.0640869140625</x:v>
      </x:c>
      <x:c r="G349" s="137" t="n">
        <x:v>2706.317626953125</x:v>
      </x:c>
      <x:c r="H349" s="137" t="n">
        <x:v>60.91261291503906</x:v>
      </x:c>
      <x:c r="I349" s="137" t="n">
        <x:v>1084.4537511202593</x:v>
      </x:c>
      <x:c r="J349" s="137" t="n">
        <x:v>1156.373458990129</x:v>
      </x:c>
      <x:c r="K349" s="136" t="str">
        <x:v>map-16</x:v>
      </x:c>
      <x:c r="L349" s="136" t="str">
        <x:v>Antietam | Skirmish | Hagerstown Turnpike||Spawn | CSA Spawnpoint_HT_Defend_CSA_9thLA-2 [map-16/017]</x:v>
      </x:c>
      <x:c r="M349" s="35"/>
      <x:c r="N349" s="35"/>
      <x:c r="O349" s="35"/>
      <x:c r="P349" s="35"/>
      <x:c r="Q349" s="35"/>
      <x:c r="R349" s="35"/>
      <x:c r="S349" s="35"/>
      <x:c r="T349" s="35"/>
      <x:c r="U349" s="35"/>
      <x:c r="V349" s="35"/>
      <x:c r="W349" s="35"/>
      <x:c r="X349" s="35"/>
      <x:c r="Y349" s="35"/>
      <x:c r="Z349" s="35"/>
      <x:c r="AA349" s="35"/>
    </x:row>
    <x:row r="350">
      <x:c r="A350" s="136" t="str">
        <x:v>Antietam | Skirmish | Hagerstown Turnpike</x:v>
      </x:c>
      <x:c r="B350" s="136" t="str">
        <x:v>Gun | 10-pounder Parrott · Entity-1131 [map-16/018]</x:v>
      </x:c>
      <x:c r="C350" s="136" t="str">
        <x:v>gun_spawn</x:v>
      </x:c>
      <x:c r="D350" s="136" t="str"/>
      <x:c r="E350" s="136" t="str">
        <x:v>10-pounder Parrott · Entity-1131</x:v>
      </x:c>
      <x:c r="F350" s="137" t="n">
        <x:v>723.14599609375</x:v>
      </x:c>
      <x:c r="G350" s="137" t="n">
        <x:v>2649</x:v>
      </x:c>
      <x:c r="H350" s="137" t="n">
        <x:v>61.517242431640625</x:v>
      </x:c>
      <x:c r="I350" s="137" t="n">
        <x:v>1031.7486924295943</x:v>
      </x:c>
      <x:c r="J350" s="137" t="n">
        <x:v>1598.1705426404637</x:v>
      </x:c>
      <x:c r="K350" s="136" t="str">
        <x:v>map-16</x:v>
      </x:c>
      <x:c r="L350" s="136" t="str">
        <x:v>Antietam | Skirmish | Hagerstown Turnpike||Gun | 10-pounder Parrott · Entity-1131 [map-16/018]</x:v>
      </x:c>
      <x:c r="M350" s="35"/>
      <x:c r="N350" s="35"/>
      <x:c r="O350" s="35"/>
      <x:c r="P350" s="35"/>
      <x:c r="Q350" s="35"/>
      <x:c r="R350" s="35"/>
      <x:c r="S350" s="35"/>
      <x:c r="T350" s="35"/>
      <x:c r="U350" s="35"/>
      <x:c r="V350" s="35"/>
      <x:c r="W350" s="35"/>
      <x:c r="X350" s="35"/>
      <x:c r="Y350" s="35"/>
      <x:c r="Z350" s="35"/>
      <x:c r="AA350" s="35"/>
    </x:row>
    <x:row r="351">
      <x:c r="A351" s="136" t="str">
        <x:v>Antietam | Skirmish | Hagerstown Turnpike</x:v>
      </x:c>
      <x:c r="B351" s="136" t="str">
        <x:v>Gun | 12-pounder Napoleon (CSA) · Entity-1142 [map-16/019]</x:v>
      </x:c>
      <x:c r="C351" s="136" t="str">
        <x:v>gun_spawn</x:v>
      </x:c>
      <x:c r="D351" s="136" t="str"/>
      <x:c r="E351" s="136" t="str">
        <x:v>12-pounder Napoleon (CSA) · Entity-1142</x:v>
      </x:c>
      <x:c r="F351" s="137" t="n">
        <x:v>821.614013671875</x:v>
      </x:c>
      <x:c r="G351" s="137" t="n">
        <x:v>2726.320068359375</x:v>
      </x:c>
      <x:c r="H351" s="137" t="n">
        <x:v>60.903499603271484</x:v>
      </x:c>
      <x:c r="I351" s="137" t="n">
        <x:v>1017.1576158383801</x:v>
      </x:c>
      <x:c r="J351" s="137" t="n">
        <x:v>1118.431308266763</x:v>
      </x:c>
      <x:c r="K351" s="136" t="str">
        <x:v>map-16</x:v>
      </x:c>
      <x:c r="L351" s="136" t="str">
        <x:v>Antietam | Skirmish | Hagerstown Turnpike||Gun | 12-pounder Napoleon (CSA) · Entity-1142 [map-16/019]</x:v>
      </x:c>
      <x:c r="M351" s="35"/>
      <x:c r="N351" s="35"/>
      <x:c r="O351" s="35"/>
      <x:c r="P351" s="35"/>
      <x:c r="Q351" s="35"/>
      <x:c r="R351" s="35"/>
      <x:c r="S351" s="35"/>
      <x:c r="T351" s="35"/>
      <x:c r="U351" s="35"/>
      <x:c r="V351" s="35"/>
      <x:c r="W351" s="35"/>
      <x:c r="X351" s="35"/>
      <x:c r="Y351" s="35"/>
      <x:c r="Z351" s="35"/>
      <x:c r="AA351" s="35"/>
    </x:row>
    <x:row r="352">
      <x:c r="A352" s="136" t="str">
        <x:v>Antietam | Skirmish | Hagerstown Turnpike</x:v>
      </x:c>
      <x:c r="B352" s="136" t="str">
        <x:v>Gun | 12-pounder Napoleon (CSA) · Entity-1133 [map-16/020]</x:v>
      </x:c>
      <x:c r="C352" s="136" t="str">
        <x:v>gun_spawn</x:v>
      </x:c>
      <x:c r="D352" s="136" t="str"/>
      <x:c r="E352" s="136" t="str">
        <x:v>12-pounder Napoleon (CSA) · Entity-1133</x:v>
      </x:c>
      <x:c r="F352" s="137" t="n">
        <x:v>726.1690063476562</x:v>
      </x:c>
      <x:c r="G352" s="137" t="n">
        <x:v>2655.199951171875</x:v>
      </x:c>
      <x:c r="H352" s="137" t="n">
        <x:v>61.85036087036133</x:v>
      </x:c>
      <x:c r="I352" s="137" t="n">
        <x:v>1019.4940561809719</x:v>
      </x:c>
      <x:c r="J352" s="137" t="n">
        <x:v>1574.7383457554768</x:v>
      </x:c>
      <x:c r="K352" s="136" t="str">
        <x:v>map-16</x:v>
      </x:c>
      <x:c r="L352" s="136" t="str">
        <x:v>Antietam | Skirmish | Hagerstown Turnpike||Gun | 12-pounder Napoleon (CSA) · Entity-1133 [map-16/020]</x:v>
      </x:c>
      <x:c r="M352" s="35"/>
      <x:c r="N352" s="35"/>
      <x:c r="O352" s="35"/>
      <x:c r="P352" s="35"/>
      <x:c r="Q352" s="35"/>
      <x:c r="R352" s="35"/>
      <x:c r="S352" s="35"/>
      <x:c r="T352" s="35"/>
      <x:c r="U352" s="35"/>
      <x:c r="V352" s="35"/>
      <x:c r="W352" s="35"/>
      <x:c r="X352" s="35"/>
      <x:c r="Y352" s="35"/>
      <x:c r="Z352" s="35"/>
      <x:c r="AA352" s="35"/>
    </x:row>
    <x:row r="353">
      <x:c r="A353" s="136" t="str">
        <x:v>Antietam | Skirmish | Hagerstown Turnpike</x:v>
      </x:c>
      <x:c r="B353" s="136" t="str">
        <x:v>Gun | 12-pounder Napoleon (CSA) · Entity-1132 [map-16/021]</x:v>
      </x:c>
      <x:c r="C353" s="136" t="str">
        <x:v>gun_spawn</x:v>
      </x:c>
      <x:c r="D353" s="136" t="str"/>
      <x:c r="E353" s="136" t="str">
        <x:v>12-pounder Napoleon (CSA) · Entity-1132</x:v>
      </x:c>
      <x:c r="F353" s="137" t="n">
        <x:v>730.2000122070312</x:v>
      </x:c>
      <x:c r="G353" s="137" t="n">
        <x:v>2661.739990234375</x:v>
      </x:c>
      <x:c r="H353" s="137" t="n">
        <x:v>62.31028366088867</x:v>
      </x:c>
      <x:c r="I353" s="137" t="n">
        <x:v>1008.4830273332595</x:v>
      </x:c>
      <x:c r="J353" s="137" t="n">
        <x:v>1547.422075729627</x:v>
      </x:c>
      <x:c r="K353" s="136" t="str">
        <x:v>map-16</x:v>
      </x:c>
      <x:c r="L353" s="136" t="str">
        <x:v>Antietam | Skirmish | Hagerstown Turnpike||Gun | 12-pounder Napoleon (CSA) · Entity-1132 [map-16/021]</x:v>
      </x:c>
      <x:c r="M353" s="35"/>
      <x:c r="N353" s="35"/>
      <x:c r="O353" s="35"/>
      <x:c r="P353" s="35"/>
      <x:c r="Q353" s="35"/>
      <x:c r="R353" s="35"/>
      <x:c r="S353" s="35"/>
      <x:c r="T353" s="35"/>
      <x:c r="U353" s="35"/>
      <x:c r="V353" s="35"/>
      <x:c r="W353" s="35"/>
      <x:c r="X353" s="35"/>
      <x:c r="Y353" s="35"/>
      <x:c r="Z353" s="35"/>
      <x:c r="AA353" s="35"/>
    </x:row>
    <x:row r="354">
      <x:c r="A354" s="136" t="str">
        <x:v>Antietam | Skirmish | Hagerstown Turnpike</x:v>
      </x:c>
      <x:c r="B354" s="136" t="str">
        <x:v>Gun | 10-pounder Parrott · Entity-1130 [map-16/022]</x:v>
      </x:c>
      <x:c r="C354" s="136" t="str">
        <x:v>gun_spawn</x:v>
      </x:c>
      <x:c r="D354" s="136" t="str"/>
      <x:c r="E354" s="136" t="str">
        <x:v>10-pounder Parrott · Entity-1130</x:v>
      </x:c>
      <x:c r="F354" s="137" t="n">
        <x:v>715.1920166015625</x:v>
      </x:c>
      <x:c r="G354" s="137" t="n">
        <x:v>2633.820068359375</x:v>
      </x:c>
      <x:c r="H354" s="137" t="n">
        <x:v>60.75615692138672</x:v>
      </x:c>
      <x:c r="I354" s="137" t="n">
        <x:v>1060.496136354169</x:v>
      </x:c>
      <x:c r="J354" s="137" t="n">
        <x:v>1657.246565079714</x:v>
      </x:c>
      <x:c r="K354" s="136" t="str">
        <x:v>map-16</x:v>
      </x:c>
      <x:c r="L354" s="136" t="str">
        <x:v>Antietam | Skirmish | Hagerstown Turnpike||Gun | 10-pounder Parrott · Entity-1130 [map-16/022]</x:v>
      </x:c>
      <x:c r="M354" s="35"/>
      <x:c r="N354" s="35"/>
      <x:c r="O354" s="35"/>
      <x:c r="P354" s="35"/>
      <x:c r="Q354" s="35"/>
      <x:c r="R354" s="35"/>
      <x:c r="S354" s="35"/>
      <x:c r="T354" s="35"/>
      <x:c r="U354" s="35"/>
      <x:c r="V354" s="35"/>
      <x:c r="W354" s="35"/>
      <x:c r="X354" s="35"/>
      <x:c r="Y354" s="35"/>
      <x:c r="Z354" s="35"/>
      <x:c r="AA354" s="35"/>
    </x:row>
    <x:row r="355">
      <x:c r="A355" s="136" t="str">
        <x:v>Antietam | Skirmish | Hagerstown Turnpike</x:v>
      </x:c>
      <x:c r="B355" s="136" t="str">
        <x:v>Gun | 12-pounder Napoleon (USA) · Entity-1135 [map-16/023]</x:v>
      </x:c>
      <x:c r="C355" s="136" t="str">
        <x:v>gun_spawn</x:v>
      </x:c>
      <x:c r="D355" s="136" t="str"/>
      <x:c r="E355" s="136" t="str">
        <x:v>12-pounder Napoleon (USA) · Entity-1135</x:v>
      </x:c>
      <x:c r="F355" s="137" t="n">
        <x:v>733.9169921875</x:v>
      </x:c>
      <x:c r="G355" s="137" t="n">
        <x:v>2668.070068359375</x:v>
      </x:c>
      <x:c r="H355" s="137" t="n">
        <x:v>62.91280746459961</x:v>
      </x:c>
      <x:c r="I355" s="137" t="n">
        <x:v>997.4055256215144</x:v>
      </x:c>
      <x:c r="J355" s="137" t="n">
        <x:v>1521.5524408215783</x:v>
      </x:c>
      <x:c r="K355" s="136" t="str">
        <x:v>map-16</x:v>
      </x:c>
      <x:c r="L355" s="136" t="str">
        <x:v>Antietam | Skirmish | Hagerstown Turnpike||Gun | 12-pounder Napoleon (USA) · Entity-1135 [map-16/023]</x:v>
      </x:c>
      <x:c r="M355" s="35"/>
      <x:c r="N355" s="35"/>
      <x:c r="O355" s="35"/>
      <x:c r="P355" s="35"/>
      <x:c r="Q355" s="35"/>
      <x:c r="R355" s="35"/>
      <x:c r="S355" s="35"/>
      <x:c r="T355" s="35"/>
      <x:c r="U355" s="35"/>
      <x:c r="V355" s="35"/>
      <x:c r="W355" s="35"/>
      <x:c r="X355" s="35"/>
      <x:c r="Y355" s="35"/>
      <x:c r="Z355" s="35"/>
      <x:c r="AA355" s="35"/>
    </x:row>
    <x:row r="356">
      <x:c r="A356" s="136" t="str">
        <x:v>Antietam | Skirmish | Hagerstown Turnpike</x:v>
      </x:c>
      <x:c r="B356" s="136" t="str">
        <x:v>Gun | 10-pounder Parrott · Entity-1129 [map-16/024]</x:v>
      </x:c>
      <x:c r="C356" s="136" t="str">
        <x:v>gun_spawn</x:v>
      </x:c>
      <x:c r="D356" s="136" t="str"/>
      <x:c r="E356" s="136" t="str">
        <x:v>10-pounder Parrott · Entity-1129</x:v>
      </x:c>
      <x:c r="F356" s="137" t="n">
        <x:v>719.2849731445312</x:v>
      </x:c>
      <x:c r="G356" s="137" t="n">
        <x:v>2641.56005859375</x:v>
      </x:c>
      <x:c r="H356" s="137" t="n">
        <x:v>61.305599212646484</x:v>
      </x:c>
      <x:c r="I356" s="137" t="n">
        <x:v>1045.9232826792877</x:v>
      </x:c>
      <x:c r="J356" s="137" t="n">
        <x:v>1627.0094265296832</x:v>
      </x:c>
      <x:c r="K356" s="136" t="str">
        <x:v>map-16</x:v>
      </x:c>
      <x:c r="L356" s="136" t="str">
        <x:v>Antietam | Skirmish | Hagerstown Turnpike||Gun | 10-pounder Parrott · Entity-1129 [map-16/024]</x:v>
      </x:c>
      <x:c r="M356" s="35"/>
      <x:c r="N356" s="35"/>
      <x:c r="O356" s="35"/>
      <x:c r="P356" s="35"/>
      <x:c r="Q356" s="35"/>
      <x:c r="R356" s="35"/>
      <x:c r="S356" s="35"/>
      <x:c r="T356" s="35"/>
      <x:c r="U356" s="35"/>
      <x:c r="V356" s="35"/>
      <x:c r="W356" s="35"/>
      <x:c r="X356" s="35"/>
      <x:c r="Y356" s="35"/>
      <x:c r="Z356" s="35"/>
      <x:c r="AA356" s="35"/>
    </x:row>
    <x:row r="357">
      <x:c r="A357" s="136" t="str">
        <x:v>Antietam | Skirmish | Hagerstown Turnpike</x:v>
      </x:c>
      <x:c r="B357" s="136" t="str">
        <x:v>Gun | 3-inch Ordnance · Entity-1144 [map-16/025]</x:v>
      </x:c>
      <x:c r="C357" s="136" t="str">
        <x:v>gun_spawn</x:v>
      </x:c>
      <x:c r="D357" s="136" t="str"/>
      <x:c r="E357" s="136" t="str">
        <x:v>3-inch Ordnance · Entity-1144</x:v>
      </x:c>
      <x:c r="F357" s="137" t="n">
        <x:v>809.4860229492188</x:v>
      </x:c>
      <x:c r="G357" s="137" t="n">
        <x:v>2734.5</x:v>
      </x:c>
      <x:c r="H357" s="137" t="n">
        <x:v>60.902000427246094</x:v>
      </x:c>
      <x:c r="I357" s="137" t="n">
        <x:v>964.3270561459535</x:v>
      </x:c>
      <x:c r="J357" s="137" t="n">
        <x:v>1137.2472096278852</x:v>
      </x:c>
      <x:c r="K357" s="136" t="str">
        <x:v>map-16</x:v>
      </x:c>
      <x:c r="L357" s="136" t="str">
        <x:v>Antietam | Skirmish | Hagerstown Turnpike||Gun | 3-inch Ordnance · Entity-1144 [map-16/025]</x:v>
      </x:c>
      <x:c r="M357" s="35"/>
      <x:c r="N357" s="35"/>
      <x:c r="O357" s="35"/>
      <x:c r="P357" s="35"/>
      <x:c r="Q357" s="35"/>
      <x:c r="R357" s="35"/>
      <x:c r="S357" s="35"/>
      <x:c r="T357" s="35"/>
      <x:c r="U357" s="35"/>
      <x:c r="V357" s="35"/>
      <x:c r="W357" s="35"/>
      <x:c r="X357" s="35"/>
      <x:c r="Y357" s="35"/>
      <x:c r="Z357" s="35"/>
      <x:c r="AA357" s="35"/>
    </x:row>
    <x:row r="358">
      <x:c r="A358" s="136" t="str">
        <x:v>Antietam | Skirmish | Hagerstown Turnpike</x:v>
      </x:c>
      <x:c r="B358" s="136" t="str">
        <x:v>Gun | 12-pounder Napoleon (USA) · Entity-1143 [map-16/026]</x:v>
      </x:c>
      <x:c r="C358" s="136" t="str">
        <x:v>gun_spawn</x:v>
      </x:c>
      <x:c r="D358" s="136" t="str"/>
      <x:c r="E358" s="136" t="str">
        <x:v>12-pounder Napoleon (USA) · Entity-1143</x:v>
      </x:c>
      <x:c r="F358" s="137" t="n">
        <x:v>815.7130126953125</x:v>
      </x:c>
      <x:c r="G358" s="137" t="n">
        <x:v>2730.39990234375</x:v>
      </x:c>
      <x:c r="H358" s="137" t="n">
        <x:v>60.901100158691406</x:v>
      </x:c>
      <x:c r="I358" s="137" t="n">
        <x:v>991.1443874451899</x:v>
      </x:c>
      <x:c r="J358" s="137" t="n">
        <x:v>1127.3593468796353</x:v>
      </x:c>
      <x:c r="K358" s="136" t="str">
        <x:v>map-16</x:v>
      </x:c>
      <x:c r="L358" s="136" t="str">
        <x:v>Antietam | Skirmish | Hagerstown Turnpike||Gun | 12-pounder Napoleon (USA) · Entity-1143 [map-16/026]</x:v>
      </x:c>
      <x:c r="M358" s="35"/>
      <x:c r="N358" s="35"/>
      <x:c r="O358" s="35"/>
      <x:c r="P358" s="35"/>
      <x:c r="Q358" s="35"/>
      <x:c r="R358" s="35"/>
      <x:c r="S358" s="35"/>
      <x:c r="T358" s="35"/>
      <x:c r="U358" s="35"/>
      <x:c r="V358" s="35"/>
      <x:c r="W358" s="35"/>
      <x:c r="X358" s="35"/>
      <x:c r="Y358" s="35"/>
      <x:c r="Z358" s="35"/>
      <x:c r="AA358" s="35"/>
    </x:row>
    <x:row r="359">
      <x:c r="A359" s="136" t="str">
        <x:v>Antietam | Skirmish | Miller's Cornfield</x:v>
      </x:c>
      <x:c r="B359" s="136" t="str">
        <x:v>Spawn | USA Spawnpoint_MCHP_Defend_USA_14thBL [map-17/001]</x:v>
      </x:c>
      <x:c r="C359" s="136" t="str">
        <x:v>spawn</x:v>
      </x:c>
      <x:c r="D359" s="136" t="str">
        <x:v>USA</x:v>
      </x:c>
      <x:c r="E359" s="136" t="str">
        <x:v>Spawnpoint_MCHP_Defend_USA_14thBL</x:v>
      </x:c>
      <x:c r="F359" s="137" t="n">
        <x:v>1197.6146240234375</x:v>
      </x:c>
      <x:c r="G359" s="137" t="n">
        <x:v>2841.878173828125</x:v>
      </x:c>
      <x:c r="H359" s="137" t="n">
        <x:v>61.198143005371094</x:v>
      </x:c>
      <x:c r="I359" s="137" t="n">
        <x:v>1140.962752501051</x:v>
      </x:c>
      <x:c r="J359" s="137" t="n">
        <x:v>948.4864159461762</x:v>
      </x:c>
      <x:c r="K359" s="136" t="str">
        <x:v>map-17</x:v>
      </x:c>
      <x:c r="L359" s="136" t="str">
        <x:v>Antietam | Skirmish | Miller's Cornfield||Spawn | USA Spawnpoint_MCHP_Defend_USA_14thBL [map-17/001]</x:v>
      </x:c>
      <x:c r="M359" s="35"/>
      <x:c r="N359" s="35"/>
      <x:c r="O359" s="35"/>
      <x:c r="P359" s="35"/>
      <x:c r="Q359" s="35"/>
      <x:c r="R359" s="35"/>
      <x:c r="S359" s="35"/>
      <x:c r="T359" s="35"/>
      <x:c r="U359" s="35"/>
      <x:c r="V359" s="35"/>
      <x:c r="W359" s="35"/>
      <x:c r="X359" s="35"/>
      <x:c r="Y359" s="35"/>
      <x:c r="Z359" s="35"/>
      <x:c r="AA359" s="35"/>
    </x:row>
    <x:row r="360">
      <x:c r="A360" s="136" t="str">
        <x:v>Antietam | Skirmish | Miller's Cornfield</x:v>
      </x:c>
      <x:c r="B360" s="136" t="str">
        <x:v>Spawn | CSA Spawnpoint_MCHP_Base_CSA_1stTX-2 [map-17/002]</x:v>
      </x:c>
      <x:c r="C360" s="136" t="str">
        <x:v>spawn</x:v>
      </x:c>
      <x:c r="D360" s="136" t="str">
        <x:v>CSA</x:v>
      </x:c>
      <x:c r="E360" s="136" t="str">
        <x:v>Spawnpoint_MCHP_Base_CSA_1stTX-2</x:v>
      </x:c>
      <x:c r="F360" s="137" t="n">
        <x:v>1027.03515625</x:v>
      </x:c>
      <x:c r="G360" s="137" t="n">
        <x:v>2670.357666015625</x:v>
      </x:c>
      <x:c r="H360" s="137" t="n">
        <x:v>62.45002365112305</x:v>
      </x:c>
      <x:c r="I360" s="137" t="n">
        <x:v>1240.3719531905085</x:v>
      </x:c>
      <x:c r="J360" s="137" t="n">
        <x:v>1625.0225087869305</x:v>
      </x:c>
      <x:c r="K360" s="136" t="str">
        <x:v>map-17</x:v>
      </x:c>
      <x:c r="L360" s="136" t="str">
        <x:v>Antietam | Skirmish | Miller's Cornfield||Spawn | CSA Spawnpoint_MCHP_Base_CSA_1stTX-2 [map-17/002]</x:v>
      </x:c>
      <x:c r="M360" s="35"/>
      <x:c r="N360" s="35"/>
      <x:c r="O360" s="35"/>
      <x:c r="P360" s="35"/>
      <x:c r="Q360" s="35"/>
      <x:c r="R360" s="35"/>
      <x:c r="S360" s="35"/>
      <x:c r="T360" s="35"/>
      <x:c r="U360" s="35"/>
      <x:c r="V360" s="35"/>
      <x:c r="W360" s="35"/>
      <x:c r="X360" s="35"/>
      <x:c r="Y360" s="35"/>
      <x:c r="Z360" s="35"/>
      <x:c r="AA360" s="35"/>
    </x:row>
    <x:row r="361">
      <x:c r="A361" s="136" t="str">
        <x:v>Antietam | Skirmish | Miller's Cornfield</x:v>
      </x:c>
      <x:c r="B361" s="136" t="str">
        <x:v>Spawn | USA Spawnpoint_MCHP_Base_USA_14thBL-2 [map-17/003]</x:v>
      </x:c>
      <x:c r="C361" s="136" t="str">
        <x:v>spawn</x:v>
      </x:c>
      <x:c r="D361" s="136" t="str">
        <x:v>USA</x:v>
      </x:c>
      <x:c r="E361" s="136" t="str">
        <x:v>Spawnpoint_MCHP_Base_USA_14thBL-2</x:v>
      </x:c>
      <x:c r="F361" s="137" t="n">
        <x:v>1236.912353515625</x:v>
      </x:c>
      <x:c r="G361" s="137" t="n">
        <x:v>2984.690185546875</x:v>
      </x:c>
      <x:c r="H361" s="137" t="n">
        <x:v>62.39957046508789</x:v>
      </x:c>
      <x:c r="I361" s="137" t="n">
        <x:v>884.0428812131416</x:v>
      </x:c>
      <x:c r="J361" s="137" t="n">
        <x:v>617.9208053666558</x:v>
      </x:c>
      <x:c r="K361" s="136" t="str">
        <x:v>map-17</x:v>
      </x:c>
      <x:c r="L361" s="136" t="str">
        <x:v>Antietam | Skirmish | Miller's Cornfield||Spawn | USA Spawnpoint_MCHP_Base_USA_14thBL-2 [map-17/003]</x:v>
      </x:c>
      <x:c r="M361" s="35"/>
      <x:c r="N361" s="35"/>
      <x:c r="O361" s="35"/>
      <x:c r="P361" s="35"/>
      <x:c r="Q361" s="35"/>
      <x:c r="R361" s="35"/>
      <x:c r="S361" s="35"/>
      <x:c r="T361" s="35"/>
      <x:c r="U361" s="35"/>
      <x:c r="V361" s="35"/>
      <x:c r="W361" s="35"/>
      <x:c r="X361" s="35"/>
      <x:c r="Y361" s="35"/>
      <x:c r="Z361" s="35"/>
      <x:c r="AA361" s="35"/>
    </x:row>
    <x:row r="362">
      <x:c r="A362" s="136" t="str">
        <x:v>Antietam | Skirmish | Miller's Cornfield</x:v>
      </x:c>
      <x:c r="B362" s="136" t="str">
        <x:v>Spawn | CSA Spawnpoint_MCHP_Base_CSA_HaLe-2 [map-17/004]</x:v>
      </x:c>
      <x:c r="C362" s="136" t="str">
        <x:v>spawn</x:v>
      </x:c>
      <x:c r="D362" s="136" t="str">
        <x:v>CSA</x:v>
      </x:c>
      <x:c r="E362" s="136" t="str">
        <x:v>Spawnpoint_MCHP_Base_CSA_HaLe-2</x:v>
      </x:c>
      <x:c r="F362" s="137" t="n">
        <x:v>1043.9937744140625</x:v>
      </x:c>
      <x:c r="G362" s="137" t="n">
        <x:v>2659.012939453125</x:v>
      </x:c>
      <x:c r="H362" s="137" t="n">
        <x:v>61.17118453979492</x:v>
      </x:c>
      <x:c r="I362" s="137" t="n">
        <x:v>1294.821475622672</x:v>
      </x:c>
      <x:c r="J362" s="137" t="n">
        <x:v>1605.790428071842</x:v>
      </x:c>
      <x:c r="K362" s="136" t="str">
        <x:v>map-17</x:v>
      </x:c>
      <x:c r="L362" s="136" t="str">
        <x:v>Antietam | Skirmish | Miller's Cornfield||Spawn | CSA Spawnpoint_MCHP_Base_CSA_HaLe-2 [map-17/004]</x:v>
      </x:c>
      <x:c r="M362" s="35"/>
      <x:c r="N362" s="35"/>
      <x:c r="O362" s="35"/>
      <x:c r="P362" s="35"/>
      <x:c r="Q362" s="35"/>
      <x:c r="R362" s="35"/>
      <x:c r="S362" s="35"/>
      <x:c r="T362" s="35"/>
      <x:c r="U362" s="35"/>
      <x:c r="V362" s="35"/>
      <x:c r="W362" s="35"/>
      <x:c r="X362" s="35"/>
      <x:c r="Y362" s="35"/>
      <x:c r="Z362" s="35"/>
      <x:c r="AA362" s="35"/>
    </x:row>
    <x:row r="363">
      <x:c r="A363" s="136" t="str">
        <x:v>Antietam | Skirmish | Miller's Cornfield</x:v>
      </x:c>
      <x:c r="B363" s="136" t="str">
        <x:v>Spawn | CSA Spawnpoint_MCHP_Base_CSA_1stTX [map-17/005]</x:v>
      </x:c>
      <x:c r="C363" s="136" t="str">
        <x:v>spawn</x:v>
      </x:c>
      <x:c r="D363" s="136" t="str">
        <x:v>CSA</x:v>
      </x:c>
      <x:c r="E363" s="136" t="str">
        <x:v>Spawnpoint_MCHP_Base_CSA_1stTX</x:v>
      </x:c>
      <x:c r="F363" s="137" t="n">
        <x:v>1016.9434814453125</x:v>
      </x:c>
      <x:c r="G363" s="137" t="n">
        <x:v>2654.519775390625</x:v>
      </x:c>
      <x:c r="H363" s="137" t="n">
        <x:v>63.7708854675293</x:v>
      </x:c>
      <x:c r="I363" s="137" t="n">
        <x:v>1259.1449143358718</x:v>
      </x:c>
      <x:c r="J363" s="137" t="n">
        <x:v>1674.6715470047418</x:v>
      </x:c>
      <x:c r="K363" s="136" t="str">
        <x:v>map-17</x:v>
      </x:c>
      <x:c r="L363" s="136" t="str">
        <x:v>Antietam | Skirmish | Miller's Cornfield||Spawn | CSA Spawnpoint_MCHP_Base_CSA_1stTX [map-17/005]</x:v>
      </x:c>
      <x:c r="M363" s="35"/>
      <x:c r="N363" s="35"/>
      <x:c r="O363" s="35"/>
      <x:c r="P363" s="35"/>
      <x:c r="Q363" s="35"/>
      <x:c r="R363" s="35"/>
      <x:c r="S363" s="35"/>
      <x:c r="T363" s="35"/>
      <x:c r="U363" s="35"/>
      <x:c r="V363" s="35"/>
      <x:c r="W363" s="35"/>
      <x:c r="X363" s="35"/>
      <x:c r="Y363" s="35"/>
      <x:c r="Z363" s="35"/>
      <x:c r="AA363" s="35"/>
    </x:row>
    <x:row r="364">
      <x:c r="A364" s="136" t="str">
        <x:v>Antietam | Skirmish | Miller's Cornfield</x:v>
      </x:c>
      <x:c r="B364" s="136" t="str">
        <x:v>Spawn | USA Spawnpoint_MCHP_Defend_USA_14thBL-2 [map-17/006]</x:v>
      </x:c>
      <x:c r="C364" s="136" t="str">
        <x:v>spawn</x:v>
      </x:c>
      <x:c r="D364" s="136" t="str">
        <x:v>USA</x:v>
      </x:c>
      <x:c r="E364" s="136" t="str">
        <x:v>Spawnpoint_MCHP_Defend_USA_14thBL-2</x:v>
      </x:c>
      <x:c r="F364" s="137" t="n">
        <x:v>1192.46044921875</x:v>
      </x:c>
      <x:c r="G364" s="137" t="n">
        <x:v>2832.322265625</x:v>
      </x:c>
      <x:c r="H364" s="137" t="n">
        <x:v>60.836605072021484</x:v>
      </x:c>
      <x:c r="I364" s="137" t="n">
        <x:v>1153.8740827893143</x:v>
      </x:c>
      <x:c r="J364" s="137" t="n">
        <x:v>976.3249607879131</x:v>
      </x:c>
      <x:c r="K364" s="136" t="str">
        <x:v>map-17</x:v>
      </x:c>
      <x:c r="L364" s="136" t="str">
        <x:v>Antietam | Skirmish | Miller's Cornfield||Spawn | USA Spawnpoint_MCHP_Defend_USA_14thBL-2 [map-17/006]</x:v>
      </x:c>
      <x:c r="M364" s="35"/>
      <x:c r="N364" s="35"/>
      <x:c r="O364" s="35"/>
      <x:c r="P364" s="35"/>
      <x:c r="Q364" s="35"/>
      <x:c r="R364" s="35"/>
      <x:c r="S364" s="35"/>
      <x:c r="T364" s="35"/>
      <x:c r="U364" s="35"/>
      <x:c r="V364" s="35"/>
      <x:c r="W364" s="35"/>
      <x:c r="X364" s="35"/>
      <x:c r="Y364" s="35"/>
      <x:c r="Z364" s="35"/>
      <x:c r="AA364" s="35"/>
    </x:row>
    <x:row r="365">
      <x:c r="A365" s="136" t="str">
        <x:v>Antietam | Skirmish | Miller's Cornfield</x:v>
      </x:c>
      <x:c r="B365" s="136" t="str">
        <x:v>Artillery | USA Spawnpoint_MCHP_USA_Arty_Base [map-17/007]</x:v>
      </x:c>
      <x:c r="C365" s="136" t="str">
        <x:v>battery</x:v>
      </x:c>
      <x:c r="D365" s="136" t="str">
        <x:v>USA</x:v>
      </x:c>
      <x:c r="E365" s="136" t="str">
        <x:v>Spawnpoint_MCHP_USA_Arty_Base</x:v>
      </x:c>
      <x:c r="F365" s="137" t="n">
        <x:v>1261.321533203125</x:v>
      </x:c>
      <x:c r="G365" s="137" t="n">
        <x:v>3013.076416015625</x:v>
      </x:c>
      <x:c r="H365" s="137" t="n">
        <x:v>63.32920837402344</x:v>
      </x:c>
      <x:c r="I365" s="137" t="n">
        <x:v>861.1130021188983</x:v>
      </x:c>
      <x:c r="J365" s="137" t="n">
        <x:v>514.612809442402</x:v>
      </x:c>
      <x:c r="K365" s="136" t="str">
        <x:v>map-17</x:v>
      </x:c>
      <x:c r="L365" s="136" t="str">
        <x:v>Antietam | Skirmish | Miller's Cornfield||Artillery | USA Spawnpoint_MCHP_USA_Arty_Base [map-17/007]</x:v>
      </x:c>
      <x:c r="M365" s="35"/>
      <x:c r="N365" s="35"/>
      <x:c r="O365" s="35"/>
      <x:c r="P365" s="35"/>
      <x:c r="Q365" s="35"/>
      <x:c r="R365" s="35"/>
      <x:c r="S365" s="35"/>
      <x:c r="T365" s="35"/>
      <x:c r="U365" s="35"/>
      <x:c r="V365" s="35"/>
      <x:c r="W365" s="35"/>
      <x:c r="X365" s="35"/>
      <x:c r="Y365" s="35"/>
      <x:c r="Z365" s="35"/>
      <x:c r="AA365" s="35"/>
    </x:row>
    <x:row r="366">
      <x:c r="A366" s="136" t="str">
        <x:v>Antietam | Skirmish | Miller's Cornfield</x:v>
      </x:c>
      <x:c r="B366" s="136" t="str">
        <x:v>Spawn | USA Spawnpoint_MCHP_Defend_USA_6thWI-2 [map-17/008]</x:v>
      </x:c>
      <x:c r="C366" s="136" t="str">
        <x:v>spawn</x:v>
      </x:c>
      <x:c r="D366" s="136" t="str">
        <x:v>USA</x:v>
      </x:c>
      <x:c r="E366" s="136" t="str">
        <x:v>Spawnpoint_MCHP_Defend_USA_6thWI-2</x:v>
      </x:c>
      <x:c r="F366" s="137" t="n">
        <x:v>1184.1219482421875</x:v>
      </x:c>
      <x:c r="G366" s="137" t="n">
        <x:v>2849.68115234375</x:v>
      </x:c>
      <x:c r="H366" s="137" t="n">
        <x:v>62.31584930419922</x:v>
      </x:c>
      <x:c r="I366" s="137" t="n">
        <x:v>1100.4124570743968</x:v>
      </x:c>
      <x:c r="J366" s="137" t="n">
        <x:v>965.8566264651771</x:v>
      </x:c>
      <x:c r="K366" s="136" t="str">
        <x:v>map-17</x:v>
      </x:c>
      <x:c r="L366" s="136" t="str">
        <x:v>Antietam | Skirmish | Miller's Cornfield||Spawn | USA Spawnpoint_MCHP_Defend_USA_6thWI-2 [map-17/008]</x:v>
      </x:c>
      <x:c r="M366" s="35"/>
      <x:c r="N366" s="35"/>
      <x:c r="O366" s="35"/>
      <x:c r="P366" s="35"/>
      <x:c r="Q366" s="35"/>
      <x:c r="R366" s="35"/>
      <x:c r="S366" s="35"/>
      <x:c r="T366" s="35"/>
      <x:c r="U366" s="35"/>
      <x:c r="V366" s="35"/>
      <x:c r="W366" s="35"/>
      <x:c r="X366" s="35"/>
      <x:c r="Y366" s="35"/>
      <x:c r="Z366" s="35"/>
      <x:c r="AA366" s="35"/>
    </x:row>
    <x:row r="367">
      <x:c r="A367" s="136" t="str">
        <x:v>Antietam | Skirmish | Miller's Cornfield</x:v>
      </x:c>
      <x:c r="B367" s="136" t="str">
        <x:v>Spawn | CSA Spawnpoint_MCHP_Base_CSA_HaLe [map-17/009]</x:v>
      </x:c>
      <x:c r="C367" s="136" t="str">
        <x:v>spawn</x:v>
      </x:c>
      <x:c r="D367" s="136" t="str">
        <x:v>CSA</x:v>
      </x:c>
      <x:c r="E367" s="136" t="str">
        <x:v>Spawnpoint_MCHP_Base_CSA_HaLe</x:v>
      </x:c>
      <x:c r="F367" s="137" t="n">
        <x:v>1033.849609375</x:v>
      </x:c>
      <x:c r="G367" s="137" t="n">
        <x:v>2643.14404296875</x:v>
      </x:c>
      <x:c r="H367" s="137" t="n">
        <x:v>62.099788665771484</x:v>
      </x:c>
      <x:c r="I367" s="137" t="n">
        <x:v>1313.575698283092</x:v>
      </x:c>
      <x:c r="J367" s="137" t="n">
        <x:v>1655.610821869014</x:v>
      </x:c>
      <x:c r="K367" s="136" t="str">
        <x:v>map-17</x:v>
      </x:c>
      <x:c r="L367" s="136" t="str">
        <x:v>Antietam | Skirmish | Miller's Cornfield||Spawn | CSA Spawnpoint_MCHP_Base_CSA_HaLe [map-17/009]</x:v>
      </x:c>
      <x:c r="M367" s="35"/>
      <x:c r="N367" s="35"/>
      <x:c r="O367" s="35"/>
      <x:c r="P367" s="35"/>
      <x:c r="Q367" s="35"/>
      <x:c r="R367" s="35"/>
      <x:c r="S367" s="35"/>
      <x:c r="T367" s="35"/>
      <x:c r="U367" s="35"/>
      <x:c r="V367" s="35"/>
      <x:c r="W367" s="35"/>
      <x:c r="X367" s="35"/>
      <x:c r="Y367" s="35"/>
      <x:c r="Z367" s="35"/>
      <x:c r="AA367" s="35"/>
    </x:row>
    <x:row r="368">
      <x:c r="A368" s="136" t="str">
        <x:v>Antietam | Skirmish | Miller's Cornfield</x:v>
      </x:c>
      <x:c r="B368" s="136" t="str">
        <x:v>Spawn | USA Spawnpoint_MCHP_Base_USA_6thWI [map-17/010]</x:v>
      </x:c>
      <x:c r="C368" s="136" t="str">
        <x:v>spawn</x:v>
      </x:c>
      <x:c r="D368" s="136" t="str">
        <x:v>USA</x:v>
      </x:c>
      <x:c r="E368" s="136" t="str">
        <x:v>Spawnpoint_MCHP_Base_USA_6thWI</x:v>
      </x:c>
      <x:c r="F368" s="137" t="n">
        <x:v>1260.9388427734375</x:v>
      </x:c>
      <x:c r="G368" s="137" t="n">
        <x:v>2994.071533203125</x:v>
      </x:c>
      <x:c r="H368" s="137" t="n">
        <x:v>62.092071533203125</x:v>
      </x:c>
      <x:c r="I368" s="137" t="n">
        <x:v>903.5194098779247</x:v>
      </x:c>
      <x:c r="J368" s="137" t="n">
        <x:v>547.6226793354128</x:v>
      </x:c>
      <x:c r="K368" s="136" t="str">
        <x:v>map-17</x:v>
      </x:c>
      <x:c r="L368" s="136" t="str">
        <x:v>Antietam | Skirmish | Miller's Cornfield||Spawn | USA Spawnpoint_MCHP_Base_USA_6thWI [map-17/010]</x:v>
      </x:c>
      <x:c r="M368" s="35"/>
      <x:c r="N368" s="35"/>
      <x:c r="O368" s="35"/>
      <x:c r="P368" s="35"/>
      <x:c r="Q368" s="35"/>
      <x:c r="R368" s="35"/>
      <x:c r="S368" s="35"/>
      <x:c r="T368" s="35"/>
      <x:c r="U368" s="35"/>
      <x:c r="V368" s="35"/>
      <x:c r="W368" s="35"/>
      <x:c r="X368" s="35"/>
      <x:c r="Y368" s="35"/>
      <x:c r="Z368" s="35"/>
      <x:c r="AA368" s="35"/>
    </x:row>
    <x:row r="369">
      <x:c r="A369" s="136" t="str">
        <x:v>Antietam | Skirmish | Miller's Cornfield</x:v>
      </x:c>
      <x:c r="B369" s="136" t="str">
        <x:v>Objective | Victory_Millers_Cornfield_Hood_Push [map-17/011]</x:v>
      </x:c>
      <x:c r="C369" s="136" t="str">
        <x:v>objective</x:v>
      </x:c>
      <x:c r="D369" s="136" t="str"/>
      <x:c r="E369" s="136" t="str">
        <x:v>Victory_Millers_Cornfield_Hood_Push</x:v>
      </x:c>
      <x:c r="F369" s="137" t="n">
        <x:v>1187.4666748046875</x:v>
      </x:c>
      <x:c r="G369" s="137" t="n">
        <x:v>2842.874267578125</x:v>
      </x:c>
      <x:c r="H369" s="137" t="n">
        <x:v>61.70111846923828</x:v>
      </x:c>
      <x:c r="I369" s="137" t="n">
        <x:v>1121.5032943976898</x:v>
      </x:c>
      <x:c r="J369" s="137" t="n">
        <x:v>969.7916825861898</x:v>
      </x:c>
      <x:c r="K369" s="136" t="str">
        <x:v>map-17</x:v>
      </x:c>
      <x:c r="L369" s="136" t="str">
        <x:v>Antietam | Skirmish | Miller's Cornfield||Objective | Victory_Millers_Cornfield_Hood_Push [map-17/011]</x:v>
      </x:c>
      <x:c r="M369" s="35"/>
      <x:c r="N369" s="35"/>
      <x:c r="O369" s="35"/>
      <x:c r="P369" s="35"/>
      <x:c r="Q369" s="35"/>
      <x:c r="R369" s="35"/>
      <x:c r="S369" s="35"/>
      <x:c r="T369" s="35"/>
      <x:c r="U369" s="35"/>
      <x:c r="V369" s="35"/>
      <x:c r="W369" s="35"/>
      <x:c r="X369" s="35"/>
      <x:c r="Y369" s="35"/>
      <x:c r="Z369" s="35"/>
      <x:c r="AA369" s="35"/>
    </x:row>
    <x:row r="370">
      <x:c r="A370" s="136" t="str">
        <x:v>Antietam | Skirmish | Miller's Cornfield</x:v>
      </x:c>
      <x:c r="B370" s="136" t="str">
        <x:v>Spawn | USA Spawnpoint_MCHP_Defend_USA_6thWI [map-17/012]</x:v>
      </x:c>
      <x:c r="C370" s="136" t="str">
        <x:v>spawn</x:v>
      </x:c>
      <x:c r="D370" s="136" t="str">
        <x:v>USA</x:v>
      </x:c>
      <x:c r="E370" s="136" t="str">
        <x:v>Spawnpoint_MCHP_Defend_USA_6thWI</x:v>
      </x:c>
      <x:c r="F370" s="137" t="n">
        <x:v>1175.336181640625</x:v>
      </x:c>
      <x:c r="G370" s="137" t="n">
        <x:v>2842.48095703125</x:v>
      </x:c>
      <x:c r="H370" s="137" t="n">
        <x:v>62.41783905029297</x:v>
      </x:c>
      <x:c r="I370" s="137" t="n">
        <x:v>1101.8306877024634</x:v>
      </x:c>
      <x:c r="J370" s="137" t="n">
        <x:v>997.9382538121196</x:v>
      </x:c>
      <x:c r="K370" s="136" t="str">
        <x:v>map-17</x:v>
      </x:c>
      <x:c r="L370" s="136" t="str">
        <x:v>Antietam | Skirmish | Miller's Cornfield||Spawn | USA Spawnpoint_MCHP_Defend_USA_6thWI [map-17/012]</x:v>
      </x:c>
      <x:c r="M370" s="35"/>
      <x:c r="N370" s="35"/>
      <x:c r="O370" s="35"/>
      <x:c r="P370" s="35"/>
      <x:c r="Q370" s="35"/>
      <x:c r="R370" s="35"/>
      <x:c r="S370" s="35"/>
      <x:c r="T370" s="35"/>
      <x:c r="U370" s="35"/>
      <x:c r="V370" s="35"/>
      <x:c r="W370" s="35"/>
      <x:c r="X370" s="35"/>
      <x:c r="Y370" s="35"/>
      <x:c r="Z370" s="35"/>
      <x:c r="AA370" s="35"/>
    </x:row>
    <x:row r="371">
      <x:c r="A371" s="136" t="str">
        <x:v>Antietam | Skirmish | Miller's Cornfield</x:v>
      </x:c>
      <x:c r="B371" s="136" t="str">
        <x:v>Spawn | USA Spawnpoint_MCHP_Base_USA_6thWI-2 [map-17/013]</x:v>
      </x:c>
      <x:c r="C371" s="136" t="str">
        <x:v>spawn</x:v>
      </x:c>
      <x:c r="D371" s="136" t="str">
        <x:v>USA</x:v>
      </x:c>
      <x:c r="E371" s="136" t="str">
        <x:v>Spawnpoint_MCHP_Base_USA_6thWI-2</x:v>
      </x:c>
      <x:c r="F371" s="137" t="n">
        <x:v>1250.8597412109375</x:v>
      </x:c>
      <x:c r="G371" s="137" t="n">
        <x:v>2976.76171875</x:v>
      </x:c>
      <x:c r="H371" s="137" t="n">
        <x:v>62.51025390625</x:v>
      </x:c>
      <x:c r="I371" s="137" t="n">
        <x:v>925.6482963939709</x:v>
      </x:c>
      <x:c r="J371" s="137" t="n">
        <x:v>599.7326928700992</x:v>
      </x:c>
      <x:c r="K371" s="136" t="str">
        <x:v>map-17</x:v>
      </x:c>
      <x:c r="L371" s="136" t="str">
        <x:v>Antietam | Skirmish | Miller's Cornfield||Spawn | USA Spawnpoint_MCHP_Base_USA_6thWI-2 [map-17/013]</x:v>
      </x:c>
      <x:c r="M371" s="35"/>
      <x:c r="N371" s="35"/>
      <x:c r="O371" s="35"/>
      <x:c r="P371" s="35"/>
      <x:c r="Q371" s="35"/>
      <x:c r="R371" s="35"/>
      <x:c r="S371" s="35"/>
      <x:c r="T371" s="35"/>
      <x:c r="U371" s="35"/>
      <x:c r="V371" s="35"/>
      <x:c r="W371" s="35"/>
      <x:c r="X371" s="35"/>
      <x:c r="Y371" s="35"/>
      <x:c r="Z371" s="35"/>
      <x:c r="AA371" s="35"/>
    </x:row>
    <x:row r="372">
      <x:c r="A372" s="136" t="str">
        <x:v>Antietam | Skirmish | Miller's Cornfield</x:v>
      </x:c>
      <x:c r="B372" s="136" t="str">
        <x:v>Artillery | USA Spawnpoint_MCHP_USA_Arty_Ransom_Forward [map-17/014]</x:v>
      </x:c>
      <x:c r="C372" s="136" t="str">
        <x:v>battery</x:v>
      </x:c>
      <x:c r="D372" s="136" t="str">
        <x:v>USA</x:v>
      </x:c>
      <x:c r="E372" s="136" t="str">
        <x:v>Spawnpoint_MCHP_USA_Arty_Ransom_Forward</x:v>
      </x:c>
      <x:c r="F372" s="137" t="n">
        <x:v>1305.100830078125</x:v>
      </x:c>
      <x:c r="G372" s="137" t="n">
        <x:v>2997.672607421875</x:v>
      </x:c>
      <x:c r="H372" s="137" t="n">
        <x:v>61.40195846557617</x:v>
      </x:c>
      <x:c r="I372" s="137" t="n">
        <x:v>970.2247692787979</x:v>
      </x:c>
      <x:c r="J372" s="137" t="n">
        <x:v>441.48418034649046</x:v>
      </x:c>
      <x:c r="K372" s="136" t="str">
        <x:v>map-17</x:v>
      </x:c>
      <x:c r="L372" s="136" t="str">
        <x:v>Antietam | Skirmish | Miller's Cornfield||Artillery | USA Spawnpoint_MCHP_USA_Arty_Ransom_Forward [map-17/014]</x:v>
      </x:c>
      <x:c r="M372" s="35"/>
      <x:c r="N372" s="35"/>
      <x:c r="O372" s="35"/>
      <x:c r="P372" s="35"/>
      <x:c r="Q372" s="35"/>
      <x:c r="R372" s="35"/>
      <x:c r="S372" s="35"/>
      <x:c r="T372" s="35"/>
      <x:c r="U372" s="35"/>
      <x:c r="V372" s="35"/>
      <x:c r="W372" s="35"/>
      <x:c r="X372" s="35"/>
      <x:c r="Y372" s="35"/>
      <x:c r="Z372" s="35"/>
      <x:c r="AA372" s="35"/>
    </x:row>
    <x:row r="373">
      <x:c r="A373" s="136" t="str">
        <x:v>Antietam | Skirmish | Miller's Cornfield</x:v>
      </x:c>
      <x:c r="B373" s="136" t="str">
        <x:v>Spawn | USA Spawnpoint_MCHP_Base_USA_14thBL [map-17/015]</x:v>
      </x:c>
      <x:c r="C373" s="136" t="str">
        <x:v>spawn</x:v>
      </x:c>
      <x:c r="D373" s="136" t="str">
        <x:v>USA</x:v>
      </x:c>
      <x:c r="E373" s="136" t="str">
        <x:v>Spawnpoint_MCHP_Base_USA_14thBL</x:v>
      </x:c>
      <x:c r="F373" s="137" t="n">
        <x:v>1246.9071044921875</x:v>
      </x:c>
      <x:c r="G373" s="137" t="n">
        <x:v>3001.85595703125</x:v>
      </x:c>
      <x:c r="H373" s="137" t="n">
        <x:v>63.10087203979492</x:v>
      </x:c>
      <x:c r="I373" s="137" t="n">
        <x:v>862.0973295567788</x:v>
      </x:c>
      <x:c r="J373" s="137" t="n">
        <x:v>566.2455056149852</x:v>
      </x:c>
      <x:c r="K373" s="136" t="str">
        <x:v>map-17</x:v>
      </x:c>
      <x:c r="L373" s="136" t="str">
        <x:v>Antietam | Skirmish | Miller's Cornfield||Spawn | USA Spawnpoint_MCHP_Base_USA_14thBL [map-17/015]</x:v>
      </x:c>
      <x:c r="M373" s="35"/>
      <x:c r="N373" s="35"/>
      <x:c r="O373" s="35"/>
      <x:c r="P373" s="35"/>
      <x:c r="Q373" s="35"/>
      <x:c r="R373" s="35"/>
      <x:c r="S373" s="35"/>
      <x:c r="T373" s="35"/>
      <x:c r="U373" s="35"/>
      <x:c r="V373" s="35"/>
      <x:c r="W373" s="35"/>
      <x:c r="X373" s="35"/>
      <x:c r="Y373" s="35"/>
      <x:c r="Z373" s="35"/>
      <x:c r="AA373" s="35"/>
    </x:row>
    <x:row r="374">
      <x:c r="A374" s="136" t="str">
        <x:v>Antietam | Skirmish | Miller's Cornfield</x:v>
      </x:c>
      <x:c r="B374" s="136" t="str">
        <x:v>Artillery | CSA Spawnpoint_MCHP_CSA_Arty_Base [map-17/016]</x:v>
      </x:c>
      <x:c r="C374" s="136" t="str">
        <x:v>battery</x:v>
      </x:c>
      <x:c r="D374" s="136" t="str">
        <x:v>CSA</x:v>
      </x:c>
      <x:c r="E374" s="136" t="str">
        <x:v>Spawnpoint_MCHP_CSA_Arty_Base</x:v>
      </x:c>
      <x:c r="F374" s="137" t="n">
        <x:v>1016.755615234375</x:v>
      </x:c>
      <x:c r="G374" s="137" t="n">
        <x:v>2635.697998046875</x:v>
      </x:c>
      <x:c r="H374" s="137" t="n">
        <x:v>63.796363830566406</x:v>
      </x:c>
      <x:c r="I374" s="137" t="n">
        <x:v>1301.466767183098</x:v>
      </x:c>
      <x:c r="J374" s="137" t="n">
        <x:v>1706.930361248156</x:v>
      </x:c>
      <x:c r="K374" s="136" t="str">
        <x:v>map-17</x:v>
      </x:c>
      <x:c r="L374" s="136" t="str">
        <x:v>Antietam | Skirmish | Miller's Cornfield||Artillery | CSA Spawnpoint_MCHP_CSA_Arty_Base [map-17/016]</x:v>
      </x:c>
      <x:c r="M374" s="35"/>
      <x:c r="N374" s="35"/>
      <x:c r="O374" s="35"/>
      <x:c r="P374" s="35"/>
      <x:c r="Q374" s="35"/>
      <x:c r="R374" s="35"/>
      <x:c r="S374" s="35"/>
      <x:c r="T374" s="35"/>
      <x:c r="U374" s="35"/>
      <x:c r="V374" s="35"/>
      <x:c r="W374" s="35"/>
      <x:c r="X374" s="35"/>
      <x:c r="Y374" s="35"/>
      <x:c r="Z374" s="35"/>
      <x:c r="AA374" s="35"/>
    </x:row>
    <x:row r="375">
      <x:c r="A375" s="136" t="str">
        <x:v>Antietam | Skirmish | Miller's Cornfield</x:v>
      </x:c>
      <x:c r="B375" s="136" t="str">
        <x:v>Artillery | USA Spawnpoint_MCHP_USA_Arty_Matthews_Forward [map-17/017]</x:v>
      </x:c>
      <x:c r="C375" s="136" t="str">
        <x:v>battery</x:v>
      </x:c>
      <x:c r="D375" s="136" t="str">
        <x:v>USA</x:v>
      </x:c>
      <x:c r="E375" s="136" t="str">
        <x:v>Spawnpoint_MCHP_USA_Arty_Matthews_Forward</x:v>
      </x:c>
      <x:c r="F375" s="137" t="n">
        <x:v>1435.202392578125</x:v>
      </x:c>
      <x:c r="G375" s="137" t="n">
        <x:v>2934.73486328125</x:v>
      </x:c>
      <x:c r="H375" s="137" t="n">
        <x:v>62.01396179199219</x:v>
      </x:c>
      <x:c r="I375" s="137" t="n">
        <x:v>1333.3573518689968</x:v>
      </x:c>
      <x:c r="J375" s="137" t="n">
        <x:v>253.18833220102894</x:v>
      </x:c>
      <x:c r="K375" s="136" t="str">
        <x:v>map-17</x:v>
      </x:c>
      <x:c r="L375" s="136" t="str">
        <x:v>Antietam | Skirmish | Miller's Cornfield||Artillery | USA Spawnpoint_MCHP_USA_Arty_Matthews_Forward [map-17/017]</x:v>
      </x:c>
      <x:c r="M375" s="35"/>
      <x:c r="N375" s="35"/>
      <x:c r="O375" s="35"/>
      <x:c r="P375" s="35"/>
      <x:c r="Q375" s="35"/>
      <x:c r="R375" s="35"/>
      <x:c r="S375" s="35"/>
      <x:c r="T375" s="35"/>
      <x:c r="U375" s="35"/>
      <x:c r="V375" s="35"/>
      <x:c r="W375" s="35"/>
      <x:c r="X375" s="35"/>
      <x:c r="Y375" s="35"/>
      <x:c r="Z375" s="35"/>
      <x:c r="AA375" s="35"/>
    </x:row>
    <x:row r="376">
      <x:c r="A376" s="136" t="str">
        <x:v>Antietam | Skirmish | Miller's Cornfield</x:v>
      </x:c>
      <x:c r="B376" s="136" t="str">
        <x:v>Gun | 12-pounder Napoleon (USA) · Entity-1221 [map-17/018]</x:v>
      </x:c>
      <x:c r="C376" s="136" t="str">
        <x:v>gun_spawn</x:v>
      </x:c>
      <x:c r="D376" s="136" t="str"/>
      <x:c r="E376" s="136" t="str">
        <x:v>12-pounder Napoleon (USA) · Entity-1221</x:v>
      </x:c>
      <x:c r="F376" s="137" t="n">
        <x:v>1293.81005859375</x:v>
      </x:c>
      <x:c r="G376" s="137" t="n">
        <x:v>2979.929931640625</x:v>
      </x:c>
      <x:c r="H376" s="137" t="n">
        <x:v>61.58330535888672</x:v>
      </x:c>
      <x:c r="I376" s="137" t="n">
        <x:v>991.280267689494</x:v>
      </x:c>
      <x:c r="J376" s="137" t="n">
        <x:v>497.0713024172681</x:v>
      </x:c>
      <x:c r="K376" s="136" t="str">
        <x:v>map-17</x:v>
      </x:c>
      <x:c r="L376" s="136" t="str">
        <x:v>Antietam | Skirmish | Miller's Cornfield||Gun | 12-pounder Napoleon (USA) · Entity-1221 [map-17/018]</x:v>
      </x:c>
      <x:c r="M376" s="35"/>
      <x:c r="N376" s="35"/>
      <x:c r="O376" s="35"/>
      <x:c r="P376" s="35"/>
      <x:c r="Q376" s="35"/>
      <x:c r="R376" s="35"/>
      <x:c r="S376" s="35"/>
      <x:c r="T376" s="35"/>
      <x:c r="U376" s="35"/>
      <x:c r="V376" s="35"/>
      <x:c r="W376" s="35"/>
      <x:c r="X376" s="35"/>
      <x:c r="Y376" s="35"/>
      <x:c r="Z376" s="35"/>
      <x:c r="AA376" s="35"/>
    </x:row>
    <x:row r="377">
      <x:c r="A377" s="136" t="str">
        <x:v>Antietam | Skirmish | Miller's Cornfield</x:v>
      </x:c>
      <x:c r="B377" s="136" t="str">
        <x:v>Gun | 10-pounder Parrott · Entity-1231 [map-17/019]</x:v>
      </x:c>
      <x:c r="C377" s="136" t="str">
        <x:v>gun_spawn</x:v>
      </x:c>
      <x:c r="D377" s="136" t="str"/>
      <x:c r="E377" s="136" t="str">
        <x:v>10-pounder Parrott · Entity-1231</x:v>
      </x:c>
      <x:c r="F377" s="137" t="n">
        <x:v>1428.780029296875</x:v>
      </x:c>
      <x:c r="G377" s="137" t="n">
        <x:v>2910.550048828125</x:v>
      </x:c>
      <x:c r="H377" s="137" t="n">
        <x:v>62.580299377441406</x:v>
      </x:c>
      <x:c r="I377" s="137" t="n">
        <x:v>1377.260312344984</x:v>
      </x:c>
      <x:c r="J377" s="137" t="n">
        <x:v>308.6417492072773</x:v>
      </x:c>
      <x:c r="K377" s="136" t="str">
        <x:v>map-17</x:v>
      </x:c>
      <x:c r="L377" s="136" t="str">
        <x:v>Antietam | Skirmish | Miller's Cornfield||Gun | 10-pounder Parrott · Entity-1231 [map-17/019]</x:v>
      </x:c>
      <x:c r="M377" s="35"/>
      <x:c r="N377" s="35"/>
      <x:c r="O377" s="35"/>
      <x:c r="P377" s="35"/>
      <x:c r="Q377" s="35"/>
      <x:c r="R377" s="35"/>
      <x:c r="S377" s="35"/>
      <x:c r="T377" s="35"/>
      <x:c r="U377" s="35"/>
      <x:c r="V377" s="35"/>
      <x:c r="W377" s="35"/>
      <x:c r="X377" s="35"/>
      <x:c r="Y377" s="35"/>
      <x:c r="Z377" s="35"/>
      <x:c r="AA377" s="35"/>
    </x:row>
    <x:row r="378">
      <x:c r="A378" s="136" t="str">
        <x:v>Antietam | Skirmish | Miller's Cornfield</x:v>
      </x:c>
      <x:c r="B378" s="136" t="str">
        <x:v>Gun | 3-inch Ordnance · Entity-1214 [map-17/020]</x:v>
      </x:c>
      <x:c r="C378" s="136" t="str">
        <x:v>gun_spawn</x:v>
      </x:c>
      <x:c r="D378" s="136" t="str"/>
      <x:c r="E378" s="136" t="str">
        <x:v>3-inch Ordnance · Entity-1214</x:v>
      </x:c>
      <x:c r="F378" s="137" t="n">
        <x:v>1314.47998046875</x:v>
      </x:c>
      <x:c r="G378" s="137" t="n">
        <x:v>2962.010009765625</x:v>
      </x:c>
      <x:c r="H378" s="137" t="n">
        <x:v>63.4470329284668</x:v>
      </x:c>
      <x:c r="I378" s="137" t="n">
        <x:v>1066.9171625880413</x:v>
      </x:c>
      <x:c r="J378" s="137" t="n">
        <x:v>480.55194974889696</x:v>
      </x:c>
      <x:c r="K378" s="136" t="str">
        <x:v>map-17</x:v>
      </x:c>
      <x:c r="L378" s="136" t="str">
        <x:v>Antietam | Skirmish | Miller's Cornfield||Gun | 3-inch Ordnance · Entity-1214 [map-17/020]</x:v>
      </x:c>
      <x:c r="M378" s="35"/>
      <x:c r="N378" s="35"/>
      <x:c r="O378" s="35"/>
      <x:c r="P378" s="35"/>
      <x:c r="Q378" s="35"/>
      <x:c r="R378" s="35"/>
      <x:c r="S378" s="35"/>
      <x:c r="T378" s="35"/>
      <x:c r="U378" s="35"/>
      <x:c r="V378" s="35"/>
      <x:c r="W378" s="35"/>
      <x:c r="X378" s="35"/>
      <x:c r="Y378" s="35"/>
      <x:c r="Z378" s="35"/>
      <x:c r="AA378" s="35"/>
    </x:row>
    <x:row r="379">
      <x:c r="A379" s="136" t="str">
        <x:v>Antietam | Skirmish | Miller's Cornfield</x:v>
      </x:c>
      <x:c r="B379" s="136" t="str">
        <x:v>Gun | 12-pounder Napoleon (USA) · Entity-1220 [map-17/021]</x:v>
      </x:c>
      <x:c r="C379" s="136" t="str">
        <x:v>gun_spawn</x:v>
      </x:c>
      <x:c r="D379" s="136" t="str"/>
      <x:c r="E379" s="136" t="str">
        <x:v>12-pounder Napoleon (USA) · Entity-1220</x:v>
      </x:c>
      <x:c r="F379" s="137" t="n">
        <x:v>1287.3900146484375</x:v>
      </x:c>
      <x:c r="G379" s="137" t="n">
        <x:v>2985.929931640625</x:v>
      </x:c>
      <x:c r="H379" s="137" t="n">
        <x:v>61.2942008972168</x:v>
      </x:c>
      <x:c r="I379" s="137" t="n">
        <x:v>966.8041242073829</x:v>
      </x:c>
      <x:c r="J379" s="137" t="n">
        <x:v>501.4679918737813</x:v>
      </x:c>
      <x:c r="K379" s="136" t="str">
        <x:v>map-17</x:v>
      </x:c>
      <x:c r="L379" s="136" t="str">
        <x:v>Antietam | Skirmish | Miller's Cornfield||Gun | 12-pounder Napoleon (USA) · Entity-1220 [map-17/021]</x:v>
      </x:c>
      <x:c r="M379" s="35"/>
      <x:c r="N379" s="35"/>
      <x:c r="O379" s="35"/>
      <x:c r="P379" s="35"/>
      <x:c r="Q379" s="35"/>
      <x:c r="R379" s="35"/>
      <x:c r="S379" s="35"/>
      <x:c r="T379" s="35"/>
      <x:c r="U379" s="35"/>
      <x:c r="V379" s="35"/>
      <x:c r="W379" s="35"/>
      <x:c r="X379" s="35"/>
      <x:c r="Y379" s="35"/>
      <x:c r="Z379" s="35"/>
      <x:c r="AA379" s="35"/>
    </x:row>
    <x:row r="380">
      <x:c r="A380" s="136" t="str">
        <x:v>Antietam | Skirmish | Miller's Cornfield</x:v>
      </x:c>
      <x:c r="B380" s="136" t="str">
        <x:v>Gun | 12-pounder Napoleon (USA) · Entity-1232 [map-17/022]</x:v>
      </x:c>
      <x:c r="C380" s="136" t="str">
        <x:v>gun_spawn</x:v>
      </x:c>
      <x:c r="D380" s="136" t="str"/>
      <x:c r="E380" s="136" t="str">
        <x:v>12-pounder Napoleon (USA) · Entity-1232</x:v>
      </x:c>
      <x:c r="F380" s="137" t="n">
        <x:v>1418.5400390625</x:v>
      </x:c>
      <x:c r="G380" s="137" t="n">
        <x:v>2920.429931640625</x:v>
      </x:c>
      <x:c r="H380" s="137" t="n">
        <x:v>62.72370910644531</x:v>
      </x:c>
      <x:c r="I380" s="137" t="n">
        <x:v>1337.5187966256797</x:v>
      </x:c>
      <x:c r="J380" s="137" t="n">
        <x:v>315.13041078294776</x:v>
      </x:c>
      <x:c r="K380" s="136" t="str">
        <x:v>map-17</x:v>
      </x:c>
      <x:c r="L380" s="136" t="str">
        <x:v>Antietam | Skirmish | Miller's Cornfield||Gun | 12-pounder Napoleon (USA) · Entity-1232 [map-17/022]</x:v>
      </x:c>
      <x:c r="M380" s="35"/>
      <x:c r="N380" s="35"/>
      <x:c r="O380" s="35"/>
      <x:c r="P380" s="35"/>
      <x:c r="Q380" s="35"/>
      <x:c r="R380" s="35"/>
      <x:c r="S380" s="35"/>
      <x:c r="T380" s="35"/>
      <x:c r="U380" s="35"/>
      <x:c r="V380" s="35"/>
      <x:c r="W380" s="35"/>
      <x:c r="X380" s="35"/>
      <x:c r="Y380" s="35"/>
      <x:c r="Z380" s="35"/>
      <x:c r="AA380" s="35"/>
    </x:row>
    <x:row r="381">
      <x:c r="A381" s="136" t="str">
        <x:v>Antietam | Skirmish | Miller's Cornfield</x:v>
      </x:c>
      <x:c r="B381" s="136" t="str">
        <x:v>Gun | 12-pounder Napoleon (USA) · Entity-1230 [map-17/023]</x:v>
      </x:c>
      <x:c r="C381" s="136" t="str">
        <x:v>gun_spawn</x:v>
      </x:c>
      <x:c r="D381" s="136" t="str"/>
      <x:c r="E381" s="136" t="str">
        <x:v>12-pounder Napoleon (USA) · Entity-1230</x:v>
      </x:c>
      <x:c r="F381" s="137" t="n">
        <x:v>1412.510009765625</x:v>
      </x:c>
      <x:c r="G381" s="137" t="n">
        <x:v>2926.320068359375</x:v>
      </x:c>
      <x:c r="H381" s="137" t="n">
        <x:v>62.316158294677734</x:v>
      </x:c>
      <x:c r="I381" s="137" t="n">
        <x:v>1313.9526998320305</x:v>
      </x:c>
      <x:c r="J381" s="137" t="n">
        <x:v>318.8293419905611</x:v>
      </x:c>
      <x:c r="K381" s="136" t="str">
        <x:v>map-17</x:v>
      </x:c>
      <x:c r="L381" s="136" t="str">
        <x:v>Antietam | Skirmish | Miller's Cornfield||Gun | 12-pounder Napoleon (USA) · Entity-1230 [map-17/023]</x:v>
      </x:c>
      <x:c r="M381" s="35"/>
      <x:c r="N381" s="35"/>
      <x:c r="O381" s="35"/>
      <x:c r="P381" s="35"/>
      <x:c r="Q381" s="35"/>
      <x:c r="R381" s="35"/>
      <x:c r="S381" s="35"/>
      <x:c r="T381" s="35"/>
      <x:c r="U381" s="35"/>
      <x:c r="V381" s="35"/>
      <x:c r="W381" s="35"/>
      <x:c r="X381" s="35"/>
      <x:c r="Y381" s="35"/>
      <x:c r="Z381" s="35"/>
      <x:c r="AA381" s="35"/>
    </x:row>
    <x:row r="382">
      <x:c r="A382" s="136" t="str">
        <x:v>Antietam | Skirmish | Miller's Cornfield</x:v>
      </x:c>
      <x:c r="B382" s="136" t="str">
        <x:v>Gun | 12-pounder Napoleon (USA) · Entity-1222 [map-17/024]</x:v>
      </x:c>
      <x:c r="C382" s="136" t="str">
        <x:v>gun_spawn</x:v>
      </x:c>
      <x:c r="D382" s="136" t="str"/>
      <x:c r="E382" s="136" t="str">
        <x:v>12-pounder Napoleon (USA) · Entity-1222</x:v>
      </x:c>
      <x:c r="F382" s="137" t="n">
        <x:v>1281.030029296875</x:v>
      </x:c>
      <x:c r="G382" s="137" t="n">
        <x:v>2991.52001953125</x:v>
      </x:c>
      <x:c r="H382" s="137" t="n">
        <x:v>61.439388275146484</x:v>
      </x:c>
      <x:c r="I382" s="137" t="n">
        <x:v>943.358439108784</x:v>
      </x:c>
      <x:c r="J382" s="137" t="n">
        <x:v>506.42190284673103</x:v>
      </x:c>
      <x:c r="K382" s="136" t="str">
        <x:v>map-17</x:v>
      </x:c>
      <x:c r="L382" s="136" t="str">
        <x:v>Antietam | Skirmish | Miller's Cornfield||Gun | 12-pounder Napoleon (USA) · Entity-1222 [map-17/024]</x:v>
      </x:c>
      <x:c r="M382" s="35"/>
      <x:c r="N382" s="35"/>
      <x:c r="O382" s="35"/>
      <x:c r="P382" s="35"/>
      <x:c r="Q382" s="35"/>
      <x:c r="R382" s="35"/>
      <x:c r="S382" s="35"/>
      <x:c r="T382" s="35"/>
      <x:c r="U382" s="35"/>
      <x:c r="V382" s="35"/>
      <x:c r="W382" s="35"/>
      <x:c r="X382" s="35"/>
      <x:c r="Y382" s="35"/>
      <x:c r="Z382" s="35"/>
      <x:c r="AA382" s="35"/>
    </x:row>
    <x:row r="383">
      <x:c r="A383" s="136" t="str">
        <x:v>Antietam | Skirmish | Miller's Cornfield</x:v>
      </x:c>
      <x:c r="B383" s="136" t="str">
        <x:v>Gun | 10-pounder Parrott · Entity-1229 [map-17/025]</x:v>
      </x:c>
      <x:c r="C383" s="136" t="str">
        <x:v>gun_spawn</x:v>
      </x:c>
      <x:c r="D383" s="136" t="str"/>
      <x:c r="E383" s="136" t="str">
        <x:v>10-pounder Parrott · Entity-1229</x:v>
      </x:c>
      <x:c r="F383" s="137" t="n">
        <x:v>1423.800048828125</x:v>
      </x:c>
      <x:c r="G383" s="137" t="n">
        <x:v>2915.860107421875</x:v>
      </x:c>
      <x:c r="H383" s="137" t="n">
        <x:v>62.89100646972656</x:v>
      </x:c>
      <x:c r="I383" s="137" t="n">
        <x:v>1356.7884152985462</x:v>
      </x:c>
      <x:c r="J383" s="137" t="n">
        <x:v>310.9429019475774</x:v>
      </x:c>
      <x:c r="K383" s="136" t="str">
        <x:v>map-17</x:v>
      </x:c>
      <x:c r="L383" s="136" t="str">
        <x:v>Antietam | Skirmish | Miller's Cornfield||Gun | 10-pounder Parrott · Entity-1229 [map-17/025]</x:v>
      </x:c>
      <x:c r="M383" s="35"/>
      <x:c r="N383" s="35"/>
      <x:c r="O383" s="35"/>
      <x:c r="P383" s="35"/>
      <x:c r="Q383" s="35"/>
      <x:c r="R383" s="35"/>
      <x:c r="S383" s="35"/>
      <x:c r="T383" s="35"/>
      <x:c r="U383" s="35"/>
      <x:c r="V383" s="35"/>
      <x:c r="W383" s="35"/>
      <x:c r="X383" s="35"/>
      <x:c r="Y383" s="35"/>
      <x:c r="Z383" s="35"/>
      <x:c r="AA383" s="35"/>
    </x:row>
    <x:row r="384">
      <x:c r="A384" s="136" t="str">
        <x:v>Antietam | Skirmish | Miller's Cornfield</x:v>
      </x:c>
      <x:c r="B384" s="136" t="str">
        <x:v>Gun | 3-inch Ordnance · Entity-1219 [map-17/026]</x:v>
      </x:c>
      <x:c r="C384" s="136" t="str">
        <x:v>gun_spawn</x:v>
      </x:c>
      <x:c r="D384" s="136" t="str"/>
      <x:c r="E384" s="136" t="str">
        <x:v>3-inch Ordnance · Entity-1219</x:v>
      </x:c>
      <x:c r="F384" s="137" t="n">
        <x:v>1300.6500244140625</x:v>
      </x:c>
      <x:c r="G384" s="137" t="n">
        <x:v>2973.75</x:v>
      </x:c>
      <x:c r="H384" s="137" t="n">
        <x:v>62.09700012207031</x:v>
      </x:c>
      <x:c r="I384" s="137" t="n">
        <x:v>1016.8758949999865</x:v>
      </x:c>
      <x:c r="J384" s="137" t="n">
        <x:v>492.02760692129954</x:v>
      </x:c>
      <x:c r="K384" s="136" t="str">
        <x:v>map-17</x:v>
      </x:c>
      <x:c r="L384" s="136" t="str">
        <x:v>Antietam | Skirmish | Miller's Cornfield||Gun | 3-inch Ordnance · Entity-1219 [map-17/026]</x:v>
      </x:c>
      <x:c r="M384" s="35"/>
      <x:c r="N384" s="35"/>
      <x:c r="O384" s="35"/>
      <x:c r="P384" s="35"/>
      <x:c r="Q384" s="35"/>
      <x:c r="R384" s="35"/>
      <x:c r="S384" s="35"/>
      <x:c r="T384" s="35"/>
      <x:c r="U384" s="35"/>
      <x:c r="V384" s="35"/>
      <x:c r="W384" s="35"/>
      <x:c r="X384" s="35"/>
      <x:c r="Y384" s="35"/>
      <x:c r="Z384" s="35"/>
      <x:c r="AA384" s="35"/>
    </x:row>
    <x:row r="385">
      <x:c r="A385" s="136" t="str">
        <x:v>Antietam | Skirmish | Miller's Cornfield</x:v>
      </x:c>
      <x:c r="B385" s="136" t="str">
        <x:v>Gun | 3-inch Ordnance · Entity-1218 [map-17/027]</x:v>
      </x:c>
      <x:c r="C385" s="136" t="str">
        <x:v>gun_spawn</x:v>
      </x:c>
      <x:c r="D385" s="136" t="str"/>
      <x:c r="E385" s="136" t="str">
        <x:v>3-inch Ordnance · Entity-1218</x:v>
      </x:c>
      <x:c r="F385" s="137" t="n">
        <x:v>1307.6500244140625</x:v>
      </x:c>
      <x:c r="G385" s="137" t="n">
        <x:v>2967.7900390625</x:v>
      </x:c>
      <x:c r="H385" s="137" t="n">
        <x:v>62.801719665527344</x:v>
      </x:c>
      <x:c r="I385" s="137" t="n">
        <x:v>1042.2444738545935</x:v>
      </x:c>
      <x:c r="J385" s="137" t="n">
        <x:v>486.24932180243076</x:v>
      </x:c>
      <x:c r="K385" s="136" t="str">
        <x:v>map-17</x:v>
      </x:c>
      <x:c r="L385" s="136" t="str">
        <x:v>Antietam | Skirmish | Miller's Cornfield||Gun | 3-inch Ordnance · Entity-1218 [map-17/027]</x:v>
      </x:c>
      <x:c r="M385" s="35"/>
      <x:c r="N385" s="35"/>
      <x:c r="O385" s="35"/>
      <x:c r="P385" s="35"/>
      <x:c r="Q385" s="35"/>
      <x:c r="R385" s="35"/>
      <x:c r="S385" s="35"/>
      <x:c r="T385" s="35"/>
      <x:c r="U385" s="35"/>
      <x:c r="V385" s="35"/>
      <x:c r="W385" s="35"/>
      <x:c r="X385" s="35"/>
      <x:c r="Y385" s="35"/>
      <x:c r="Z385" s="35"/>
      <x:c r="AA385" s="35"/>
    </x:row>
    <x:row r="386">
      <x:c r="A386" s="136" t="str">
        <x:v>Antietam | Skirmish | East Woods</x:v>
      </x:c>
      <x:c r="B386" s="136" t="str">
        <x:v>Spawn | CSA Spawnpoint_EW_Base_CSA_5thTX [map-18/001]</x:v>
      </x:c>
      <x:c r="C386" s="136" t="str">
        <x:v>spawn</x:v>
      </x:c>
      <x:c r="D386" s="136" t="str">
        <x:v>CSA</x:v>
      </x:c>
      <x:c r="E386" s="136" t="str">
        <x:v>Spawnpoint_EW_Base_CSA_5thTX</x:v>
      </x:c>
      <x:c r="F386" s="137" t="n">
        <x:v>989.3230590820312</x:v>
      </x:c>
      <x:c r="G386" s="137" t="n">
        <x:v>2518.175537109375</x:v>
      </x:c>
      <x:c r="H386" s="137" t="n">
        <x:v>63.74897766113281</x:v>
      </x:c>
      <x:c r="I386" s="137" t="n">
        <x:v>543.8392703486742</x:v>
      </x:c>
      <x:c r="J386" s="137" t="n">
        <x:v>1683.4970406336167</x:v>
      </x:c>
      <x:c r="K386" s="136" t="str">
        <x:v>map-18</x:v>
      </x:c>
      <x:c r="L386" s="136" t="str">
        <x:v>Antietam | Skirmish | East Woods||Spawn | CSA Spawnpoint_EW_Base_CSA_5thTX [map-18/001]</x:v>
      </x:c>
      <x:c r="M386" s="35"/>
      <x:c r="N386" s="35"/>
      <x:c r="O386" s="35"/>
      <x:c r="P386" s="35"/>
      <x:c r="Q386" s="35"/>
      <x:c r="R386" s="35"/>
      <x:c r="S386" s="35"/>
      <x:c r="T386" s="35"/>
      <x:c r="U386" s="35"/>
      <x:c r="V386" s="35"/>
      <x:c r="W386" s="35"/>
      <x:c r="X386" s="35"/>
      <x:c r="Y386" s="35"/>
      <x:c r="Z386" s="35"/>
      <x:c r="AA386" s="35"/>
    </x:row>
    <x:row r="387">
      <x:c r="A387" s="136" t="str">
        <x:v>Antietam | Skirmish | East Woods</x:v>
      </x:c>
      <x:c r="B387" s="136" t="str">
        <x:v>Spawn | USA Spawnpoint_EW_Base_USA_114thPA-2 [map-18/002]</x:v>
      </x:c>
      <x:c r="C387" s="136" t="str">
        <x:v>spawn</x:v>
      </x:c>
      <x:c r="D387" s="136" t="str">
        <x:v>USA</x:v>
      </x:c>
      <x:c r="E387" s="136" t="str">
        <x:v>Spawnpoint_EW_Base_USA_114thPA-2</x:v>
      </x:c>
      <x:c r="F387" s="137" t="n">
        <x:v>1483.47314453125</x:v>
      </x:c>
      <x:c r="G387" s="137" t="n">
        <x:v>2725.603759765625</x:v>
      </x:c>
      <x:c r="H387" s="137" t="n">
        <x:v>63.673770904541016</x:v>
      </x:c>
      <x:c r="I387" s="137" t="n">
        <x:v>840.8308586704582</x:v>
      </x:c>
      <x:c r="J387" s="137" t="n">
        <x:v>490.3098035918348</x:v>
      </x:c>
      <x:c r="K387" s="136" t="str">
        <x:v>map-18</x:v>
      </x:c>
      <x:c r="L387" s="136" t="str">
        <x:v>Antietam | Skirmish | East Woods||Spawn | USA Spawnpoint_EW_Base_USA_114thPA-2 [map-18/002]</x:v>
      </x:c>
      <x:c r="M387" s="35"/>
      <x:c r="N387" s="35"/>
      <x:c r="O387" s="35"/>
      <x:c r="P387" s="35"/>
      <x:c r="Q387" s="35"/>
      <x:c r="R387" s="35"/>
      <x:c r="S387" s="35"/>
      <x:c r="T387" s="35"/>
      <x:c r="U387" s="35"/>
      <x:c r="V387" s="35"/>
      <x:c r="W387" s="35"/>
      <x:c r="X387" s="35"/>
      <x:c r="Y387" s="35"/>
      <x:c r="Z387" s="35"/>
      <x:c r="AA387" s="35"/>
    </x:row>
    <x:row r="388">
      <x:c r="A388" s="136" t="str">
        <x:v>Antietam | Skirmish | East Woods</x:v>
      </x:c>
      <x:c r="B388" s="136" t="str">
        <x:v>Spawn | CSA Spawnpoint_EW_Base_CSA_5thTX-2 [map-18/003]</x:v>
      </x:c>
      <x:c r="C388" s="136" t="str">
        <x:v>spawn</x:v>
      </x:c>
      <x:c r="D388" s="136" t="str">
        <x:v>CSA</x:v>
      </x:c>
      <x:c r="E388" s="136" t="str">
        <x:v>Spawnpoint_EW_Base_CSA_5thTX-2</x:v>
      </x:c>
      <x:c r="F388" s="137" t="n">
        <x:v>1009.0872802734375</x:v>
      </x:c>
      <x:c r="G388" s="137" t="n">
        <x:v>2514.126953125</x:v>
      </x:c>
      <x:c r="H388" s="137" t="n">
        <x:v>62.4581184387207</x:v>
      </x:c>
      <x:c r="I388" s="137" t="n">
        <x:v>578.4015602315407</x:v>
      </x:c>
      <x:c r="J388" s="137" t="n">
        <x:v>1652.7469708724607</x:v>
      </x:c>
      <x:c r="K388" s="136" t="str">
        <x:v>map-18</x:v>
      </x:c>
      <x:c r="L388" s="136" t="str">
        <x:v>Antietam | Skirmish | East Woods||Spawn | CSA Spawnpoint_EW_Base_CSA_5thTX-2 [map-18/003]</x:v>
      </x:c>
      <x:c r="M388" s="35"/>
      <x:c r="N388" s="35"/>
      <x:c r="O388" s="35"/>
      <x:c r="P388" s="35"/>
      <x:c r="Q388" s="35"/>
      <x:c r="R388" s="35"/>
      <x:c r="S388" s="35"/>
      <x:c r="T388" s="35"/>
      <x:c r="U388" s="35"/>
      <x:c r="V388" s="35"/>
      <x:c r="W388" s="35"/>
      <x:c r="X388" s="35"/>
      <x:c r="Y388" s="35"/>
      <x:c r="Z388" s="35"/>
      <x:c r="AA388" s="35"/>
    </x:row>
    <x:row r="389">
      <x:c r="A389" s="136" t="str">
        <x:v>Antietam | Skirmish | East Woods</x:v>
      </x:c>
      <x:c r="B389" s="136" t="str">
        <x:v>Spawn | USA Spawnpoint_EW_Defend_USA_114thPA [map-18/004]</x:v>
      </x:c>
      <x:c r="C389" s="136" t="str">
        <x:v>spawn</x:v>
      </x:c>
      <x:c r="D389" s="136" t="str">
        <x:v>USA</x:v>
      </x:c>
      <x:c r="E389" s="136" t="str">
        <x:v>Spawnpoint_EW_Defend_USA_114thPA</x:v>
      </x:c>
      <x:c r="F389" s="137" t="n">
        <x:v>1361.1878662109375</x:v>
      </x:c>
      <x:c r="G389" s="137" t="n">
        <x:v>2516.548583984375</x:v>
      </x:c>
      <x:c r="H389" s="137" t="n">
        <x:v>63.129730224609375</x:v>
      </x:c>
      <x:c r="I389" s="137" t="n">
        <x:v>1057.150768732041</x:v>
      </x:c>
      <x:c r="J389" s="137" t="n">
        <x:v>1002.4376381813357</x:v>
      </x:c>
      <x:c r="K389" s="136" t="str">
        <x:v>map-18</x:v>
      </x:c>
      <x:c r="L389" s="136" t="str">
        <x:v>Antietam | Skirmish | East Woods||Spawn | USA Spawnpoint_EW_Defend_USA_114thPA [map-18/004]</x:v>
      </x:c>
      <x:c r="M389" s="35"/>
      <x:c r="N389" s="35"/>
      <x:c r="O389" s="35"/>
      <x:c r="P389" s="35"/>
      <x:c r="Q389" s="35"/>
      <x:c r="R389" s="35"/>
      <x:c r="S389" s="35"/>
      <x:c r="T389" s="35"/>
      <x:c r="U389" s="35"/>
      <x:c r="V389" s="35"/>
      <x:c r="W389" s="35"/>
      <x:c r="X389" s="35"/>
      <x:c r="Y389" s="35"/>
      <x:c r="Z389" s="35"/>
      <x:c r="AA389" s="35"/>
    </x:row>
    <x:row r="390">
      <x:c r="A390" s="136" t="str">
        <x:v>Antietam | Skirmish | East Woods</x:v>
      </x:c>
      <x:c r="B390" s="136" t="str">
        <x:v>Objective | Victory_East_Woods_Hood_Push [map-18/005]</x:v>
      </x:c>
      <x:c r="C390" s="136" t="str">
        <x:v>objective</x:v>
      </x:c>
      <x:c r="D390" s="136" t="str"/>
      <x:c r="E390" s="136" t="str">
        <x:v>Victory_East_Woods_Hood_Push</x:v>
      </x:c>
      <x:c r="F390" s="137" t="n">
        <x:v>1360.684326171875</x:v>
      </x:c>
      <x:c r="G390" s="137" t="n">
        <x:v>2518.11474609375</x:v>
      </x:c>
      <x:c r="H390" s="137" t="n">
        <x:v>62.90554428100586</x:v>
      </x:c>
      <x:c r="I390" s="137" t="n">
        <x:v>1053.5819439550519</x:v>
      </x:c>
      <x:c r="J390" s="137" t="n">
        <x:v>1001.209566493381</x:v>
      </x:c>
      <x:c r="K390" s="136" t="str">
        <x:v>map-18</x:v>
      </x:c>
      <x:c r="L390" s="136" t="str">
        <x:v>Antietam | Skirmish | East Woods||Objective | Victory_East_Woods_Hood_Push [map-18/005]</x:v>
      </x:c>
      <x:c r="M390" s="35"/>
      <x:c r="N390" s="35"/>
      <x:c r="O390" s="35"/>
      <x:c r="P390" s="35"/>
      <x:c r="Q390" s="35"/>
      <x:c r="R390" s="35"/>
      <x:c r="S390" s="35"/>
      <x:c r="T390" s="35"/>
      <x:c r="U390" s="35"/>
      <x:c r="V390" s="35"/>
      <x:c r="W390" s="35"/>
      <x:c r="X390" s="35"/>
      <x:c r="Y390" s="35"/>
      <x:c r="Z390" s="35"/>
      <x:c r="AA390" s="35"/>
    </x:row>
    <x:row r="391">
      <x:c r="A391" s="136" t="str">
        <x:v>Antietam | Skirmish | East Woods</x:v>
      </x:c>
      <x:c r="B391" s="136" t="str">
        <x:v>Spawn | CSA Spawnpoint_EW_Base_CSA_4thAL-2 [map-18/006]</x:v>
      </x:c>
      <x:c r="C391" s="136" t="str">
        <x:v>spawn</x:v>
      </x:c>
      <x:c r="D391" s="136" t="str">
        <x:v>CSA</x:v>
      </x:c>
      <x:c r="E391" s="136" t="str">
        <x:v>Spawnpoint_EW_Base_CSA_4thAL-2</x:v>
      </x:c>
      <x:c r="F391" s="137" t="n">
        <x:v>1007.0919799804688</x:v>
      </x:c>
      <x:c r="G391" s="137" t="n">
        <x:v>2502.86083984375</x:v>
      </x:c>
      <x:c r="H391" s="137" t="n">
        <x:v>61.99518966674805</x:v>
      </x:c>
      <x:c r="I391" s="137" t="n">
        <x:v>596.3646688814277</x:v>
      </x:c>
      <x:c r="J391" s="137" t="n">
        <x:v>1671.9031081131304</x:v>
      </x:c>
      <x:c r="K391" s="136" t="str">
        <x:v>map-18</x:v>
      </x:c>
      <x:c r="L391" s="136" t="str">
        <x:v>Antietam | Skirmish | East Woods||Spawn | CSA Spawnpoint_EW_Base_CSA_4thAL-2 [map-18/006]</x:v>
      </x:c>
      <x:c r="M391" s="35"/>
      <x:c r="N391" s="35"/>
      <x:c r="O391" s="35"/>
      <x:c r="P391" s="35"/>
      <x:c r="Q391" s="35"/>
      <x:c r="R391" s="35"/>
      <x:c r="S391" s="35"/>
      <x:c r="T391" s="35"/>
      <x:c r="U391" s="35"/>
      <x:c r="V391" s="35"/>
      <x:c r="W391" s="35"/>
      <x:c r="X391" s="35"/>
      <x:c r="Y391" s="35"/>
      <x:c r="Z391" s="35"/>
      <x:c r="AA391" s="35"/>
    </x:row>
    <x:row r="392">
      <x:c r="A392" s="136" t="str">
        <x:v>Antietam | Skirmish | East Woods</x:v>
      </x:c>
      <x:c r="B392" s="136" t="str">
        <x:v>Spawn | USA Spawnpoint_EW_Defend_USA_42ndPA [map-18/007]</x:v>
      </x:c>
      <x:c r="C392" s="136" t="str">
        <x:v>spawn</x:v>
      </x:c>
      <x:c r="D392" s="136" t="str">
        <x:v>USA</x:v>
      </x:c>
      <x:c r="E392" s="136" t="str">
        <x:v>Spawnpoint_EW_Defend_USA_42ndPA</x:v>
      </x:c>
      <x:c r="F392" s="137" t="n">
        <x:v>1360.53564453125</x:v>
      </x:c>
      <x:c r="G392" s="137" t="n">
        <x:v>2497.462890625</x:v>
      </x:c>
      <x:c r="H392" s="137" t="n">
        <x:v>62.67576217651367</x:v>
      </x:c>
      <x:c r="I392" s="137" t="n">
        <x:v>1091.3253945899528</x:v>
      </x:c>
      <x:c r="J392" s="137" t="n">
        <x:v>1029.8770435483723</x:v>
      </x:c>
      <x:c r="K392" s="136" t="str">
        <x:v>map-18</x:v>
      </x:c>
      <x:c r="L392" s="136" t="str">
        <x:v>Antietam | Skirmish | East Woods||Spawn | USA Spawnpoint_EW_Defend_USA_42ndPA [map-18/007]</x:v>
      </x:c>
      <x:c r="M392" s="35"/>
      <x:c r="N392" s="35"/>
      <x:c r="O392" s="35"/>
      <x:c r="P392" s="35"/>
      <x:c r="Q392" s="35"/>
      <x:c r="R392" s="35"/>
      <x:c r="S392" s="35"/>
      <x:c r="T392" s="35"/>
      <x:c r="U392" s="35"/>
      <x:c r="V392" s="35"/>
      <x:c r="W392" s="35"/>
      <x:c r="X392" s="35"/>
      <x:c r="Y392" s="35"/>
      <x:c r="Z392" s="35"/>
      <x:c r="AA392" s="35"/>
    </x:row>
    <x:row r="393">
      <x:c r="A393" s="136" t="str">
        <x:v>Antietam | Skirmish | East Woods</x:v>
      </x:c>
      <x:c r="B393" s="136" t="str">
        <x:v>Spawn | CSA Spawnpoint_EW_Base_CSA_4thAL [map-18/008]</x:v>
      </x:c>
      <x:c r="C393" s="136" t="str">
        <x:v>spawn</x:v>
      </x:c>
      <x:c r="D393" s="136" t="str">
        <x:v>CSA</x:v>
      </x:c>
      <x:c r="E393" s="136" t="str">
        <x:v>Spawnpoint_EW_Base_CSA_4thAL</x:v>
      </x:c>
      <x:c r="F393" s="137" t="n">
        <x:v>987.08056640625</x:v>
      </x:c>
      <x:c r="G393" s="137" t="n">
        <x:v>2506.960205078125</x:v>
      </x:c>
      <x:c r="H393" s="137" t="n">
        <x:v>63.302188873291016</x:v>
      </x:c>
      <x:c r="I393" s="137" t="n">
        <x:v>561.3698391418643</x:v>
      </x:c>
      <x:c r="J393" s="137" t="n">
        <x:v>1703.0375711277811</x:v>
      </x:c>
      <x:c r="K393" s="136" t="str">
        <x:v>map-18</x:v>
      </x:c>
      <x:c r="L393" s="136" t="str">
        <x:v>Antietam | Skirmish | East Woods||Spawn | CSA Spawnpoint_EW_Base_CSA_4thAL [map-18/008]</x:v>
      </x:c>
      <x:c r="M393" s="35"/>
      <x:c r="N393" s="35"/>
      <x:c r="O393" s="35"/>
      <x:c r="P393" s="35"/>
      <x:c r="Q393" s="35"/>
      <x:c r="R393" s="35"/>
      <x:c r="S393" s="35"/>
      <x:c r="T393" s="35"/>
      <x:c r="U393" s="35"/>
      <x:c r="V393" s="35"/>
      <x:c r="W393" s="35"/>
      <x:c r="X393" s="35"/>
      <x:c r="Y393" s="35"/>
      <x:c r="Z393" s="35"/>
      <x:c r="AA393" s="35"/>
    </x:row>
    <x:row r="394">
      <x:c r="A394" s="136" t="str">
        <x:v>Antietam | Skirmish | East Woods</x:v>
      </x:c>
      <x:c r="B394" s="136" t="str">
        <x:v>Spawn | USA Spawnpoint_EW_Base_USA_42ndPA [map-18/009]</x:v>
      </x:c>
      <x:c r="C394" s="136" t="str">
        <x:v>spawn</x:v>
      </x:c>
      <x:c r="D394" s="136" t="str">
        <x:v>USA</x:v>
      </x:c>
      <x:c r="E394" s="136" t="str">
        <x:v>Spawnpoint_EW_Base_USA_42ndPA</x:v>
      </x:c>
      <x:c r="F394" s="137" t="n">
        <x:v>1474.5491943359375</x:v>
      </x:c>
      <x:c r="G394" s="137" t="n">
        <x:v>2684.49658203125</x:v>
      </x:c>
      <x:c r="H394" s="137" t="n">
        <x:v>61.573299407958984</x:v>
      </x:c>
      <x:c r="I394" s="137" t="n">
        <x:v>904.1180912185695</x:v>
      </x:c>
      <x:c r="J394" s="137" t="n">
        <x:v>563.2257747922679</x:v>
      </x:c>
      <x:c r="K394" s="136" t="str">
        <x:v>map-18</x:v>
      </x:c>
      <x:c r="L394" s="136" t="str">
        <x:v>Antietam | Skirmish | East Woods||Spawn | USA Spawnpoint_EW_Base_USA_42ndPA [map-18/009]</x:v>
      </x:c>
      <x:c r="M394" s="35"/>
      <x:c r="N394" s="35"/>
      <x:c r="O394" s="35"/>
      <x:c r="P394" s="35"/>
      <x:c r="Q394" s="35"/>
      <x:c r="R394" s="35"/>
      <x:c r="S394" s="35"/>
      <x:c r="T394" s="35"/>
      <x:c r="U394" s="35"/>
      <x:c r="V394" s="35"/>
      <x:c r="W394" s="35"/>
      <x:c r="X394" s="35"/>
      <x:c r="Y394" s="35"/>
      <x:c r="Z394" s="35"/>
      <x:c r="AA394" s="35"/>
    </x:row>
    <x:row r="395">
      <x:c r="A395" s="136" t="str">
        <x:v>Antietam | Skirmish | East Woods</x:v>
      </x:c>
      <x:c r="B395" s="136" t="str">
        <x:v>Spawn | USA Spawnpoint_EW_Defend_USA_114thPA-2 [map-18/010]</x:v>
      </x:c>
      <x:c r="C395" s="136" t="str">
        <x:v>spawn</x:v>
      </x:c>
      <x:c r="D395" s="136" t="str">
        <x:v>USA</x:v>
      </x:c>
      <x:c r="E395" s="136" t="str">
        <x:v>Spawnpoint_EW_Defend_USA_114thPA-2</x:v>
      </x:c>
      <x:c r="F395" s="137" t="n">
        <x:v>1372.3258056640625</x:v>
      </x:c>
      <x:c r="G395" s="137" t="n">
        <x:v>2518.51953125</x:v>
      </x:c>
      <x:c r="H395" s="137" t="n">
        <x:v>63.30261993408203</x:v>
      </x:c>
      <x:c r="I395" s="137" t="n">
        <x:v>1068.8141324573735</x:v>
      </x:c>
      <x:c r="J395" s="137" t="n">
        <x:v>979.2619733014621</x:v>
      </x:c>
      <x:c r="K395" s="136" t="str">
        <x:v>map-18</x:v>
      </x:c>
      <x:c r="L395" s="136" t="str">
        <x:v>Antietam | Skirmish | East Woods||Spawn | USA Spawnpoint_EW_Defend_USA_114thPA-2 [map-18/010]</x:v>
      </x:c>
      <x:c r="M395" s="35"/>
      <x:c r="N395" s="35"/>
      <x:c r="O395" s="35"/>
      <x:c r="P395" s="35"/>
      <x:c r="Q395" s="35"/>
      <x:c r="R395" s="35"/>
      <x:c r="S395" s="35"/>
      <x:c r="T395" s="35"/>
      <x:c r="U395" s="35"/>
      <x:c r="V395" s="35"/>
      <x:c r="W395" s="35"/>
      <x:c r="X395" s="35"/>
      <x:c r="Y395" s="35"/>
      <x:c r="Z395" s="35"/>
      <x:c r="AA395" s="35"/>
    </x:row>
    <x:row r="396">
      <x:c r="A396" s="136" t="str">
        <x:v>Antietam | Skirmish | East Woods</x:v>
      </x:c>
      <x:c r="B396" s="136" t="str">
        <x:v>Spawn | USA Spawnpoint_EW_Base_USA_114thPA [map-18/011]</x:v>
      </x:c>
      <x:c r="C396" s="136" t="str">
        <x:v>spawn</x:v>
      </x:c>
      <x:c r="D396" s="136" t="str">
        <x:v>USA</x:v>
      </x:c>
      <x:c r="E396" s="136" t="str">
        <x:v>Spawnpoint_EW_Base_USA_114thPA</x:v>
      </x:c>
      <x:c r="F396" s="137" t="n">
        <x:v>1479.3392333984375</x:v>
      </x:c>
      <x:c r="G396" s="137" t="n">
        <x:v>2706.686767578125</x:v>
      </x:c>
      <x:c r="H396" s="137" t="n">
        <x:v>62.521541595458984</x:v>
      </x:c>
      <x:c r="I396" s="137" t="n">
        <x:v>869.9174644765767</x:v>
      </x:c>
      <x:c r="J396" s="137" t="n">
        <x:v>523.9148163246462</x:v>
      </x:c>
      <x:c r="K396" s="136" t="str">
        <x:v>map-18</x:v>
      </x:c>
      <x:c r="L396" s="136" t="str">
        <x:v>Antietam | Skirmish | East Woods||Spawn | USA Spawnpoint_EW_Base_USA_114thPA [map-18/011]</x:v>
      </x:c>
      <x:c r="M396" s="35"/>
      <x:c r="N396" s="35"/>
      <x:c r="O396" s="35"/>
      <x:c r="P396" s="35"/>
      <x:c r="Q396" s="35"/>
      <x:c r="R396" s="35"/>
      <x:c r="S396" s="35"/>
      <x:c r="T396" s="35"/>
      <x:c r="U396" s="35"/>
      <x:c r="V396" s="35"/>
      <x:c r="W396" s="35"/>
      <x:c r="X396" s="35"/>
      <x:c r="Y396" s="35"/>
      <x:c r="Z396" s="35"/>
      <x:c r="AA396" s="35"/>
    </x:row>
    <x:row r="397">
      <x:c r="A397" s="136" t="str">
        <x:v>Antietam | Skirmish | Nicodemus Hill</x:v>
      </x:c>
      <x:c r="B397" s="136" t="str">
        <x:v>Artillery | CSA Spawnpoint_NH_CSA_Arty_Balthis_Forward [map-19/001]</x:v>
      </x:c>
      <x:c r="C397" s="136" t="str">
        <x:v>battery</x:v>
      </x:c>
      <x:c r="D397" s="136" t="str">
        <x:v>CSA</x:v>
      </x:c>
      <x:c r="E397" s="136" t="str">
        <x:v>Spawnpoint_NH_CSA_Arty_Balthis_Forward</x:v>
      </x:c>
      <x:c r="F397" s="137" t="n">
        <x:v>848.358154296875</x:v>
      </x:c>
      <x:c r="G397" s="137" t="n">
        <x:v>3368.3359375</x:v>
      </x:c>
      <x:c r="H397" s="137" t="n">
        <x:v>66.38560485839844</x:v>
      </x:c>
      <x:c r="I397" s="137" t="n">
        <x:v>383.29514522665534</x:v>
      </x:c>
      <x:c r="J397" s="137" t="n">
        <x:v>1259.2535820303258</x:v>
      </x:c>
      <x:c r="K397" s="136" t="str">
        <x:v>map-19</x:v>
      </x:c>
      <x:c r="L397" s="136" t="str">
        <x:v>Antietam | Skirmish | Nicodemus Hill||Artillery | CSA Spawnpoint_NH_CSA_Arty_Balthis_Forward [map-19/001]</x:v>
      </x:c>
      <x:c r="M397" s="35"/>
      <x:c r="N397" s="35"/>
      <x:c r="O397" s="35"/>
      <x:c r="P397" s="35"/>
      <x:c r="Q397" s="35"/>
      <x:c r="R397" s="35"/>
      <x:c r="S397" s="35"/>
      <x:c r="T397" s="35"/>
      <x:c r="U397" s="35"/>
      <x:c r="V397" s="35"/>
      <x:c r="W397" s="35"/>
      <x:c r="X397" s="35"/>
      <x:c r="Y397" s="35"/>
      <x:c r="Z397" s="35"/>
      <x:c r="AA397" s="35"/>
    </x:row>
    <x:row r="398">
      <x:c r="A398" s="136" t="str">
        <x:v>Antietam | Skirmish | Nicodemus Hill</x:v>
      </x:c>
      <x:c r="B398" s="136" t="str">
        <x:v>Artillery | USA Spawnpoint_NH_USA_Arty_Campbell_Forward [map-19/002]</x:v>
      </x:c>
      <x:c r="C398" s="136" t="str">
        <x:v>battery</x:v>
      </x:c>
      <x:c r="D398" s="136" t="str">
        <x:v>USA</x:v>
      </x:c>
      <x:c r="E398" s="136" t="str">
        <x:v>Spawnpoint_NH_USA_Arty_Campbell_Forward</x:v>
      </x:c>
      <x:c r="F398" s="137" t="n">
        <x:v>1120.4998779296875</x:v>
      </x:c>
      <x:c r="G398" s="137" t="n">
        <x:v>3138.4189453125</x:v>
      </x:c>
      <x:c r="H398" s="137" t="n">
        <x:v>63.93841552734375</x:v>
      </x:c>
      <x:c r="I398" s="137" t="n">
        <x:v>1415.3792602737058</x:v>
      </x:c>
      <x:c r="J398" s="137" t="n">
        <x:v>1006.3089560997241</x:v>
      </x:c>
      <x:c r="K398" s="136" t="str">
        <x:v>map-19</x:v>
      </x:c>
      <x:c r="L398" s="136" t="str">
        <x:v>Antietam | Skirmish | Nicodemus Hill||Artillery | USA Spawnpoint_NH_USA_Arty_Campbell_Forward [map-19/002]</x:v>
      </x:c>
      <x:c r="M398" s="35"/>
      <x:c r="N398" s="35"/>
      <x:c r="O398" s="35"/>
      <x:c r="P398" s="35"/>
      <x:c r="Q398" s="35"/>
      <x:c r="R398" s="35"/>
      <x:c r="S398" s="35"/>
      <x:c r="T398" s="35"/>
      <x:c r="U398" s="35"/>
      <x:c r="V398" s="35"/>
      <x:c r="W398" s="35"/>
      <x:c r="X398" s="35"/>
      <x:c r="Y398" s="35"/>
      <x:c r="Z398" s="35"/>
      <x:c r="AA398" s="35"/>
    </x:row>
    <x:row r="399">
      <x:c r="A399" s="136" t="str">
        <x:v>Antietam | Skirmish | Nicodemus Hill</x:v>
      </x:c>
      <x:c r="B399" s="136" t="str">
        <x:v>Spawn | CSA Spawnpoint_NH_Base_CSA_13thVA-2 [map-19/003]</x:v>
      </x:c>
      <x:c r="C399" s="136" t="str">
        <x:v>spawn</x:v>
      </x:c>
      <x:c r="D399" s="136" t="str">
        <x:v>CSA</x:v>
      </x:c>
      <x:c r="E399" s="136" t="str">
        <x:v>Spawnpoint_NH_Base_CSA_13thVA-2</x:v>
      </x:c>
      <x:c r="F399" s="137" t="n">
        <x:v>859.0671997070312</x:v>
      </x:c>
      <x:c r="G399" s="137" t="n">
        <x:v>3383.91064453125</x:v>
      </x:c>
      <x:c r="H399" s="137" t="n">
        <x:v>64.79315948486328</x:v>
      </x:c>
      <x:c r="I399" s="137" t="n">
        <x:v>364.4686965501317</x:v>
      </x:c>
      <x:c r="J399" s="137" t="n">
        <x:v>1206.0319419617383</x:v>
      </x:c>
      <x:c r="K399" s="136" t="str">
        <x:v>map-19</x:v>
      </x:c>
      <x:c r="L399" s="136" t="str">
        <x:v>Antietam | Skirmish | Nicodemus Hill||Spawn | CSA Spawnpoint_NH_Base_CSA_13thVA-2 [map-19/003]</x:v>
      </x:c>
      <x:c r="M399" s="35"/>
      <x:c r="N399" s="35"/>
      <x:c r="O399" s="35"/>
      <x:c r="P399" s="35"/>
      <x:c r="Q399" s="35"/>
      <x:c r="R399" s="35"/>
      <x:c r="S399" s="35"/>
      <x:c r="T399" s="35"/>
      <x:c r="U399" s="35"/>
      <x:c r="V399" s="35"/>
      <x:c r="W399" s="35"/>
      <x:c r="X399" s="35"/>
      <x:c r="Y399" s="35"/>
      <x:c r="Z399" s="35"/>
      <x:c r="AA399" s="35"/>
    </x:row>
    <x:row r="400">
      <x:c r="A400" s="136" t="str">
        <x:v>Antietam | Skirmish | Nicodemus Hill</x:v>
      </x:c>
      <x:c r="B400" s="136" t="str">
        <x:v>Artillery | CSA Spawnpoint_NH_CSA_Arty_Carpenter_Forward [map-19/004]</x:v>
      </x:c>
      <x:c r="C400" s="136" t="str">
        <x:v>battery</x:v>
      </x:c>
      <x:c r="D400" s="136" t="str">
        <x:v>CSA</x:v>
      </x:c>
      <x:c r="E400" s="136" t="str">
        <x:v>Spawnpoint_NH_CSA_Arty_Carpenter_Forward</x:v>
      </x:c>
      <x:c r="F400" s="137" t="n">
        <x:v>935.322998046875</x:v>
      </x:c>
      <x:c r="G400" s="137" t="n">
        <x:v>3462.0654296875</x:v>
      </x:c>
      <x:c r="H400" s="137" t="n">
        <x:v>73.21855926513672</x:v>
      </x:c>
      <x:c r="I400" s="137" t="n">
        <x:v>309.46751921199535</x:v>
      </x:c>
      <x:c r="J400" s="137" t="n">
        <x:v>884.6042834391509</x:v>
      </x:c>
      <x:c r="K400" s="136" t="str">
        <x:v>map-19</x:v>
      </x:c>
      <x:c r="L400" s="136" t="str">
        <x:v>Antietam | Skirmish | Nicodemus Hill||Artillery | CSA Spawnpoint_NH_CSA_Arty_Carpenter_Forward [map-19/004]</x:v>
      </x:c>
      <x:c r="M400" s="35"/>
      <x:c r="N400" s="35"/>
      <x:c r="O400" s="35"/>
      <x:c r="P400" s="35"/>
      <x:c r="Q400" s="35"/>
      <x:c r="R400" s="35"/>
      <x:c r="S400" s="35"/>
      <x:c r="T400" s="35"/>
      <x:c r="U400" s="35"/>
      <x:c r="V400" s="35"/>
      <x:c r="W400" s="35"/>
      <x:c r="X400" s="35"/>
      <x:c r="Y400" s="35"/>
      <x:c r="Z400" s="35"/>
      <x:c r="AA400" s="35"/>
    </x:row>
    <x:row r="401">
      <x:c r="A401" s="136" t="str">
        <x:v>Antietam | Skirmish | Nicodemus Hill</x:v>
      </x:c>
      <x:c r="B401" s="136" t="str">
        <x:v>Spawn | USA Spawnpoint_NH_Base_USA_15thMA [map-19/005]</x:v>
      </x:c>
      <x:c r="C401" s="136" t="str">
        <x:v>spawn</x:v>
      </x:c>
      <x:c r="D401" s="136" t="str">
        <x:v>USA</x:v>
      </x:c>
      <x:c r="E401" s="136" t="str">
        <x:v>Spawnpoint_NH_Base_USA_15thMA</x:v>
      </x:c>
      <x:c r="F401" s="137" t="n">
        <x:v>1142.3194580078125</x:v>
      </x:c>
      <x:c r="G401" s="137" t="n">
        <x:v>3096.777587890625</x:v>
      </x:c>
      <x:c r="H401" s="137" t="n">
        <x:v>65.68169403076172</x:v>
      </x:c>
      <x:c r="I401" s="137" t="n">
        <x:v>1554.1531713277873</x:v>
      </x:c>
      <x:c r="J401" s="137" t="n">
        <x:v>1026.8101453886472</x:v>
      </x:c>
      <x:c r="K401" s="136" t="str">
        <x:v>map-19</x:v>
      </x:c>
      <x:c r="L401" s="136" t="str">
        <x:v>Antietam | Skirmish | Nicodemus Hill||Spawn | USA Spawnpoint_NH_Base_USA_15thMA [map-19/005]</x:v>
      </x:c>
      <x:c r="M401" s="35"/>
      <x:c r="N401" s="35"/>
      <x:c r="O401" s="35"/>
      <x:c r="P401" s="35"/>
      <x:c r="Q401" s="35"/>
      <x:c r="R401" s="35"/>
      <x:c r="S401" s="35"/>
      <x:c r="T401" s="35"/>
      <x:c r="U401" s="35"/>
      <x:c r="V401" s="35"/>
      <x:c r="W401" s="35"/>
      <x:c r="X401" s="35"/>
      <x:c r="Y401" s="35"/>
      <x:c r="Z401" s="35"/>
      <x:c r="AA401" s="35"/>
    </x:row>
    <x:row r="402">
      <x:c r="A402" s="136" t="str">
        <x:v>Antietam | Skirmish | Nicodemus Hill</x:v>
      </x:c>
      <x:c r="B402" s="136" t="str">
        <x:v>Spawn | CSA Spawnpoint_NH_CSA_Mounted_1stVACa [map-19/006]</x:v>
      </x:c>
      <x:c r="C402" s="136" t="str">
        <x:v>spawn</x:v>
      </x:c>
      <x:c r="D402" s="136" t="str">
        <x:v>CSA</x:v>
      </x:c>
      <x:c r="E402" s="136" t="str">
        <x:v>Spawnpoint_NH_CSA_Mounted_1stVACa</x:v>
      </x:c>
      <x:c r="F402" s="137" t="n">
        <x:v>1057.635986328125</x:v>
      </x:c>
      <x:c r="G402" s="137" t="n">
        <x:v>3663.891357421875</x:v>
      </x:c>
      <x:c r="H402" s="137" t="n">
        <x:v>59.0672492980957</x:v>
      </x:c>
      <x:c r="I402" s="137" t="n">
        <x:v>36.648833824281496</x:v>
      </x:c>
      <x:c r="J402" s="137" t="n">
        <x:v>234.66599773848776</x:v>
      </x:c>
      <x:c r="K402" s="136" t="str">
        <x:v>map-19</x:v>
      </x:c>
      <x:c r="L402" s="136" t="str">
        <x:v>Antietam | Skirmish | Nicodemus Hill||Spawn | CSA Spawnpoint_NH_CSA_Mounted_1stVACa [map-19/006]</x:v>
      </x:c>
      <x:c r="M402" s="35"/>
      <x:c r="N402" s="35"/>
      <x:c r="O402" s="35"/>
      <x:c r="P402" s="35"/>
      <x:c r="Q402" s="35"/>
      <x:c r="R402" s="35"/>
      <x:c r="S402" s="35"/>
      <x:c r="T402" s="35"/>
      <x:c r="U402" s="35"/>
      <x:c r="V402" s="35"/>
      <x:c r="W402" s="35"/>
      <x:c r="X402" s="35"/>
      <x:c r="Y402" s="35"/>
      <x:c r="Z402" s="35"/>
      <x:c r="AA402" s="35"/>
    </x:row>
    <x:row r="403">
      <x:c r="A403" s="136" t="str">
        <x:v>Antietam | Skirmish | Nicodemus Hill</x:v>
      </x:c>
      <x:c r="B403" s="136" t="str">
        <x:v>Spawn | CSA Spawnpoint_NH_Base_CSA_13thVA [map-19/007]</x:v>
      </x:c>
      <x:c r="C403" s="136" t="str">
        <x:v>spawn</x:v>
      </x:c>
      <x:c r="D403" s="136" t="str">
        <x:v>CSA</x:v>
      </x:c>
      <x:c r="E403" s="136" t="str">
        <x:v>Spawnpoint_NH_Base_CSA_13thVA</x:v>
      </x:c>
      <x:c r="F403" s="137" t="n">
        <x:v>868.14501953125</x:v>
      </x:c>
      <x:c r="G403" s="137" t="n">
        <x:v>3395.33154296875</x:v>
      </x:c>
      <x:c r="H403" s="137" t="n">
        <x:v>64.8044204711914</x:v>
      </x:c>
      <x:c r="I403" s="137" t="n">
        <x:v>352.8104669113823</x:v>
      </x:c>
      <x:c r="J403" s="137" t="n">
        <x:v>1164.0476180832543</x:v>
      </x:c>
      <x:c r="K403" s="136" t="str">
        <x:v>map-19</x:v>
      </x:c>
      <x:c r="L403" s="136" t="str">
        <x:v>Antietam | Skirmish | Nicodemus Hill||Spawn | CSA Spawnpoint_NH_Base_CSA_13thVA [map-19/007]</x:v>
      </x:c>
      <x:c r="M403" s="35"/>
      <x:c r="N403" s="35"/>
      <x:c r="O403" s="35"/>
      <x:c r="P403" s="35"/>
      <x:c r="Q403" s="35"/>
      <x:c r="R403" s="35"/>
      <x:c r="S403" s="35"/>
      <x:c r="T403" s="35"/>
      <x:c r="U403" s="35"/>
      <x:c r="V403" s="35"/>
      <x:c r="W403" s="35"/>
      <x:c r="X403" s="35"/>
      <x:c r="Y403" s="35"/>
      <x:c r="Z403" s="35"/>
      <x:c r="AA403" s="35"/>
    </x:row>
    <x:row r="404">
      <x:c r="A404" s="136" t="str">
        <x:v>Antietam | Skirmish | Nicodemus Hill</x:v>
      </x:c>
      <x:c r="B404" s="136" t="str">
        <x:v>Spawn | CSA Spawnpoint_NH_Base_CSA_1stVaCa [map-19/008]</x:v>
      </x:c>
      <x:c r="C404" s="136" t="str">
        <x:v>spawn</x:v>
      </x:c>
      <x:c r="D404" s="136" t="str">
        <x:v>CSA</x:v>
      </x:c>
      <x:c r="E404" s="136" t="str">
        <x:v>Spawnpoint_NH_Base_CSA_1stVaCa</x:v>
      </x:c>
      <x:c r="F404" s="137" t="n">
        <x:v>880.4159545898438</x:v>
      </x:c>
      <x:c r="G404" s="137" t="n">
        <x:v>3412.13427734375</x:v>
      </x:c>
      <x:c r="H404" s="137" t="n">
        <x:v>65.60608673095703</x:v>
      </x:c>
      <x:c r="I404" s="137" t="n">
        <x:v>333.75733947028806</x:v>
      </x:c>
      <x:c r="J404" s="137" t="n">
        <x:v>1104.897458703223</x:v>
      </x:c>
      <x:c r="K404" s="136" t="str">
        <x:v>map-19</x:v>
      </x:c>
      <x:c r="L404" s="136" t="str">
        <x:v>Antietam | Skirmish | Nicodemus Hill||Spawn | CSA Spawnpoint_NH_Base_CSA_1stVaCa [map-19/008]</x:v>
      </x:c>
      <x:c r="M404" s="35"/>
      <x:c r="N404" s="35"/>
      <x:c r="O404" s="35"/>
      <x:c r="P404" s="35"/>
      <x:c r="Q404" s="35"/>
      <x:c r="R404" s="35"/>
      <x:c r="S404" s="35"/>
      <x:c r="T404" s="35"/>
      <x:c r="U404" s="35"/>
      <x:c r="V404" s="35"/>
      <x:c r="W404" s="35"/>
      <x:c r="X404" s="35"/>
      <x:c r="Y404" s="35"/>
      <x:c r="Z404" s="35"/>
      <x:c r="AA404" s="35"/>
    </x:row>
    <x:row r="405">
      <x:c r="A405" s="136" t="str">
        <x:v>Antietam | Skirmish | Nicodemus Hill</x:v>
      </x:c>
      <x:c r="B405" s="136" t="str">
        <x:v>Spawn | USA Spawnpoint_NH_Base_USA_1stMN-2 [map-19/009]</x:v>
      </x:c>
      <x:c r="C405" s="136" t="str">
        <x:v>spawn</x:v>
      </x:c>
      <x:c r="D405" s="136" t="str">
        <x:v>USA</x:v>
      </x:c>
      <x:c r="E405" s="136" t="str">
        <x:v>Spawnpoint_NH_Base_USA_1stMN-2</x:v>
      </x:c>
      <x:c r="F405" s="137" t="n">
        <x:v>1124.8896484375</x:v>
      </x:c>
      <x:c r="G405" s="137" t="n">
        <x:v>3119.516357421875</x:v>
      </x:c>
      <x:c r="H405" s="137" t="n">
        <x:v>63.41477966308594</x:v>
      </x:c>
      <x:c r="I405" s="137" t="n">
        <x:v>1468.7066500775784</x:v>
      </x:c>
      <x:c r="J405" s="137" t="n">
        <x:v>1028.9288037919462</x:v>
      </x:c>
      <x:c r="K405" s="136" t="str">
        <x:v>map-19</x:v>
      </x:c>
      <x:c r="L405" s="136" t="str">
        <x:v>Antietam | Skirmish | Nicodemus Hill||Spawn | USA Spawnpoint_NH_Base_USA_1stMN-2 [map-19/009]</x:v>
      </x:c>
      <x:c r="M405" s="35"/>
      <x:c r="N405" s="35"/>
      <x:c r="O405" s="35"/>
      <x:c r="P405" s="35"/>
      <x:c r="Q405" s="35"/>
      <x:c r="R405" s="35"/>
      <x:c r="S405" s="35"/>
      <x:c r="T405" s="35"/>
      <x:c r="U405" s="35"/>
      <x:c r="V405" s="35"/>
      <x:c r="W405" s="35"/>
      <x:c r="X405" s="35"/>
      <x:c r="Y405" s="35"/>
      <x:c r="Z405" s="35"/>
      <x:c r="AA405" s="35"/>
    </x:row>
    <x:row r="406">
      <x:c r="A406" s="136" t="str">
        <x:v>Antietam | Skirmish | Nicodemus Hill</x:v>
      </x:c>
      <x:c r="B406" s="136" t="str">
        <x:v>Artillery | CSA Spawnpoint_NH_CSA_Arty_Pelham_Forward [map-19/010]</x:v>
      </x:c>
      <x:c r="C406" s="136" t="str">
        <x:v>battery</x:v>
      </x:c>
      <x:c r="D406" s="136" t="str">
        <x:v>CSA</x:v>
      </x:c>
      <x:c r="E406" s="136" t="str">
        <x:v>Spawnpoint_NH_CSA_Arty_Pelham_Forward</x:v>
      </x:c>
      <x:c r="F406" s="137" t="n">
        <x:v>955.7139282226562</x:v>
      </x:c>
      <x:c r="G406" s="137" t="n">
        <x:v>3486.552978515625</x:v>
      </x:c>
      <x:c r="H406" s="137" t="n">
        <x:v>74.60631561279297</x:v>
      </x:c>
      <x:c r="I406" s="137" t="n">
        <x:v>286.09638310506443</x:v>
      </x:c>
      <x:c r="J406" s="137" t="n">
        <x:v>792.3474114752506</x:v>
      </x:c>
      <x:c r="K406" s="136" t="str">
        <x:v>map-19</x:v>
      </x:c>
      <x:c r="L406" s="136" t="str">
        <x:v>Antietam | Skirmish | Nicodemus Hill||Artillery | CSA Spawnpoint_NH_CSA_Arty_Pelham_Forward [map-19/010]</x:v>
      </x:c>
      <x:c r="M406" s="35"/>
      <x:c r="N406" s="35"/>
      <x:c r="O406" s="35"/>
      <x:c r="P406" s="35"/>
      <x:c r="Q406" s="35"/>
      <x:c r="R406" s="35"/>
      <x:c r="S406" s="35"/>
      <x:c r="T406" s="35"/>
      <x:c r="U406" s="35"/>
      <x:c r="V406" s="35"/>
      <x:c r="W406" s="35"/>
      <x:c r="X406" s="35"/>
      <x:c r="Y406" s="35"/>
      <x:c r="Z406" s="35"/>
      <x:c r="AA406" s="35"/>
    </x:row>
    <x:row r="407">
      <x:c r="A407" s="136" t="str">
        <x:v>Antietam | Skirmish | Nicodemus Hill</x:v>
      </x:c>
      <x:c r="B407" s="136" t="str">
        <x:v>Artillery | USA Spawnpoint_NH_USA_Arty_Reynolds_Forward [map-19/011]</x:v>
      </x:c>
      <x:c r="C407" s="136" t="str">
        <x:v>battery</x:v>
      </x:c>
      <x:c r="D407" s="136" t="str">
        <x:v>USA</x:v>
      </x:c>
      <x:c r="E407" s="136" t="str">
        <x:v>Spawnpoint_NH_USA_Arty_Reynolds_Forward</x:v>
      </x:c>
      <x:c r="F407" s="137" t="n">
        <x:v>1281.380126953125</x:v>
      </x:c>
      <x:c r="G407" s="137" t="n">
        <x:v>3206.60986328125</x:v>
      </x:c>
      <x:c r="H407" s="137" t="n">
        <x:v>57.412879943847656</x:v>
      </x:c>
      <x:c r="I407" s="137" t="n">
        <x:v>1532.7723777563854</x:v>
      </x:c>
      <x:c r="J407" s="137" t="n">
        <x:v>498.1000727181125</x:v>
      </x:c>
      <x:c r="K407" s="136" t="str">
        <x:v>map-19</x:v>
      </x:c>
      <x:c r="L407" s="136" t="str">
        <x:v>Antietam | Skirmish | Nicodemus Hill||Artillery | USA Spawnpoint_NH_USA_Arty_Reynolds_Forward [map-19/011]</x:v>
      </x:c>
      <x:c r="M407" s="35"/>
      <x:c r="N407" s="35"/>
      <x:c r="O407" s="35"/>
      <x:c r="P407" s="35"/>
      <x:c r="Q407" s="35"/>
      <x:c r="R407" s="35"/>
      <x:c r="S407" s="35"/>
      <x:c r="T407" s="35"/>
      <x:c r="U407" s="35"/>
      <x:c r="V407" s="35"/>
      <x:c r="W407" s="35"/>
      <x:c r="X407" s="35"/>
      <x:c r="Y407" s="35"/>
      <x:c r="Z407" s="35"/>
      <x:c r="AA407" s="35"/>
    </x:row>
    <x:row r="408">
      <x:c r="A408" s="136" t="str">
        <x:v>Antietam | Skirmish | Nicodemus Hill</x:v>
      </x:c>
      <x:c r="B408" s="136" t="str">
        <x:v>Objective | Victory_Nicodemus_Hill [map-19/012]</x:v>
      </x:c>
      <x:c r="C408" s="136" t="str">
        <x:v>objective</x:v>
      </x:c>
      <x:c r="D408" s="136" t="str"/>
      <x:c r="E408" s="136" t="str">
        <x:v>Victory_Nicodemus_Hill</x:v>
      </x:c>
      <x:c r="F408" s="137" t="n">
        <x:v>1007.0827026367188</x:v>
      </x:c>
      <x:c r="G408" s="137" t="n">
        <x:v>3305.514892578125</x:v>
      </x:c>
      <x:c r="H408" s="137" t="n">
        <x:v>57.50432205200195</x:v>
      </x:c>
      <x:c r="I408" s="137" t="n">
        <x:v>813.1833358830222</x:v>
      </x:c>
      <x:c r="J408" s="137" t="n">
        <x:v>986.4733192642641</x:v>
      </x:c>
      <x:c r="K408" s="136" t="str">
        <x:v>map-19</x:v>
      </x:c>
      <x:c r="L408" s="136" t="str">
        <x:v>Antietam | Skirmish | Nicodemus Hill||Objective | Victory_Nicodemus_Hill [map-19/012]</x:v>
      </x:c>
      <x:c r="M408" s="35"/>
      <x:c r="N408" s="35"/>
      <x:c r="O408" s="35"/>
      <x:c r="P408" s="35"/>
      <x:c r="Q408" s="35"/>
      <x:c r="R408" s="35"/>
      <x:c r="S408" s="35"/>
      <x:c r="T408" s="35"/>
      <x:c r="U408" s="35"/>
      <x:c r="V408" s="35"/>
      <x:c r="W408" s="35"/>
      <x:c r="X408" s="35"/>
      <x:c r="Y408" s="35"/>
      <x:c r="Z408" s="35"/>
      <x:c r="AA408" s="35"/>
    </x:row>
    <x:row r="409">
      <x:c r="A409" s="136" t="str">
        <x:v>Antietam | Skirmish | Nicodemus Hill</x:v>
      </x:c>
      <x:c r="B409" s="136" t="str">
        <x:v>Spawn | CSA Spawnpoint_NH_Defend_CSA_13thVA-2 [map-19/013]</x:v>
      </x:c>
      <x:c r="C409" s="136" t="str">
        <x:v>spawn</x:v>
      </x:c>
      <x:c r="D409" s="136" t="str">
        <x:v>CSA</x:v>
      </x:c>
      <x:c r="E409" s="136" t="str">
        <x:v>Spawnpoint_NH_Defend_CSA_13thVA-2</x:v>
      </x:c>
      <x:c r="F409" s="137" t="n">
        <x:v>1004.8692016601562</x:v>
      </x:c>
      <x:c r="G409" s="137" t="n">
        <x:v>3296.647705078125</x:v>
      </x:c>
      <x:c r="H409" s="137" t="n">
        <x:v>58.1461067199707</x:v>
      </x:c>
      <x:c r="I409" s="137" t="n">
        <x:v>830.7093592061495</x:v>
      </x:c>
      <x:c r="J409" s="137" t="n">
        <x:v>1007.3990191053983</x:v>
      </x:c>
      <x:c r="K409" s="136" t="str">
        <x:v>map-19</x:v>
      </x:c>
      <x:c r="L409" s="136" t="str">
        <x:v>Antietam | Skirmish | Nicodemus Hill||Spawn | CSA Spawnpoint_NH_Defend_CSA_13thVA-2 [map-19/013]</x:v>
      </x:c>
      <x:c r="M409" s="35"/>
      <x:c r="N409" s="35"/>
      <x:c r="O409" s="35"/>
      <x:c r="P409" s="35"/>
      <x:c r="Q409" s="35"/>
      <x:c r="R409" s="35"/>
      <x:c r="S409" s="35"/>
      <x:c r="T409" s="35"/>
      <x:c r="U409" s="35"/>
      <x:c r="V409" s="35"/>
      <x:c r="W409" s="35"/>
      <x:c r="X409" s="35"/>
      <x:c r="Y409" s="35"/>
      <x:c r="Z409" s="35"/>
      <x:c r="AA409" s="35"/>
    </x:row>
    <x:row r="410">
      <x:c r="A410" s="136" t="str">
        <x:v>Antietam | Skirmish | Nicodemus Hill</x:v>
      </x:c>
      <x:c r="B410" s="136" t="str">
        <x:v>Artillery | USA Spawnpoint_NH_USA_Arty_Base [map-19/014]</x:v>
      </x:c>
      <x:c r="C410" s="136" t="str">
        <x:v>battery</x:v>
      </x:c>
      <x:c r="D410" s="136" t="str">
        <x:v>USA</x:v>
      </x:c>
      <x:c r="E410" s="136" t="str">
        <x:v>Spawnpoint_NH_USA_Arty_Base</x:v>
      </x:c>
      <x:c r="F410" s="137" t="n">
        <x:v>1103.644775390625</x:v>
      </x:c>
      <x:c r="G410" s="137" t="n">
        <x:v>3081.1318359375</x:v>
      </x:c>
      <x:c r="H410" s="137" t="n">
        <x:v>62.554935455322266</x:v>
      </x:c>
      <x:c r="I410" s="137" t="n">
        <x:v>1524.1293419539822</x:v>
      </x:c>
      <x:c r="J410" s="137" t="n">
        <x:v>1147.668024435681</x:v>
      </x:c>
      <x:c r="K410" s="136" t="str">
        <x:v>map-19</x:v>
      </x:c>
      <x:c r="L410" s="136" t="str">
        <x:v>Antietam | Skirmish | Nicodemus Hill||Artillery | USA Spawnpoint_NH_USA_Arty_Base [map-19/014]</x:v>
      </x:c>
      <x:c r="M410" s="35"/>
      <x:c r="N410" s="35"/>
      <x:c r="O410" s="35"/>
      <x:c r="P410" s="35"/>
      <x:c r="Q410" s="35"/>
      <x:c r="R410" s="35"/>
      <x:c r="S410" s="35"/>
      <x:c r="T410" s="35"/>
      <x:c r="U410" s="35"/>
      <x:c r="V410" s="35"/>
      <x:c r="W410" s="35"/>
      <x:c r="X410" s="35"/>
      <x:c r="Y410" s="35"/>
      <x:c r="Z410" s="35"/>
      <x:c r="AA410" s="35"/>
    </x:row>
    <x:row r="411">
      <x:c r="A411" s="136" t="str">
        <x:v>Antietam | Skirmish | Nicodemus Hill</x:v>
      </x:c>
      <x:c r="B411" s="136" t="str">
        <x:v>Artillery | CSA Spawnpoint_NH_CSA_Arty_Base [map-19/015]</x:v>
      </x:c>
      <x:c r="C411" s="136" t="str">
        <x:v>battery</x:v>
      </x:c>
      <x:c r="D411" s="136" t="str">
        <x:v>CSA</x:v>
      </x:c>
      <x:c r="E411" s="136" t="str">
        <x:v>Spawnpoint_NH_CSA_Arty_Base</x:v>
      </x:c>
      <x:c r="F411" s="137" t="n">
        <x:v>862.6217041015625</x:v>
      </x:c>
      <x:c r="G411" s="137" t="n">
        <x:v>3411.319580078125</x:v>
      </x:c>
      <x:c r="H411" s="137" t="n">
        <x:v>65.3382339477539</x:v>
      </x:c>
      <x:c r="I411" s="137" t="n">
        <x:v>304.5320229166828</x:v>
      </x:c>
      <x:c r="J411" s="137" t="n">
        <x:v>1149.2859219277575</x:v>
      </x:c>
      <x:c r="K411" s="136" t="str">
        <x:v>map-19</x:v>
      </x:c>
      <x:c r="L411" s="136" t="str">
        <x:v>Antietam | Skirmish | Nicodemus Hill||Artillery | CSA Spawnpoint_NH_CSA_Arty_Base [map-19/015]</x:v>
      </x:c>
      <x:c r="M411" s="35"/>
      <x:c r="N411" s="35"/>
      <x:c r="O411" s="35"/>
      <x:c r="P411" s="35"/>
      <x:c r="Q411" s="35"/>
      <x:c r="R411" s="35"/>
      <x:c r="S411" s="35"/>
      <x:c r="T411" s="35"/>
      <x:c r="U411" s="35"/>
      <x:c r="V411" s="35"/>
      <x:c r="W411" s="35"/>
      <x:c r="X411" s="35"/>
      <x:c r="Y411" s="35"/>
      <x:c r="Z411" s="35"/>
      <x:c r="AA411" s="35"/>
    </x:row>
    <x:row r="412">
      <x:c r="A412" s="136" t="str">
        <x:v>Antietam | Skirmish | Nicodemus Hill</x:v>
      </x:c>
      <x:c r="B412" s="136" t="str">
        <x:v>Spawn | USA Spawnpoint_NH_Base_USA_1stMN [map-19/016]</x:v>
      </x:c>
      <x:c r="C412" s="136" t="str">
        <x:v>spawn</x:v>
      </x:c>
      <x:c r="D412" s="136" t="str">
        <x:v>USA</x:v>
      </x:c>
      <x:c r="E412" s="136" t="str">
        <x:v>Spawnpoint_NH_Base_USA_1stMN</x:v>
      </x:c>
      <x:c r="F412" s="137" t="n">
        <x:v>1114.3240966796875</x:v>
      </x:c>
      <x:c r="G412" s="137" t="n">
        <x:v>3101.201904296875</x:v>
      </x:c>
      <x:c r="H412" s="137" t="n">
        <x:v>62.79835510253906</x:v>
      </x:c>
      <x:c r="I412" s="137" t="n">
        <x:v>1494.398609796568</x:v>
      </x:c>
      <x:c r="J412" s="137" t="n">
        <x:v>1086.6185365792155</x:v>
      </x:c>
      <x:c r="K412" s="136" t="str">
        <x:v>map-19</x:v>
      </x:c>
      <x:c r="L412" s="136" t="str">
        <x:v>Antietam | Skirmish | Nicodemus Hill||Spawn | USA Spawnpoint_NH_Base_USA_1stMN [map-19/016]</x:v>
      </x:c>
      <x:c r="M412" s="35"/>
      <x:c r="N412" s="35"/>
      <x:c r="O412" s="35"/>
      <x:c r="P412" s="35"/>
      <x:c r="Q412" s="35"/>
      <x:c r="R412" s="35"/>
      <x:c r="S412" s="35"/>
      <x:c r="T412" s="35"/>
      <x:c r="U412" s="35"/>
      <x:c r="V412" s="35"/>
      <x:c r="W412" s="35"/>
      <x:c r="X412" s="35"/>
      <x:c r="Y412" s="35"/>
      <x:c r="Z412" s="35"/>
      <x:c r="AA412" s="35"/>
    </x:row>
    <x:row r="413">
      <x:c r="A413" s="136" t="str">
        <x:v>Antietam | Skirmish | Nicodemus Hill</x:v>
      </x:c>
      <x:c r="B413" s="136" t="str">
        <x:v>Spawn | USA Spawnpoint_NH_Base_USA_15thMA-2 [map-19/017]</x:v>
      </x:c>
      <x:c r="C413" s="136" t="str">
        <x:v>spawn</x:v>
      </x:c>
      <x:c r="D413" s="136" t="str">
        <x:v>USA</x:v>
      </x:c>
      <x:c r="E413" s="136" t="str">
        <x:v>Spawnpoint_NH_Base_USA_15thMA-2</x:v>
      </x:c>
      <x:c r="F413" s="137" t="n">
        <x:v>1126.9432373046875</x:v>
      </x:c>
      <x:c r="G413" s="137" t="n">
        <x:v>3102.698486328125</x:v>
      </x:c>
      <x:c r="H413" s="137" t="n">
        <x:v>63.60980987548828</x:v>
      </x:c>
      <x:c r="I413" s="137" t="n">
        <x:v>1512.9061973423989</x:v>
      </x:c>
      <x:c r="J413" s="137" t="n">
        <x:v>1053.5249606971609</x:v>
      </x:c>
      <x:c r="K413" s="136" t="str">
        <x:v>map-19</x:v>
      </x:c>
      <x:c r="L413" s="136" t="str">
        <x:v>Antietam | Skirmish | Nicodemus Hill||Spawn | USA Spawnpoint_NH_Base_USA_15thMA-2 [map-19/017]</x:v>
      </x:c>
      <x:c r="M413" s="35"/>
      <x:c r="N413" s="35"/>
      <x:c r="O413" s="35"/>
      <x:c r="P413" s="35"/>
      <x:c r="Q413" s="35"/>
      <x:c r="R413" s="35"/>
      <x:c r="S413" s="35"/>
      <x:c r="T413" s="35"/>
      <x:c r="U413" s="35"/>
      <x:c r="V413" s="35"/>
      <x:c r="W413" s="35"/>
      <x:c r="X413" s="35"/>
      <x:c r="Y413" s="35"/>
      <x:c r="Z413" s="35"/>
      <x:c r="AA413" s="35"/>
    </x:row>
    <x:row r="414">
      <x:c r="A414" s="136" t="str">
        <x:v>Antietam | Skirmish | Nicodemus Hill</x:v>
      </x:c>
      <x:c r="B414" s="136" t="str">
        <x:v>Spawn | CSA Spawnpoint_NH_Defend_CSA_13thVA [map-19/018]</x:v>
      </x:c>
      <x:c r="C414" s="136" t="str">
        <x:v>spawn</x:v>
      </x:c>
      <x:c r="D414" s="136" t="str">
        <x:v>CSA</x:v>
      </x:c>
      <x:c r="E414" s="136" t="str">
        <x:v>Spawnpoint_NH_Defend_CSA_13thVA</x:v>
      </x:c>
      <x:c r="F414" s="137" t="n">
        <x:v>1018.431884765625</x:v>
      </x:c>
      <x:c r="G414" s="137" t="n">
        <x:v>3300.0361328125</x:v>
      </x:c>
      <x:c r="H414" s="137" t="n">
        <x:v>57.57866287231445</x:v>
      </x:c>
      <x:c r="I414" s="137" t="n">
        <x:v>846.3038359010144</x:v>
      </x:c>
      <x:c r="J414" s="137" t="n">
        <x:v>968.7031517261869</x:v>
      </x:c>
      <x:c r="K414" s="136" t="str">
        <x:v>map-19</x:v>
      </x:c>
      <x:c r="L414" s="136" t="str">
        <x:v>Antietam | Skirmish | Nicodemus Hill||Spawn | CSA Spawnpoint_NH_Defend_CSA_13thVA [map-19/018]</x:v>
      </x:c>
      <x:c r="M414" s="35"/>
      <x:c r="N414" s="35"/>
      <x:c r="O414" s="35"/>
      <x:c r="P414" s="35"/>
      <x:c r="Q414" s="35"/>
      <x:c r="R414" s="35"/>
      <x:c r="S414" s="35"/>
      <x:c r="T414" s="35"/>
      <x:c r="U414" s="35"/>
      <x:c r="V414" s="35"/>
      <x:c r="W414" s="35"/>
      <x:c r="X414" s="35"/>
      <x:c r="Y414" s="35"/>
      <x:c r="Z414" s="35"/>
      <x:c r="AA414" s="35"/>
    </x:row>
    <x:row r="415">
      <x:c r="A415" s="136" t="str">
        <x:v>Antietam | Skirmish | Nicodemus Hill</x:v>
      </x:c>
      <x:c r="B415" s="136" t="str">
        <x:v>Spawn | CSA Spawnpoint_NH_Defend_CSA_1stVaCa [map-19/019]</x:v>
      </x:c>
      <x:c r="C415" s="136" t="str">
        <x:v>spawn</x:v>
      </x:c>
      <x:c r="D415" s="136" t="str">
        <x:v>CSA</x:v>
      </x:c>
      <x:c r="E415" s="136" t="str">
        <x:v>Spawnpoint_NH_Defend_CSA_1stVaCa</x:v>
      </x:c>
      <x:c r="F415" s="137" t="n">
        <x:v>987.9335327148438</x:v>
      </x:c>
      <x:c r="G415" s="137" t="n">
        <x:v>3291.38427734375</x:v>
      </x:c>
      <x:c r="H415" s="137" t="n">
        <x:v>58.34437942504883</x:v>
      </x:c>
      <x:c r="I415" s="137" t="n">
        <x:v>813.7286838363794</x:v>
      </x:c>
      <x:c r="J415" s="137" t="n">
        <x:v>1057.5324553665598</x:v>
      </x:c>
      <x:c r="K415" s="136" t="str">
        <x:v>map-19</x:v>
      </x:c>
      <x:c r="L415" s="136" t="str">
        <x:v>Antietam | Skirmish | Nicodemus Hill||Spawn | CSA Spawnpoint_NH_Defend_CSA_1stVaCa [map-19/019]</x:v>
      </x:c>
      <x:c r="M415" s="35"/>
      <x:c r="N415" s="35"/>
      <x:c r="O415" s="35"/>
      <x:c r="P415" s="35"/>
      <x:c r="Q415" s="35"/>
      <x:c r="R415" s="35"/>
      <x:c r="S415" s="35"/>
      <x:c r="T415" s="35"/>
      <x:c r="U415" s="35"/>
      <x:c r="V415" s="35"/>
      <x:c r="W415" s="35"/>
      <x:c r="X415" s="35"/>
      <x:c r="Y415" s="35"/>
      <x:c r="Z415" s="35"/>
      <x:c r="AA415" s="35"/>
    </x:row>
    <x:row r="416">
      <x:c r="A416" s="136" t="str">
        <x:v>Antietam | Skirmish | Nicodemus Hill</x:v>
      </x:c>
      <x:c r="B416" s="136" t="str">
        <x:v>Artillery | CSA Spawnpoint_NH_CSA_Arty_Wooding_Forward [map-19/020]</x:v>
      </x:c>
      <x:c r="C416" s="136" t="str">
        <x:v>battery</x:v>
      </x:c>
      <x:c r="D416" s="136" t="str">
        <x:v>CSA</x:v>
      </x:c>
      <x:c r="E416" s="136" t="str">
        <x:v>Spawnpoint_NH_CSA_Arty_Wooding_Forward</x:v>
      </x:c>
      <x:c r="F416" s="137" t="n">
        <x:v>915.81982421875</x:v>
      </x:c>
      <x:c r="G416" s="137" t="n">
        <x:v>3435.959716796875</x:v>
      </x:c>
      <x:c r="H416" s="137" t="n">
        <x:v>69.50386810302734</x:v>
      </x:c>
      <x:c r="I416" s="137" t="n">
        <x:v>338.30121321771776</x:v>
      </x:c>
      <x:c r="J416" s="137" t="n">
        <x:v>977.5616029539575</x:v>
      </x:c>
      <x:c r="K416" s="136" t="str">
        <x:v>map-19</x:v>
      </x:c>
      <x:c r="L416" s="136" t="str">
        <x:v>Antietam | Skirmish | Nicodemus Hill||Artillery | CSA Spawnpoint_NH_CSA_Arty_Wooding_Forward [map-19/020]</x:v>
      </x:c>
      <x:c r="M416" s="35"/>
      <x:c r="N416" s="35"/>
      <x:c r="O416" s="35"/>
      <x:c r="P416" s="35"/>
      <x:c r="Q416" s="35"/>
      <x:c r="R416" s="35"/>
      <x:c r="S416" s="35"/>
      <x:c r="T416" s="35"/>
      <x:c r="U416" s="35"/>
      <x:c r="V416" s="35"/>
      <x:c r="W416" s="35"/>
      <x:c r="X416" s="35"/>
      <x:c r="Y416" s="35"/>
      <x:c r="Z416" s="35"/>
      <x:c r="AA416" s="35"/>
    </x:row>
    <x:row r="417">
      <x:c r="A417" s="136" t="str">
        <x:v>Antietam | Skirmish | Nicodemus Hill</x:v>
      </x:c>
      <x:c r="B417" s="136" t="str">
        <x:v>Gun | 12-pounder Napoleon (USA) · Entity-1279 [map-19/021]</x:v>
      </x:c>
      <x:c r="C417" s="136" t="str">
        <x:v>gun_spawn</x:v>
      </x:c>
      <x:c r="D417" s="136" t="str"/>
      <x:c r="E417" s="136" t="str">
        <x:v>12-pounder Napoleon (USA) · Entity-1279</x:v>
      </x:c>
      <x:c r="F417" s="137" t="n">
        <x:v>867.9920043945312</x:v>
      </x:c>
      <x:c r="G417" s="137" t="n">
        <x:v>3361.68994140625</x:v>
      </x:c>
      <x:c r="H417" s="137" t="n">
        <x:v>67.28341674804688</x:v>
      </x:c>
      <x:c r="I417" s="137" t="n">
        <x:v>433.75588931312444</x:v>
      </x:c>
      <x:c r="J417" s="137" t="n">
        <x:v>1223.5346912721668</x:v>
      </x:c>
      <x:c r="K417" s="136" t="str">
        <x:v>map-19</x:v>
      </x:c>
      <x:c r="L417" s="136" t="str">
        <x:v>Antietam | Skirmish | Nicodemus Hill||Gun | 12-pounder Napoleon (USA) · Entity-1279 [map-19/021]</x:v>
      </x:c>
      <x:c r="M417" s="35"/>
      <x:c r="N417" s="35"/>
      <x:c r="O417" s="35"/>
      <x:c r="P417" s="35"/>
      <x:c r="Q417" s="35"/>
      <x:c r="R417" s="35"/>
      <x:c r="S417" s="35"/>
      <x:c r="T417" s="35"/>
      <x:c r="U417" s="35"/>
      <x:c r="V417" s="35"/>
      <x:c r="W417" s="35"/>
      <x:c r="X417" s="35"/>
      <x:c r="Y417" s="35"/>
      <x:c r="Z417" s="35"/>
      <x:c r="AA417" s="35"/>
    </x:row>
    <x:row r="418">
      <x:c r="A418" s="136" t="str">
        <x:v>Antietam | Skirmish | Nicodemus Hill</x:v>
      </x:c>
      <x:c r="B418" s="136" t="str">
        <x:v>Gun | 12-pounder Napoleon (USA) · Entity-1292 [map-19/022]</x:v>
      </x:c>
      <x:c r="C418" s="136" t="str">
        <x:v>gun_spawn</x:v>
      </x:c>
      <x:c r="D418" s="136" t="str"/>
      <x:c r="E418" s="136" t="str">
        <x:v>12-pounder Napoleon (USA) · Entity-1292</x:v>
      </x:c>
      <x:c r="F418" s="137" t="n">
        <x:v>961.594970703125</x:v>
      </x:c>
      <x:c r="G418" s="137" t="n">
        <x:v>3463.969970703125</x:v>
      </x:c>
      <x:c r="H418" s="137" t="n">
        <x:v>74.35685729980469</x:v>
      </x:c>
      <x:c r="I418" s="137" t="n">
        <x:v>350.9227096354675</x:v>
      </x:c>
      <x:c r="J418" s="137" t="n">
        <x:v>817.8347284216171</x:v>
      </x:c>
      <x:c r="K418" s="136" t="str">
        <x:v>map-19</x:v>
      </x:c>
      <x:c r="L418" s="136" t="str">
        <x:v>Antietam | Skirmish | Nicodemus Hill||Gun | 12-pounder Napoleon (USA) · Entity-1292 [map-19/022]</x:v>
      </x:c>
      <x:c r="M418" s="35"/>
      <x:c r="N418" s="35"/>
      <x:c r="O418" s="35"/>
      <x:c r="P418" s="35"/>
      <x:c r="Q418" s="35"/>
      <x:c r="R418" s="35"/>
      <x:c r="S418" s="35"/>
      <x:c r="T418" s="35"/>
      <x:c r="U418" s="35"/>
      <x:c r="V418" s="35"/>
      <x:c r="W418" s="35"/>
      <x:c r="X418" s="35"/>
      <x:c r="Y418" s="35"/>
      <x:c r="Z418" s="35"/>
      <x:c r="AA418" s="35"/>
    </x:row>
    <x:row r="419">
      <x:c r="A419" s="136" t="str">
        <x:v>Antietam | Skirmish | Nicodemus Hill</x:v>
      </x:c>
      <x:c r="B419" s="136" t="str">
        <x:v>Gun | 10-pounder Parrott · Entity-1284 [map-19/023]</x:v>
      </x:c>
      <x:c r="C419" s="136" t="str">
        <x:v>gun_spawn</x:v>
      </x:c>
      <x:c r="D419" s="136" t="str"/>
      <x:c r="E419" s="136" t="str">
        <x:v>10-pounder Parrott · Entity-1284</x:v>
      </x:c>
      <x:c r="F419" s="137" t="n">
        <x:v>924.4569702148438</x:v>
      </x:c>
      <x:c r="G419" s="137" t="n">
        <x:v>3412.610107421875</x:v>
      </x:c>
      <x:c r="H419" s="137" t="n">
        <x:v>68.97386169433594</x:v>
      </x:c>
      <x:c r="I419" s="137" t="n">
        <x:v>409.8094349656044</x:v>
      </x:c>
      <x:c r="J419" s="137" t="n">
        <x:v>997.7425877752429</x:v>
      </x:c>
      <x:c r="K419" s="136" t="str">
        <x:v>map-19</x:v>
      </x:c>
      <x:c r="L419" s="136" t="str">
        <x:v>Antietam | Skirmish | Nicodemus Hill||Gun | 10-pounder Parrott · Entity-1284 [map-19/023]</x:v>
      </x:c>
      <x:c r="M419" s="35"/>
      <x:c r="N419" s="35"/>
      <x:c r="O419" s="35"/>
      <x:c r="P419" s="35"/>
      <x:c r="Q419" s="35"/>
      <x:c r="R419" s="35"/>
      <x:c r="S419" s="35"/>
      <x:c r="T419" s="35"/>
      <x:c r="U419" s="35"/>
      <x:c r="V419" s="35"/>
      <x:c r="W419" s="35"/>
      <x:c r="X419" s="35"/>
      <x:c r="Y419" s="35"/>
      <x:c r="Z419" s="35"/>
      <x:c r="AA419" s="35"/>
    </x:row>
    <x:row r="420">
      <x:c r="A420" s="136" t="str">
        <x:v>Antietam | Skirmish | Nicodemus Hill</x:v>
      </x:c>
      <x:c r="B420" s="136" t="str">
        <x:v>Gun | 10-pounder Parrott · Entity-1241 [map-19/024]</x:v>
      </x:c>
      <x:c r="C420" s="136" t="str">
        <x:v>gun_spawn</x:v>
      </x:c>
      <x:c r="D420" s="136" t="str"/>
      <x:c r="E420" s="136" t="str">
        <x:v>10-pounder Parrott · Entity-1241</x:v>
      </x:c>
      <x:c r="F420" s="137" t="n">
        <x:v>1249.699951171875</x:v>
      </x:c>
      <x:c r="G420" s="137" t="n">
        <x:v>3217.820068359375</x:v>
      </x:c>
      <x:c r="H420" s="137" t="n">
        <x:v>57.11029815673828</x:v>
      </x:c>
      <x:c r="I420" s="137" t="n">
        <x:v>1450.1768925227516</x:v>
      </x:c>
      <x:c r="J420" s="137" t="n">
        <x:v>554.8792149461143</x:v>
      </x:c>
      <x:c r="K420" s="136" t="str">
        <x:v>map-19</x:v>
      </x:c>
      <x:c r="L420" s="136" t="str">
        <x:v>Antietam | Skirmish | Nicodemus Hill||Gun | 10-pounder Parrott · Entity-1241 [map-19/024]</x:v>
      </x:c>
      <x:c r="M420" s="35"/>
      <x:c r="N420" s="35"/>
      <x:c r="O420" s="35"/>
      <x:c r="P420" s="35"/>
      <x:c r="Q420" s="35"/>
      <x:c r="R420" s="35"/>
      <x:c r="S420" s="35"/>
      <x:c r="T420" s="35"/>
      <x:c r="U420" s="35"/>
      <x:c r="V420" s="35"/>
      <x:c r="W420" s="35"/>
      <x:c r="X420" s="35"/>
      <x:c r="Y420" s="35"/>
      <x:c r="Z420" s="35"/>
      <x:c r="AA420" s="35"/>
    </x:row>
    <x:row r="421">
      <x:c r="A421" s="136" t="str">
        <x:v>Antietam | Skirmish | Nicodemus Hill</x:v>
      </x:c>
      <x:c r="B421" s="136" t="str">
        <x:v>Gun | 12-pounder Napoleon (USA) · Entity-1267 [map-19/025]</x:v>
      </x:c>
      <x:c r="C421" s="136" t="str">
        <x:v>gun_spawn</x:v>
      </x:c>
      <x:c r="D421" s="136" t="str"/>
      <x:c r="E421" s="136" t="str">
        <x:v>12-pounder Napoleon (USA) · Entity-1267</x:v>
      </x:c>
      <x:c r="F421" s="137" t="n">
        <x:v>1114.9599609375</x:v>
      </x:c>
      <x:c r="G421" s="137" t="n">
        <x:v>3158.530029296875</x:v>
      </x:c>
      <x:c r="H421" s="137" t="n">
        <x:v>63.56248092651367</x:v>
      </x:c>
      <x:c r="I421" s="137" t="n">
        <x:v>1357.1183340259067</x:v>
      </x:c>
      <x:c r="J421" s="137" t="n">
        <x:v>984.3419935900597</x:v>
      </x:c>
      <x:c r="K421" s="136" t="str">
        <x:v>map-19</x:v>
      </x:c>
      <x:c r="L421" s="136" t="str">
        <x:v>Antietam | Skirmish | Nicodemus Hill||Gun | 12-pounder Napoleon (USA) · Entity-1267 [map-19/025]</x:v>
      </x:c>
      <x:c r="M421" s="35"/>
      <x:c r="N421" s="35"/>
      <x:c r="O421" s="35"/>
      <x:c r="P421" s="35"/>
      <x:c r="Q421" s="35"/>
      <x:c r="R421" s="35"/>
      <x:c r="S421" s="35"/>
      <x:c r="T421" s="35"/>
      <x:c r="U421" s="35"/>
      <x:c r="V421" s="35"/>
      <x:c r="W421" s="35"/>
      <x:c r="X421" s="35"/>
      <x:c r="Y421" s="35"/>
      <x:c r="Z421" s="35"/>
      <x:c r="AA421" s="35"/>
    </x:row>
    <x:row r="422">
      <x:c r="A422" s="136" t="str">
        <x:v>Antietam | Skirmish | Nicodemus Hill</x:v>
      </x:c>
      <x:c r="B422" s="136" t="str">
        <x:v>Gun | 12-pounder Napoleon (USA) · Entity-1290 [map-19/026]</x:v>
      </x:c>
      <x:c r="C422" s="136" t="str">
        <x:v>gun_spawn</x:v>
      </x:c>
      <x:c r="D422" s="136" t="str"/>
      <x:c r="E422" s="136" t="str">
        <x:v>12-pounder Napoleon (USA) · Entity-1290</x:v>
      </x:c>
      <x:c r="F422" s="137" t="n">
        <x:v>951.1950073242188</x:v>
      </x:c>
      <x:c r="G422" s="137" t="n">
        <x:v>3452.68994140625</x:v>
      </x:c>
      <x:c r="H422" s="137" t="n">
        <x:v>74.09752655029297</x:v>
      </x:c>
      <x:c r="I422" s="137" t="n">
        <x:v>359.92324510516494</x:v>
      </x:c>
      <x:c r="J422" s="137" t="n">
        <x:v>862.7632713166698</x:v>
      </x:c>
      <x:c r="K422" s="136" t="str">
        <x:v>map-19</x:v>
      </x:c>
      <x:c r="L422" s="136" t="str">
        <x:v>Antietam | Skirmish | Nicodemus Hill||Gun | 12-pounder Napoleon (USA) · Entity-1290 [map-19/026]</x:v>
      </x:c>
      <x:c r="M422" s="35"/>
      <x:c r="N422" s="35"/>
      <x:c r="O422" s="35"/>
      <x:c r="P422" s="35"/>
      <x:c r="Q422" s="35"/>
      <x:c r="R422" s="35"/>
      <x:c r="S422" s="35"/>
      <x:c r="T422" s="35"/>
      <x:c r="U422" s="35"/>
      <x:c r="V422" s="35"/>
      <x:c r="W422" s="35"/>
      <x:c r="X422" s="35"/>
      <x:c r="Y422" s="35"/>
      <x:c r="Z422" s="35"/>
      <x:c r="AA422" s="35"/>
    </x:row>
    <x:row r="423">
      <x:c r="A423" s="136" t="str">
        <x:v>Antietam | Skirmish | Nicodemus Hill</x:v>
      </x:c>
      <x:c r="B423" s="136" t="str">
        <x:v>Gun | 12-pounder Napoleon (CSA) · Entity-1291 [map-19/027]</x:v>
      </x:c>
      <x:c r="C423" s="136" t="str">
        <x:v>gun_spawn</x:v>
      </x:c>
      <x:c r="D423" s="136" t="str"/>
      <x:c r="E423" s="136" t="str">
        <x:v>12-pounder Napoleon (CSA) · Entity-1291</x:v>
      </x:c>
      <x:c r="F423" s="137" t="n">
        <x:v>956.4240112304688</x:v>
      </x:c>
      <x:c r="G423" s="137" t="n">
        <x:v>3458.159912109375</x:v>
      </x:c>
      <x:c r="H423" s="137" t="n">
        <x:v>74.31952667236328</x:v>
      </x:c>
      <x:c r="I423" s="137" t="n">
        <x:v>355.88435160885547</x:v>
      </x:c>
      <x:c r="J423" s="137" t="n">
        <x:v>840.527752467797</x:v>
      </x:c>
      <x:c r="K423" s="136" t="str">
        <x:v>map-19</x:v>
      </x:c>
      <x:c r="L423" s="136" t="str">
        <x:v>Antietam | Skirmish | Nicodemus Hill||Gun | 12-pounder Napoleon (CSA) · Entity-1291 [map-19/027]</x:v>
      </x:c>
      <x:c r="M423" s="35"/>
      <x:c r="N423" s="35"/>
      <x:c r="O423" s="35"/>
      <x:c r="P423" s="35"/>
      <x:c r="Q423" s="35"/>
      <x:c r="R423" s="35"/>
      <x:c r="S423" s="35"/>
      <x:c r="T423" s="35"/>
      <x:c r="U423" s="35"/>
      <x:c r="V423" s="35"/>
      <x:c r="W423" s="35"/>
      <x:c r="X423" s="35"/>
      <x:c r="Y423" s="35"/>
      <x:c r="Z423" s="35"/>
      <x:c r="AA423" s="35"/>
    </x:row>
    <x:row r="424">
      <x:c r="A424" s="136" t="str">
        <x:v>Antietam | Skirmish | Nicodemus Hill</x:v>
      </x:c>
      <x:c r="B424" s="136" t="str">
        <x:v>Gun | 10-pounder Parrott · Entity-1277 [map-19/028]</x:v>
      </x:c>
      <x:c r="C424" s="136" t="str">
        <x:v>gun_spawn</x:v>
      </x:c>
      <x:c r="D424" s="136" t="str"/>
      <x:c r="E424" s="136" t="str">
        <x:v>10-pounder Parrott · Entity-1277</x:v>
      </x:c>
      <x:c r="F424" s="137" t="n">
        <x:v>870.6270141601562</x:v>
      </x:c>
      <x:c r="G424" s="137" t="n">
        <x:v>3368.8701171875</x:v>
      </x:c>
      <x:c r="H424" s="137" t="n">
        <x:v>66.61579895019531</x:v>
      </x:c>
      <x:c r="I424" s="137" t="n">
        <x:v>421.04132887095443</x:v>
      </x:c>
      <x:c r="J424" s="137" t="n">
        <x:v>1204.5559842290681</x:v>
      </x:c>
      <x:c r="K424" s="136" t="str">
        <x:v>map-19</x:v>
      </x:c>
      <x:c r="L424" s="136" t="str">
        <x:v>Antietam | Skirmish | Nicodemus Hill||Gun | 10-pounder Parrott · Entity-1277 [map-19/028]</x:v>
      </x:c>
      <x:c r="M424" s="35"/>
      <x:c r="N424" s="35"/>
      <x:c r="O424" s="35"/>
      <x:c r="P424" s="35"/>
      <x:c r="Q424" s="35"/>
      <x:c r="R424" s="35"/>
      <x:c r="S424" s="35"/>
      <x:c r="T424" s="35"/>
      <x:c r="U424" s="35"/>
      <x:c r="V424" s="35"/>
      <x:c r="W424" s="35"/>
      <x:c r="X424" s="35"/>
      <x:c r="Y424" s="35"/>
      <x:c r="Z424" s="35"/>
      <x:c r="AA424" s="35"/>
    </x:row>
    <x:row r="425">
      <x:c r="A425" s="136" t="str">
        <x:v>Antietam | Skirmish | Nicodemus Hill</x:v>
      </x:c>
      <x:c r="B425" s="136" t="str">
        <x:v>Gun | 3-inch Ordnance · Entity-1270 [map-19/029]</x:v>
      </x:c>
      <x:c r="C425" s="136" t="str">
        <x:v>gun_spawn</x:v>
      </x:c>
      <x:c r="D425" s="136" t="str"/>
      <x:c r="E425" s="136" t="str">
        <x:v>3-inch Ordnance · Entity-1270</x:v>
      </x:c>
      <x:c r="F425" s="137" t="n">
        <x:v>1099.3900146484375</x:v>
      </x:c>
      <x:c r="G425" s="137" t="n">
        <x:v>3143.510009765625</x:v>
      </x:c>
      <x:c r="H425" s="137" t="n">
        <x:v>63.519813537597656</x:v>
      </x:c>
      <x:c r="I425" s="137" t="n">
        <x:v>1366.084904712732</x:v>
      </x:c>
      <x:c r="J425" s="137" t="n">
        <x:v>1048.32351525622</x:v>
      </x:c>
      <x:c r="K425" s="136" t="str">
        <x:v>map-19</x:v>
      </x:c>
      <x:c r="L425" s="136" t="str">
        <x:v>Antietam | Skirmish | Nicodemus Hill||Gun | 3-inch Ordnance · Entity-1270 [map-19/029]</x:v>
      </x:c>
      <x:c r="M425" s="35"/>
      <x:c r="N425" s="35"/>
      <x:c r="O425" s="35"/>
      <x:c r="P425" s="35"/>
      <x:c r="Q425" s="35"/>
      <x:c r="R425" s="35"/>
      <x:c r="S425" s="35"/>
      <x:c r="T425" s="35"/>
      <x:c r="U425" s="35"/>
      <x:c r="V425" s="35"/>
      <x:c r="W425" s="35"/>
      <x:c r="X425" s="35"/>
      <x:c r="Y425" s="35"/>
      <x:c r="Z425" s="35"/>
      <x:c r="AA425" s="35"/>
    </x:row>
    <x:row r="426">
      <x:c r="A426" s="136" t="str">
        <x:v>Antietam | Skirmish | Nicodemus Hill</x:v>
      </x:c>
      <x:c r="B426" s="136" t="str">
        <x:v>Gun | 3-inch Ordnance · Entity-1288 [map-19/030]</x:v>
      </x:c>
      <x:c r="C426" s="136" t="str">
        <x:v>gun_spawn</x:v>
      </x:c>
      <x:c r="D426" s="136" t="str"/>
      <x:c r="E426" s="136" t="str">
        <x:v>3-inch Ordnance · Entity-1288</x:v>
      </x:c>
      <x:c r="F426" s="137" t="n">
        <x:v>946.7349853515625</x:v>
      </x:c>
      <x:c r="G426" s="137" t="n">
        <x:v>3447.199951171875</x:v>
      </x:c>
      <x:c r="H426" s="137" t="n">
        <x:v>73.71643829345703</x:v>
      </x:c>
      <x:c r="I426" s="137" t="n">
        <x:v>365.3584384350579</x:v>
      </x:c>
      <x:c r="J426" s="137" t="n">
        <x:v>883.1775831992368</x:v>
      </x:c>
      <x:c r="K426" s="136" t="str">
        <x:v>map-19</x:v>
      </x:c>
      <x:c r="L426" s="136" t="str">
        <x:v>Antietam | Skirmish | Nicodemus Hill||Gun | 3-inch Ordnance · Entity-1288 [map-19/030]</x:v>
      </x:c>
      <x:c r="M426" s="35"/>
      <x:c r="N426" s="35"/>
      <x:c r="O426" s="35"/>
      <x:c r="P426" s="35"/>
      <x:c r="Q426" s="35"/>
      <x:c r="R426" s="35"/>
      <x:c r="S426" s="35"/>
      <x:c r="T426" s="35"/>
      <x:c r="U426" s="35"/>
      <x:c r="V426" s="35"/>
      <x:c r="W426" s="35"/>
      <x:c r="X426" s="35"/>
      <x:c r="Y426" s="35"/>
      <x:c r="Z426" s="35"/>
      <x:c r="AA426" s="35"/>
    </x:row>
    <x:row r="427">
      <x:c r="A427" s="136" t="str">
        <x:v>Antietam | Skirmish | Nicodemus Hill</x:v>
      </x:c>
      <x:c r="B427" s="136" t="str">
        <x:v>Gun | 3-inch Ordnance · Entity-1268 [map-19/031]</x:v>
      </x:c>
      <x:c r="C427" s="136" t="str">
        <x:v>gun_spawn</x:v>
      </x:c>
      <x:c r="D427" s="136" t="str"/>
      <x:c r="E427" s="136" t="str">
        <x:v>3-inch Ordnance · Entity-1268</x:v>
      </x:c>
      <x:c r="F427" s="137" t="n">
        <x:v>1104.3199462890625</x:v>
      </x:c>
      <x:c r="G427" s="137" t="n">
        <x:v>3148.4599609375</x:v>
      </x:c>
      <x:c r="H427" s="137" t="n">
        <x:v>63.71163558959961</x:v>
      </x:c>
      <x:c r="I427" s="137" t="n">
        <x:v>1362.7771294158522</x:v>
      </x:c>
      <x:c r="J427" s="137" t="n">
        <x:v>1027.7238013654228</x:v>
      </x:c>
      <x:c r="K427" s="136" t="str">
        <x:v>map-19</x:v>
      </x:c>
      <x:c r="L427" s="136" t="str">
        <x:v>Antietam | Skirmish | Nicodemus Hill||Gun | 3-inch Ordnance · Entity-1268 [map-19/031]</x:v>
      </x:c>
      <x:c r="M427" s="35"/>
      <x:c r="N427" s="35"/>
      <x:c r="O427" s="35"/>
      <x:c r="P427" s="35"/>
      <x:c r="Q427" s="35"/>
      <x:c r="R427" s="35"/>
      <x:c r="S427" s="35"/>
      <x:c r="T427" s="35"/>
      <x:c r="U427" s="35"/>
      <x:c r="V427" s="35"/>
      <x:c r="W427" s="35"/>
      <x:c r="X427" s="35"/>
      <x:c r="Y427" s="35"/>
      <x:c r="Z427" s="35"/>
      <x:c r="AA427" s="35"/>
    </x:row>
    <x:row r="428">
      <x:c r="A428" s="136" t="str">
        <x:v>Antietam | Skirmish | Nicodemus Hill</x:v>
      </x:c>
      <x:c r="B428" s="136" t="str">
        <x:v>Gun | 12-pounder Napoleon (USA) · Entity-1287 [map-19/032]</x:v>
      </x:c>
      <x:c r="C428" s="136" t="str">
        <x:v>gun_spawn</x:v>
      </x:c>
      <x:c r="D428" s="136" t="str"/>
      <x:c r="E428" s="136" t="str">
        <x:v>12-pounder Napoleon (USA) · Entity-1287</x:v>
      </x:c>
      <x:c r="F428" s="137" t="n">
        <x:v>935.4320068359375</x:v>
      </x:c>
      <x:c r="G428" s="137" t="n">
        <x:v>3432.4599609375</x:v>
      </x:c>
      <x:c r="H428" s="137" t="n">
        <x:v>71.83580780029297</x:v>
      </x:c>
      <x:c r="I428" s="137" t="n">
        <x:v>381.1286879935661</x:v>
      </x:c>
      <x:c r="J428" s="137" t="n">
        <x:v>936.3661972432094</x:v>
      </x:c>
      <x:c r="K428" s="136" t="str">
        <x:v>map-19</x:v>
      </x:c>
      <x:c r="L428" s="136" t="str">
        <x:v>Antietam | Skirmish | Nicodemus Hill||Gun | 12-pounder Napoleon (USA) · Entity-1287 [map-19/032]</x:v>
      </x:c>
      <x:c r="M428" s="35"/>
      <x:c r="N428" s="35"/>
      <x:c r="O428" s="35"/>
      <x:c r="P428" s="35"/>
      <x:c r="Q428" s="35"/>
      <x:c r="R428" s="35"/>
      <x:c r="S428" s="35"/>
      <x:c r="T428" s="35"/>
      <x:c r="U428" s="35"/>
      <x:c r="V428" s="35"/>
      <x:c r="W428" s="35"/>
      <x:c r="X428" s="35"/>
      <x:c r="Y428" s="35"/>
      <x:c r="Z428" s="35"/>
      <x:c r="AA428" s="35"/>
    </x:row>
    <x:row r="429">
      <x:c r="A429" s="136" t="str">
        <x:v>Antietam | Skirmish | Nicodemus Hill</x:v>
      </x:c>
      <x:c r="B429" s="136" t="str">
        <x:v>Gun | 10-pounder Parrott · Entity-1242 [map-19/033]</x:v>
      </x:c>
      <x:c r="C429" s="136" t="str">
        <x:v>gun_spawn</x:v>
      </x:c>
      <x:c r="D429" s="136" t="str"/>
      <x:c r="E429" s="136" t="str">
        <x:v>10-pounder Parrott · Entity-1242</x:v>
      </x:c>
      <x:c r="F429" s="137" t="n">
        <x:v>1243.22998046875</x:v>
      </x:c>
      <x:c r="G429" s="137" t="n">
        <x:v>3206.949951171875</x:v>
      </x:c>
      <x:c r="H429" s="137" t="n">
        <x:v>57.56740188598633</x:v>
      </x:c>
      <x:c r="I429" s="137" t="n">
        <x:v>1465.076865322391</x:v>
      </x:c>
      <x:c r="J429" s="137" t="n">
        <x:v>589.6000960150824</x:v>
      </x:c>
      <x:c r="K429" s="136" t="str">
        <x:v>map-19</x:v>
      </x:c>
      <x:c r="L429" s="136" t="str">
        <x:v>Antietam | Skirmish | Nicodemus Hill||Gun | 10-pounder Parrott · Entity-1242 [map-19/033]</x:v>
      </x:c>
      <x:c r="M429" s="35"/>
      <x:c r="N429" s="35"/>
      <x:c r="O429" s="35"/>
      <x:c r="P429" s="35"/>
      <x:c r="Q429" s="35"/>
      <x:c r="R429" s="35"/>
      <x:c r="S429" s="35"/>
      <x:c r="T429" s="35"/>
      <x:c r="U429" s="35"/>
      <x:c r="V429" s="35"/>
      <x:c r="W429" s="35"/>
      <x:c r="X429" s="35"/>
      <x:c r="Y429" s="35"/>
      <x:c r="Z429" s="35"/>
      <x:c r="AA429" s="35"/>
    </x:row>
    <x:row r="430">
      <x:c r="A430" s="136" t="str">
        <x:v>Antietam | Skirmish | Nicodemus Hill</x:v>
      </x:c>
      <x:c r="B430" s="136" t="str">
        <x:v>Gun | 12-pounder Napoleon (CSA) · Entity-1278 [map-19/034]</x:v>
      </x:c>
      <x:c r="C430" s="136" t="str">
        <x:v>gun_spawn</x:v>
      </x:c>
      <x:c r="D430" s="136" t="str"/>
      <x:c r="E430" s="136" t="str">
        <x:v>12-pounder Napoleon (CSA) · Entity-1278</x:v>
      </x:c>
      <x:c r="F430" s="137" t="n">
        <x:v>865.5789794921875</x:v>
      </x:c>
      <x:c r="G430" s="137" t="n">
        <x:v>3354.949951171875</x:v>
      </x:c>
      <x:c r="H430" s="137" t="n">
        <x:v>67.95685577392578</x:v>
      </x:c>
      <x:c r="I430" s="137" t="n">
        <x:v>445.7969287178512</x:v>
      </x:c>
      <x:c r="J430" s="137" t="n">
        <x:v>1241.2039793991266</x:v>
      </x:c>
      <x:c r="K430" s="136" t="str">
        <x:v>map-19</x:v>
      </x:c>
      <x:c r="L430" s="136" t="str">
        <x:v>Antietam | Skirmish | Nicodemus Hill||Gun | 12-pounder Napoleon (CSA) · Entity-1278 [map-19/034]</x:v>
      </x:c>
      <x:c r="M430" s="35"/>
      <x:c r="N430" s="35"/>
      <x:c r="O430" s="35"/>
      <x:c r="P430" s="35"/>
      <x:c r="Q430" s="35"/>
      <x:c r="R430" s="35"/>
      <x:c r="S430" s="35"/>
      <x:c r="T430" s="35"/>
      <x:c r="U430" s="35"/>
      <x:c r="V430" s="35"/>
      <x:c r="W430" s="35"/>
      <x:c r="X430" s="35"/>
      <x:c r="Y430" s="35"/>
      <x:c r="Z430" s="35"/>
      <x:c r="AA430" s="35"/>
    </x:row>
    <x:row r="431">
      <x:c r="A431" s="136" t="str">
        <x:v>Antietam | Skirmish | Nicodemus Hill</x:v>
      </x:c>
      <x:c r="B431" s="136" t="str">
        <x:v>Gun | 12-pounder Napoleon (CSA) · Entity-1286 [map-19/035]</x:v>
      </x:c>
      <x:c r="C431" s="136" t="str">
        <x:v>gun_spawn</x:v>
      </x:c>
      <x:c r="D431" s="136" t="str"/>
      <x:c r="E431" s="136" t="str">
        <x:v>12-pounder Napoleon (CSA) · Entity-1286</x:v>
      </x:c>
      <x:c r="F431" s="137" t="n">
        <x:v>931.5399780273438</x:v>
      </x:c>
      <x:c r="G431" s="137" t="n">
        <x:v>3425.9599609375</x:v>
      </x:c>
      <x:c r="H431" s="137" t="n">
        <x:v>70.9176254272461</x:v>
      </x:c>
      <x:c r="I431" s="137" t="n">
        <x:v>389.9977814820974</x:v>
      </x:c>
      <x:c r="J431" s="137" t="n">
        <x:v>957.1841950066469</x:v>
      </x:c>
      <x:c r="K431" s="136" t="str">
        <x:v>map-19</x:v>
      </x:c>
      <x:c r="L431" s="136" t="str">
        <x:v>Antietam | Skirmish | Nicodemus Hill||Gun | 12-pounder Napoleon (CSA) · Entity-1286 [map-19/035]</x:v>
      </x:c>
      <x:c r="M431" s="35"/>
      <x:c r="N431" s="35"/>
      <x:c r="O431" s="35"/>
      <x:c r="P431" s="35"/>
      <x:c r="Q431" s="35"/>
      <x:c r="R431" s="35"/>
      <x:c r="S431" s="35"/>
      <x:c r="T431" s="35"/>
      <x:c r="U431" s="35"/>
      <x:c r="V431" s="35"/>
      <x:c r="W431" s="35"/>
      <x:c r="X431" s="35"/>
      <x:c r="Y431" s="35"/>
      <x:c r="Z431" s="35"/>
      <x:c r="AA431" s="35"/>
    </x:row>
    <x:row r="432">
      <x:c r="A432" s="136" t="str">
        <x:v>Antietam | Skirmish | Nicodemus Hill</x:v>
      </x:c>
      <x:c r="B432" s="136" t="str">
        <x:v>Gun | 3-inch Ordnance · Entity-1285 [map-19/036]</x:v>
      </x:c>
      <x:c r="C432" s="136" t="str">
        <x:v>gun_spawn</x:v>
      </x:c>
      <x:c r="D432" s="136" t="str"/>
      <x:c r="E432" s="136" t="str">
        <x:v>3-inch Ordnance · Entity-1285</x:v>
      </x:c>
      <x:c r="F432" s="137" t="n">
        <x:v>942.0700073242188</x:v>
      </x:c>
      <x:c r="G432" s="137" t="n">
        <x:v>3440.360107421875</x:v>
      </x:c>
      <x:c r="H432" s="137" t="n">
        <x:v>73.01262664794922</x:v>
      </x:c>
      <x:c r="I432" s="137" t="n">
        <x:v>373.6930178560035</x:v>
      </x:c>
      <x:c r="J432" s="137" t="n">
        <x:v>906.4587454949882</x:v>
      </x:c>
      <x:c r="K432" s="136" t="str">
        <x:v>map-19</x:v>
      </x:c>
      <x:c r="L432" s="136" t="str">
        <x:v>Antietam | Skirmish | Nicodemus Hill||Gun | 3-inch Ordnance · Entity-1285 [map-19/036]</x:v>
      </x:c>
      <x:c r="M432" s="35"/>
      <x:c r="N432" s="35"/>
      <x:c r="O432" s="35"/>
      <x:c r="P432" s="35"/>
      <x:c r="Q432" s="35"/>
      <x:c r="R432" s="35"/>
      <x:c r="S432" s="35"/>
      <x:c r="T432" s="35"/>
      <x:c r="U432" s="35"/>
      <x:c r="V432" s="35"/>
      <x:c r="W432" s="35"/>
      <x:c r="X432" s="35"/>
      <x:c r="Y432" s="35"/>
      <x:c r="Z432" s="35"/>
      <x:c r="AA432" s="35"/>
    </x:row>
    <x:row r="433">
      <x:c r="A433" s="136" t="str">
        <x:v>Antietam | Skirmish | Nicodemus Hill</x:v>
      </x:c>
      <x:c r="B433" s="136" t="str">
        <x:v>Gun | 12-pounder Napoleon (USA) · Entity-1237 [map-19/037]</x:v>
      </x:c>
      <x:c r="C433" s="136" t="str">
        <x:v>gun_spawn</x:v>
      </x:c>
      <x:c r="D433" s="136" t="str"/>
      <x:c r="E433" s="136" t="str">
        <x:v>12-pounder Napoleon (USA) · Entity-1237</x:v>
      </x:c>
      <x:c r="F433" s="137" t="n">
        <x:v>1259.739990234375</x:v>
      </x:c>
      <x:c r="G433" s="137" t="n">
        <x:v>3233.81005859375</x:v>
      </x:c>
      <x:c r="H433" s="137" t="n">
        <x:v>56.7125244140625</x:v>
      </x:c>
      <x:c r="I433" s="137" t="n">
        <x:v>1429.1751945042033</x:v>
      </x:c>
      <x:c r="J433" s="137" t="n">
        <x:v>502.5428438241374</x:v>
      </x:c>
      <x:c r="K433" s="136" t="str">
        <x:v>map-19</x:v>
      </x:c>
      <x:c r="L433" s="136" t="str">
        <x:v>Antietam | Skirmish | Nicodemus Hill||Gun | 12-pounder Napoleon (USA) · Entity-1237 [map-19/037]</x:v>
      </x:c>
      <x:c r="M433" s="35"/>
      <x:c r="N433" s="35"/>
      <x:c r="O433" s="35"/>
      <x:c r="P433" s="35"/>
      <x:c r="Q433" s="35"/>
      <x:c r="R433" s="35"/>
      <x:c r="S433" s="35"/>
      <x:c r="T433" s="35"/>
      <x:c r="U433" s="35"/>
      <x:c r="V433" s="35"/>
      <x:c r="W433" s="35"/>
      <x:c r="X433" s="35"/>
      <x:c r="Y433" s="35"/>
      <x:c r="Z433" s="35"/>
      <x:c r="AA433" s="35"/>
    </x:row>
    <x:row r="434">
      <x:c r="A434" s="136" t="str">
        <x:v>Antietam | Skirmish | Nicodemus Hill</x:v>
      </x:c>
      <x:c r="B434" s="136" t="str">
        <x:v>Gun | 12-pounder Napoleon (USA) · Entity-1265 [map-19/038]</x:v>
      </x:c>
      <x:c r="C434" s="136" t="str">
        <x:v>gun_spawn</x:v>
      </x:c>
      <x:c r="D434" s="136" t="str"/>
      <x:c r="E434" s="136" t="str">
        <x:v>12-pounder Napoleon (USA) · Entity-1265</x:v>
      </x:c>
      <x:c r="F434" s="137" t="n">
        <x:v>1124.739990234375</x:v>
      </x:c>
      <x:c r="G434" s="137" t="n">
        <x:v>3167.5400390625</x:v>
      </x:c>
      <x:c r="H434" s="137" t="n">
        <x:v>62.70938491821289</x:v>
      </x:c>
      <x:c r="I434" s="137" t="n">
        <x:v>1352.5111154011572</x:v>
      </x:c>
      <x:c r="J434" s="137" t="n">
        <x:v>944.8990813302325</x:v>
      </x:c>
      <x:c r="K434" s="136" t="str">
        <x:v>map-19</x:v>
      </x:c>
      <x:c r="L434" s="136" t="str">
        <x:v>Antietam | Skirmish | Nicodemus Hill||Gun | 12-pounder Napoleon (USA) · Entity-1265 [map-19/038]</x:v>
      </x:c>
      <x:c r="M434" s="35"/>
      <x:c r="N434" s="35"/>
      <x:c r="O434" s="35"/>
      <x:c r="P434" s="35"/>
      <x:c r="Q434" s="35"/>
      <x:c r="R434" s="35"/>
      <x:c r="S434" s="35"/>
      <x:c r="T434" s="35"/>
      <x:c r="U434" s="35"/>
      <x:c r="V434" s="35"/>
      <x:c r="W434" s="35"/>
      <x:c r="X434" s="35"/>
      <x:c r="Y434" s="35"/>
      <x:c r="Z434" s="35"/>
      <x:c r="AA434" s="35"/>
    </x:row>
    <x:row r="435">
      <x:c r="A435" s="136" t="str">
        <x:v>Antietam | Skirmish | Nicodemus Hill</x:v>
      </x:c>
      <x:c r="B435" s="136" t="str">
        <x:v>Gun | 12-pounder Napoleon (USA) · Entity-1238 [map-19/039]</x:v>
      </x:c>
      <x:c r="C435" s="136" t="str">
        <x:v>gun_spawn</x:v>
      </x:c>
      <x:c r="D435" s="136" t="str"/>
      <x:c r="E435" s="136" t="str">
        <x:v>12-pounder Napoleon (USA) · Entity-1238</x:v>
      </x:c>
      <x:c r="F435" s="137" t="n">
        <x:v>1256.3599853515625</x:v>
      </x:c>
      <x:c r="G435" s="137" t="n">
        <x:v>3228.449951171875</x:v>
      </x:c>
      <x:c r="H435" s="137" t="n">
        <x:v>56.785499572753906</x:v>
      </x:c>
      <x:c r="I435" s="137" t="n">
        <x:v>1436.190033496548</x:v>
      </x:c>
      <x:c r="J435" s="137" t="n">
        <x:v>520.1216635428885</x:v>
      </x:c>
      <x:c r="K435" s="136" t="str">
        <x:v>map-19</x:v>
      </x:c>
      <x:c r="L435" s="136" t="str">
        <x:v>Antietam | Skirmish | Nicodemus Hill||Gun | 12-pounder Napoleon (USA) · Entity-1238 [map-19/039]</x:v>
      </x:c>
      <x:c r="M435" s="35"/>
      <x:c r="N435" s="35"/>
      <x:c r="O435" s="35"/>
      <x:c r="P435" s="35"/>
      <x:c r="Q435" s="35"/>
      <x:c r="R435" s="35"/>
      <x:c r="S435" s="35"/>
      <x:c r="T435" s="35"/>
      <x:c r="U435" s="35"/>
      <x:c r="V435" s="35"/>
      <x:c r="W435" s="35"/>
      <x:c r="X435" s="35"/>
      <x:c r="Y435" s="35"/>
      <x:c r="Z435" s="35"/>
      <x:c r="AA435" s="35"/>
    </x:row>
    <x:row r="436">
      <x:c r="A436" s="136" t="str">
        <x:v>Antietam | Skirmish | Nicodemus Hill</x:v>
      </x:c>
      <x:c r="B436" s="136" t="str">
        <x:v>Gun | 12-pounder Napoleon (USA) · Entity-1239 [map-19/040]</x:v>
      </x:c>
      <x:c r="C436" s="136" t="str">
        <x:v>gun_spawn</x:v>
      </x:c>
      <x:c r="D436" s="136" t="str"/>
      <x:c r="E436" s="136" t="str">
        <x:v>12-pounder Napoleon (USA) · Entity-1239</x:v>
      </x:c>
      <x:c r="F436" s="137" t="n">
        <x:v>1253.010009765625</x:v>
      </x:c>
      <x:c r="G436" s="137" t="n">
        <x:v>3223.469970703125</x:v>
      </x:c>
      <x:c r="H436" s="137" t="n">
        <x:v>56.9273796081543</x:v>
      </x:c>
      <x:c r="I436" s="137" t="n">
        <x:v>1442.3398533852614</x:v>
      </x:c>
      <x:c r="J436" s="137" t="n">
        <x:v>536.9600008877875</x:v>
      </x:c>
      <x:c r="K436" s="136" t="str">
        <x:v>map-19</x:v>
      </x:c>
      <x:c r="L436" s="136" t="str">
        <x:v>Antietam | Skirmish | Nicodemus Hill||Gun | 12-pounder Napoleon (USA) · Entity-1239 [map-19/040]</x:v>
      </x:c>
      <x:c r="M436" s="35"/>
      <x:c r="N436" s="35"/>
      <x:c r="O436" s="35"/>
      <x:c r="P436" s="35"/>
      <x:c r="Q436" s="35"/>
      <x:c r="R436" s="35"/>
      <x:c r="S436" s="35"/>
      <x:c r="T436" s="35"/>
      <x:c r="U436" s="35"/>
      <x:c r="V436" s="35"/>
      <x:c r="W436" s="35"/>
      <x:c r="X436" s="35"/>
      <x:c r="Y436" s="35"/>
      <x:c r="Z436" s="35"/>
      <x:c r="AA436" s="35"/>
    </x:row>
    <x:row r="437">
      <x:c r="A437" s="136" t="str">
        <x:v>Antietam | Skirmish | Nicodemus Hill</x:v>
      </x:c>
      <x:c r="B437" s="136" t="str">
        <x:v>Gun | 10-pounder Parrott · Entity-1240 [map-19/041]</x:v>
      </x:c>
      <x:c r="C437" s="136" t="str">
        <x:v>gun_spawn</x:v>
      </x:c>
      <x:c r="D437" s="136" t="str"/>
      <x:c r="E437" s="136" t="str">
        <x:v>10-pounder Parrott · Entity-1240</x:v>
      </x:c>
      <x:c r="F437" s="137" t="n">
        <x:v>1246.3699951171875</x:v>
      </x:c>
      <x:c r="G437" s="137" t="n">
        <x:v>3211.989990234375</x:v>
      </x:c>
      <x:c r="H437" s="137" t="n">
        <x:v>57.32570266723633</x:v>
      </x:c>
      <x:c r="I437" s="137" t="n">
        <x:v>1458.4140122610825</x:v>
      </x:c>
      <x:c r="J437" s="137" t="n">
        <x:v>573.1630822703022</x:v>
      </x:c>
      <x:c r="K437" s="136" t="str">
        <x:v>map-19</x:v>
      </x:c>
      <x:c r="L437" s="136" t="str">
        <x:v>Antietam | Skirmish | Nicodemus Hill||Gun | 10-pounder Parrott · Entity-1240 [map-19/041]</x:v>
      </x:c>
      <x:c r="M437" s="35"/>
      <x:c r="N437" s="35"/>
      <x:c r="O437" s="35"/>
      <x:c r="P437" s="35"/>
      <x:c r="Q437" s="35"/>
      <x:c r="R437" s="35"/>
      <x:c r="S437" s="35"/>
      <x:c r="T437" s="35"/>
      <x:c r="U437" s="35"/>
      <x:c r="V437" s="35"/>
      <x:c r="W437" s="35"/>
      <x:c r="X437" s="35"/>
      <x:c r="Y437" s="35"/>
      <x:c r="Z437" s="35"/>
      <x:c r="AA437" s="35"/>
    </x:row>
    <x:row r="438">
      <x:c r="A438" s="136" t="str">
        <x:v>Antietam | Skirmish | Nicodemus Hill</x:v>
      </x:c>
      <x:c r="B438" s="136" t="str">
        <x:v>Gun | 3-inch Ordnance · Entity-1294 [map-19/042]</x:v>
      </x:c>
      <x:c r="C438" s="136" t="str">
        <x:v>gun_spawn</x:v>
      </x:c>
      <x:c r="D438" s="136" t="str"/>
      <x:c r="E438" s="136" t="str">
        <x:v>3-inch Ordnance · Entity-1294</x:v>
      </x:c>
      <x:c r="F438" s="137" t="n">
        <x:v>971.5590209960938</x:v>
      </x:c>
      <x:c r="G438" s="137" t="n">
        <x:v>3475.820068359375</x:v>
      </x:c>
      <x:c r="H438" s="137" t="n">
        <x:v>73.6698226928711</x:v>
      </x:c>
      <x:c r="I438" s="137" t="n">
        <x:v>339.781856498731</x:v>
      </x:c>
      <x:c r="J438" s="137" t="n">
        <x:v>772.9567470806007</x:v>
      </x:c>
      <x:c r="K438" s="136" t="str">
        <x:v>map-19</x:v>
      </x:c>
      <x:c r="L438" s="136" t="str">
        <x:v>Antietam | Skirmish | Nicodemus Hill||Gun | 3-inch Ordnance · Entity-1294 [map-19/042]</x:v>
      </x:c>
      <x:c r="M438" s="35"/>
      <x:c r="N438" s="35"/>
      <x:c r="O438" s="35"/>
      <x:c r="P438" s="35"/>
      <x:c r="Q438" s="35"/>
      <x:c r="R438" s="35"/>
      <x:c r="S438" s="35"/>
      <x:c r="T438" s="35"/>
      <x:c r="U438" s="35"/>
      <x:c r="V438" s="35"/>
      <x:c r="W438" s="35"/>
      <x:c r="X438" s="35"/>
      <x:c r="Y438" s="35"/>
      <x:c r="Z438" s="35"/>
      <x:c r="AA438" s="35"/>
    </x:row>
    <x:row r="439">
      <x:c r="A439" s="136" t="str">
        <x:v>Antietam | Skirmish | Nicodemus Hill</x:v>
      </x:c>
      <x:c r="B439" s="136" t="str">
        <x:v>Gun | 12-pounder Napoleon (USA) · Entity-1266 [map-19/043]</x:v>
      </x:c>
      <x:c r="C439" s="136" t="str">
        <x:v>gun_spawn</x:v>
      </x:c>
      <x:c r="D439" s="136" t="str"/>
      <x:c r="E439" s="136" t="str">
        <x:v>12-pounder Napoleon (USA) · Entity-1266</x:v>
      </x:c>
      <x:c r="F439" s="137" t="n">
        <x:v>1119.8399658203125</x:v>
      </x:c>
      <x:c r="G439" s="137" t="n">
        <x:v>3163.090087890625</x:v>
      </x:c>
      <x:c r="H439" s="137" t="n">
        <x:v>63.1808967590332</x:v>
      </x:c>
      <x:c r="I439" s="137" t="n">
        <x:v>1354.664274026879</x:v>
      </x:c>
      <x:c r="J439" s="137" t="n">
        <x:v>964.5479571405594</x:v>
      </x:c>
      <x:c r="K439" s="136" t="str">
        <x:v>map-19</x:v>
      </x:c>
      <x:c r="L439" s="136" t="str">
        <x:v>Antietam | Skirmish | Nicodemus Hill||Gun | 12-pounder Napoleon (USA) · Entity-1266 [map-19/043]</x:v>
      </x:c>
      <x:c r="M439" s="35"/>
      <x:c r="N439" s="35"/>
      <x:c r="O439" s="35"/>
      <x:c r="P439" s="35"/>
      <x:c r="Q439" s="35"/>
      <x:c r="R439" s="35"/>
      <x:c r="S439" s="35"/>
      <x:c r="T439" s="35"/>
      <x:c r="U439" s="35"/>
      <x:c r="V439" s="35"/>
      <x:c r="W439" s="35"/>
      <x:c r="X439" s="35"/>
      <x:c r="Y439" s="35"/>
      <x:c r="Z439" s="35"/>
      <x:c r="AA439" s="35"/>
    </x:row>
    <x:row r="440">
      <x:c r="A440" s="136" t="str">
        <x:v>Antietam | Skirmish | Nicodemus Hill</x:v>
      </x:c>
      <x:c r="B440" s="136" t="str">
        <x:v>Gun | 10-pounder Parrott · Entity-1282 [map-19/044]</x:v>
      </x:c>
      <x:c r="C440" s="136" t="str">
        <x:v>gun_spawn</x:v>
      </x:c>
      <x:c r="D440" s="136" t="str"/>
      <x:c r="E440" s="136" t="str">
        <x:v>10-pounder Parrott · Entity-1282</x:v>
      </x:c>
      <x:c r="F440" s="137" t="n">
        <x:v>928.5050048828125</x:v>
      </x:c>
      <x:c r="G440" s="137" t="n">
        <x:v>3419.8798828125</x:v>
      </x:c>
      <x:c r="H440" s="137" t="n">
        <x:v>70.01141357421875</x:v>
      </x:c>
      <x:c r="I440" s="137" t="n">
        <x:v>399.3555063867655</x:v>
      </x:c>
      <x:c r="J440" s="137" t="n">
        <x:v>975.1952686143301</x:v>
      </x:c>
      <x:c r="K440" s="136" t="str">
        <x:v>map-19</x:v>
      </x:c>
      <x:c r="L440" s="136" t="str">
        <x:v>Antietam | Skirmish | Nicodemus Hill||Gun | 10-pounder Parrott · Entity-1282 [map-19/044]</x:v>
      </x:c>
      <x:c r="M440" s="35"/>
      <x:c r="N440" s="35"/>
      <x:c r="O440" s="35"/>
      <x:c r="P440" s="35"/>
      <x:c r="Q440" s="35"/>
      <x:c r="R440" s="35"/>
      <x:c r="S440" s="35"/>
      <x:c r="T440" s="35"/>
      <x:c r="U440" s="35"/>
      <x:c r="V440" s="35"/>
      <x:c r="W440" s="35"/>
      <x:c r="X440" s="35"/>
      <x:c r="Y440" s="35"/>
      <x:c r="Z440" s="35"/>
      <x:c r="AA440" s="35"/>
    </x:row>
    <x:row r="441">
      <x:c r="A441" s="136" t="str">
        <x:v>Antietam | Skirmish | Nicodemus Hill</x:v>
      </x:c>
      <x:c r="B441" s="136" t="str">
        <x:v>Gun | 12-pounder Napoleon (CSA) · Entity-1293 [map-19/045]</x:v>
      </x:c>
      <x:c r="C441" s="136" t="str">
        <x:v>gun_spawn</x:v>
      </x:c>
      <x:c r="D441" s="136" t="str"/>
      <x:c r="E441" s="136" t="str">
        <x:v>12-pounder Napoleon (CSA) · Entity-1293</x:v>
      </x:c>
      <x:c r="F441" s="137" t="n">
        <x:v>967.1619873046875</x:v>
      </x:c>
      <x:c r="G441" s="137" t="n">
        <x:v>3470.330078125</x:v>
      </x:c>
      <x:c r="H441" s="137" t="n">
        <x:v>74.10447692871094</x:v>
      </x:c>
      <x:c r="I441" s="137" t="n">
        <x:v>345.32746383597777</x:v>
      </x:c>
      <x:c r="J441" s="137" t="n">
        <x:v>793.2189999704628</x:v>
      </x:c>
      <x:c r="K441" s="136" t="str">
        <x:v>map-19</x:v>
      </x:c>
      <x:c r="L441" s="136" t="str">
        <x:v>Antietam | Skirmish | Nicodemus Hill||Gun | 12-pounder Napoleon (CSA) · Entity-1293 [map-19/045]</x:v>
      </x:c>
      <x:c r="M441" s="35"/>
      <x:c r="N441" s="35"/>
      <x:c r="O441" s="35"/>
      <x:c r="P441" s="35"/>
      <x:c r="Q441" s="35"/>
      <x:c r="R441" s="35"/>
      <x:c r="S441" s="35"/>
      <x:c r="T441" s="35"/>
      <x:c r="U441" s="35"/>
      <x:c r="V441" s="35"/>
      <x:c r="W441" s="35"/>
      <x:c r="X441" s="35"/>
      <x:c r="Y441" s="35"/>
      <x:c r="Z441" s="35"/>
      <x:c r="AA441" s="35"/>
    </x:row>
    <x:row r="442">
      <x:c r="A442" s="136" t="str">
        <x:v>Antietam | Skirmish | Nicodemus Hill</x:v>
      </x:c>
      <x:c r="B442" s="136" t="str">
        <x:v>Gun | 3-inch Ordnance · Entity-1289 [map-19/046]</x:v>
      </x:c>
      <x:c r="C442" s="136" t="str">
        <x:v>gun_spawn</x:v>
      </x:c>
      <x:c r="D442" s="136" t="str"/>
      <x:c r="E442" s="136" t="str">
        <x:v>3-inch Ordnance · Entity-1289</x:v>
      </x:c>
      <x:c r="F442" s="137" t="n">
        <x:v>976.7360229492188</x:v>
      </x:c>
      <x:c r="G442" s="137" t="n">
        <x:v>3481.320068359375</x:v>
      </x:c>
      <x:c r="H442" s="137" t="n">
        <x:v>72.97515106201172</x:v>
      </x:c>
      <x:c r="I442" s="137" t="n">
        <x:v>335.57931401145623</x:v>
      </x:c>
      <x:c r="J442" s="137" t="n">
        <x:v>750.7939954526518</x:v>
      </x:c>
      <x:c r="K442" s="136" t="str">
        <x:v>map-19</x:v>
      </x:c>
      <x:c r="L442" s="136" t="str">
        <x:v>Antietam | Skirmish | Nicodemus Hill||Gun | 3-inch Ordnance · Entity-1289 [map-19/046]</x:v>
      </x:c>
      <x:c r="M442" s="35"/>
      <x:c r="N442" s="35"/>
      <x:c r="O442" s="35"/>
      <x:c r="P442" s="35"/>
      <x:c r="Q442" s="35"/>
      <x:c r="R442" s="35"/>
      <x:c r="S442" s="35"/>
      <x:c r="T442" s="35"/>
      <x:c r="U442" s="35"/>
      <x:c r="V442" s="35"/>
      <x:c r="W442" s="35"/>
      <x:c r="X442" s="35"/>
      <x:c r="Y442" s="35"/>
      <x:c r="Z442" s="35"/>
      <x:c r="AA442" s="35"/>
    </x:row>
    <x:row r="443">
      <x:c r="A443" s="136" t="str">
        <x:v>Antietam | Skirmish | Nicodemus Hill</x:v>
      </x:c>
      <x:c r="B443" s="136" t="str">
        <x:v>Gun | 3-inch Ordnance · Entity-1269 [map-19/047]</x:v>
      </x:c>
      <x:c r="C443" s="136" t="str">
        <x:v>gun_spawn</x:v>
      </x:c>
      <x:c r="D443" s="136" t="str"/>
      <x:c r="E443" s="136" t="str">
        <x:v>3-inch Ordnance · Entity-1269</x:v>
      </x:c>
      <x:c r="F443" s="137" t="n">
        <x:v>1109.7099609375</x:v>
      </x:c>
      <x:c r="G443" s="137" t="n">
        <x:v>3153.530029296875</x:v>
      </x:c>
      <x:c r="H443" s="137" t="n">
        <x:v>63.96380615234375</x:v>
      </x:c>
      <x:c r="I443" s="137" t="n">
        <x:v>1359.9858741672188</x:v>
      </x:c>
      <x:c r="J443" s="137" t="n">
        <x:v>1005.8023290965506</x:v>
      </x:c>
      <x:c r="K443" s="136" t="str">
        <x:v>map-19</x:v>
      </x:c>
      <x:c r="L443" s="136" t="str">
        <x:v>Antietam | Skirmish | Nicodemus Hill||Gun | 3-inch Ordnance · Entity-1269 [map-19/047]</x:v>
      </x:c>
      <x:c r="M443" s="35"/>
      <x:c r="N443" s="35"/>
      <x:c r="O443" s="35"/>
      <x:c r="P443" s="35"/>
      <x:c r="Q443" s="35"/>
      <x:c r="R443" s="35"/>
      <x:c r="S443" s="35"/>
      <x:c r="T443" s="35"/>
      <x:c r="U443" s="35"/>
      <x:c r="V443" s="35"/>
      <x:c r="W443" s="35"/>
      <x:c r="X443" s="35"/>
      <x:c r="Y443" s="35"/>
      <x:c r="Z443" s="35"/>
      <x:c r="AA443" s="35"/>
    </x:row>
    <x:row r="444">
      <x:c r="A444" s="136" t="str">
        <x:v>Antietam | Skirmish | Bloody Lane</x:v>
      </x:c>
      <x:c r="B444" s="136" t="str">
        <x:v>Spawn | CSA Spawnpoint_RBL_Base_CSA_6thAL [map-20/001]</x:v>
      </x:c>
      <x:c r="C444" s="136" t="str">
        <x:v>spawn</x:v>
      </x:c>
      <x:c r="D444" s="136" t="str">
        <x:v>CSA</x:v>
      </x:c>
      <x:c r="E444" s="136" t="str">
        <x:v>Spawnpoint_RBL_Base_CSA_6thAL</x:v>
      </x:c>
      <x:c r="F444" s="137" t="n">
        <x:v>446.6719970703125</x:v>
      </x:c>
      <x:c r="G444" s="137" t="n">
        <x:v>1817.5941162109375</x:v>
      </x:c>
      <x:c r="H444" s="137" t="n">
        <x:v>58.63671112060547</x:v>
      </x:c>
      <x:c r="I444" s="137" t="n">
        <x:v>335.2060938886679</x:v>
      </x:c>
      <x:c r="J444" s="137" t="n">
        <x:v>1426.629697927721</x:v>
      </x:c>
      <x:c r="K444" s="136" t="str">
        <x:v>map-20</x:v>
      </x:c>
      <x:c r="L444" s="136" t="str">
        <x:v>Antietam | Skirmish | Bloody Lane||Spawn | CSA Spawnpoint_RBL_Base_CSA_6thAL [map-20/001]</x:v>
      </x:c>
      <x:c r="M444" s="35"/>
      <x:c r="N444" s="35"/>
      <x:c r="O444" s="35"/>
      <x:c r="P444" s="35"/>
      <x:c r="Q444" s="35"/>
      <x:c r="R444" s="35"/>
      <x:c r="S444" s="35"/>
      <x:c r="T444" s="35"/>
      <x:c r="U444" s="35"/>
      <x:c r="V444" s="35"/>
      <x:c r="W444" s="35"/>
      <x:c r="X444" s="35"/>
      <x:c r="Y444" s="35"/>
      <x:c r="Z444" s="35"/>
      <x:c r="AA444" s="35"/>
    </x:row>
    <x:row r="445">
      <x:c r="A445" s="136" t="str">
        <x:v>Antietam | Skirmish | Bloody Lane</x:v>
      </x:c>
      <x:c r="B445" s="136" t="str">
        <x:v>Spawn | CSA Spawnpoint_RBL_Base_CSA_6thAL-2 [map-20/002]</x:v>
      </x:c>
      <x:c r="C445" s="136" t="str">
        <x:v>spawn</x:v>
      </x:c>
      <x:c r="D445" s="136" t="str">
        <x:v>CSA</x:v>
      </x:c>
      <x:c r="E445" s="136" t="str">
        <x:v>Spawnpoint_RBL_Base_CSA_6thAL-2</x:v>
      </x:c>
      <x:c r="F445" s="137" t="n">
        <x:v>429.2421569824219</x:v>
      </x:c>
      <x:c r="G445" s="137" t="n">
        <x:v>1823.1973876953125</x:v>
      </x:c>
      <x:c r="H445" s="137" t="n">
        <x:v>59.02900314331055</x:v>
      </x:c>
      <x:c r="I445" s="137" t="n">
        <x:v>295.5948333242382</x:v>
      </x:c>
      <x:c r="J445" s="137" t="n">
        <x:v>1455.273440127995</x:v>
      </x:c>
      <x:c r="K445" s="136" t="str">
        <x:v>map-20</x:v>
      </x:c>
      <x:c r="L445" s="136" t="str">
        <x:v>Antietam | Skirmish | Bloody Lane||Spawn | CSA Spawnpoint_RBL_Base_CSA_6thAL-2 [map-20/002]</x:v>
      </x:c>
      <x:c r="M445" s="35"/>
      <x:c r="N445" s="35"/>
      <x:c r="O445" s="35"/>
      <x:c r="P445" s="35"/>
      <x:c r="Q445" s="35"/>
      <x:c r="R445" s="35"/>
      <x:c r="S445" s="35"/>
      <x:c r="T445" s="35"/>
      <x:c r="U445" s="35"/>
      <x:c r="V445" s="35"/>
      <x:c r="W445" s="35"/>
      <x:c r="X445" s="35"/>
      <x:c r="Y445" s="35"/>
      <x:c r="Z445" s="35"/>
      <x:c r="AA445" s="35"/>
    </x:row>
    <x:row r="446">
      <x:c r="A446" s="136" t="str">
        <x:v>Antietam | Skirmish | Bloody Lane</x:v>
      </x:c>
      <x:c r="B446" s="136" t="str">
        <x:v>Spawn | CSA Spawnpoint_RBL_Defend_CSA_6thAL [map-20/003]</x:v>
      </x:c>
      <x:c r="C446" s="136" t="str">
        <x:v>spawn</x:v>
      </x:c>
      <x:c r="D446" s="136" t="str">
        <x:v>CSA</x:v>
      </x:c>
      <x:c r="E446" s="136" t="str">
        <x:v>Spawnpoint_RBL_Defend_CSA_6thAL</x:v>
      </x:c>
      <x:c r="F446" s="137" t="n">
        <x:v>672.2315063476562</x:v>
      </x:c>
      <x:c r="G446" s="137" t="n">
        <x:v>1755.94873046875</x:v>
      </x:c>
      <x:c r="H446" s="137" t="n">
        <x:v>59.299034118652344</x:v>
      </x:c>
      <x:c r="I446" s="137" t="n">
        <x:v>824.4581190277028</x:v>
      </x:c>
      <x:c r="J446" s="137" t="n">
        <x:v>1038.726612822618</x:v>
      </x:c>
      <x:c r="K446" s="136" t="str">
        <x:v>map-20</x:v>
      </x:c>
      <x:c r="L446" s="136" t="str">
        <x:v>Antietam | Skirmish | Bloody Lane||Spawn | CSA Spawnpoint_RBL_Defend_CSA_6thAL [map-20/003]</x:v>
      </x:c>
      <x:c r="M446" s="35"/>
      <x:c r="N446" s="35"/>
      <x:c r="O446" s="35"/>
      <x:c r="P446" s="35"/>
      <x:c r="Q446" s="35"/>
      <x:c r="R446" s="35"/>
      <x:c r="S446" s="35"/>
      <x:c r="T446" s="35"/>
      <x:c r="U446" s="35"/>
      <x:c r="V446" s="35"/>
      <x:c r="W446" s="35"/>
      <x:c r="X446" s="35"/>
      <x:c r="Y446" s="35"/>
      <x:c r="Z446" s="35"/>
      <x:c r="AA446" s="35"/>
    </x:row>
    <x:row r="447">
      <x:c r="A447" s="136" t="str">
        <x:v>Antietam | Skirmish | Bloody Lane</x:v>
      </x:c>
      <x:c r="B447" s="136" t="str">
        <x:v>Spawn | CSA Spawnpoint_RBL_Base_CSA_14thNC [map-20/004]</x:v>
      </x:c>
      <x:c r="C447" s="136" t="str">
        <x:v>spawn</x:v>
      </x:c>
      <x:c r="D447" s="136" t="str">
        <x:v>CSA</x:v>
      </x:c>
      <x:c r="E447" s="136" t="str">
        <x:v>Spawnpoint_RBL_Base_CSA_14thNC</x:v>
      </x:c>
      <x:c r="F447" s="137" t="n">
        <x:v>449.8309326171875</x:v>
      </x:c>
      <x:c r="G447" s="137" t="n">
        <x:v>1829.205322265625</x:v>
      </x:c>
      <x:c r="H447" s="137" t="n">
        <x:v>58.012027740478516</x:v>
      </x:c>
      <x:c r="I447" s="137" t="n">
        <x:v>315.2444816844148</x:v>
      </x:c>
      <x:c r="J447" s="137" t="n">
        <x:v>1401.4238088255152</x:v>
      </x:c>
      <x:c r="K447" s="136" t="str">
        <x:v>map-20</x:v>
      </x:c>
      <x:c r="L447" s="136" t="str">
        <x:v>Antietam | Skirmish | Bloody Lane||Spawn | CSA Spawnpoint_RBL_Base_CSA_14thNC [map-20/004]</x:v>
      </x:c>
      <x:c r="M447" s="35"/>
      <x:c r="N447" s="35"/>
      <x:c r="O447" s="35"/>
      <x:c r="P447" s="35"/>
      <x:c r="Q447" s="35"/>
      <x:c r="R447" s="35"/>
      <x:c r="S447" s="35"/>
      <x:c r="T447" s="35"/>
      <x:c r="U447" s="35"/>
      <x:c r="V447" s="35"/>
      <x:c r="W447" s="35"/>
      <x:c r="X447" s="35"/>
      <x:c r="Y447" s="35"/>
      <x:c r="Z447" s="35"/>
      <x:c r="AA447" s="35"/>
    </x:row>
    <x:row r="448">
      <x:c r="A448" s="136" t="str">
        <x:v>Antietam | Skirmish | Bloody Lane</x:v>
      </x:c>
      <x:c r="B448" s="136" t="str">
        <x:v>Spawn | USA Spawnpoint_RBL_Base_USA_8thOH [map-20/005]</x:v>
      </x:c>
      <x:c r="C448" s="136" t="str">
        <x:v>spawn</x:v>
      </x:c>
      <x:c r="D448" s="136" t="str">
        <x:v>USA</x:v>
      </x:c>
      <x:c r="E448" s="136" t="str">
        <x:v>Spawnpoint_RBL_Base_USA_8thOH</x:v>
      </x:c>
      <x:c r="F448" s="137" t="n">
        <x:v>925.3991088867188</x:v>
      </x:c>
      <x:c r="G448" s="137" t="n">
        <x:v>1553.14306640625</x:v>
      </x:c>
      <x:c r="H448" s="137" t="n">
        <x:v>61.482601165771484</x:v>
      </x:c>
      <x:c r="I448" s="137" t="n">
        <x:v>1660.793832727934</x:v>
      </x:c>
      <x:c r="J448" s="137" t="n">
        <x:v>815.1374718944683</x:v>
      </x:c>
      <x:c r="K448" s="136" t="str">
        <x:v>map-20</x:v>
      </x:c>
      <x:c r="L448" s="136" t="str">
        <x:v>Antietam | Skirmish | Bloody Lane||Spawn | USA Spawnpoint_RBL_Base_USA_8thOH [map-20/005]</x:v>
      </x:c>
      <x:c r="M448" s="35"/>
      <x:c r="N448" s="35"/>
      <x:c r="O448" s="35"/>
      <x:c r="P448" s="35"/>
      <x:c r="Q448" s="35"/>
      <x:c r="R448" s="35"/>
      <x:c r="S448" s="35"/>
      <x:c r="T448" s="35"/>
      <x:c r="U448" s="35"/>
      <x:c r="V448" s="35"/>
      <x:c r="W448" s="35"/>
      <x:c r="X448" s="35"/>
      <x:c r="Y448" s="35"/>
      <x:c r="Z448" s="35"/>
      <x:c r="AA448" s="35"/>
    </x:row>
    <x:row r="449">
      <x:c r="A449" s="136" t="str">
        <x:v>Antietam | Skirmish | Bloody Lane</x:v>
      </x:c>
      <x:c r="B449" s="136" t="str">
        <x:v>Spawn | CSA Spawnpoint_RBL_Base_CSA_14thNC-2 [map-20/006]</x:v>
      </x:c>
      <x:c r="C449" s="136" t="str">
        <x:v>spawn</x:v>
      </x:c>
      <x:c r="D449" s="136" t="str">
        <x:v>CSA</x:v>
      </x:c>
      <x:c r="E449" s="136" t="str">
        <x:v>Spawnpoint_RBL_Base_CSA_14thNC-2</x:v>
      </x:c>
      <x:c r="F449" s="137" t="n">
        <x:v>432.52313232421875</x:v>
      </x:c>
      <x:c r="G449" s="137" t="n">
        <x:v>1834.8011474609375</x:v>
      </x:c>
      <x:c r="H449" s="137" t="n">
        <x:v>58.37593078613281</x:v>
      </x:c>
      <x:c r="I449" s="137" t="n">
        <x:v>275.84224628056376</x:v>
      </x:c>
      <x:c r="J449" s="137" t="n">
        <x:v>1429.8166092884178</x:v>
      </x:c>
      <x:c r="K449" s="136" t="str">
        <x:v>map-20</x:v>
      </x:c>
      <x:c r="L449" s="136" t="str">
        <x:v>Antietam | Skirmish | Bloody Lane||Spawn | CSA Spawnpoint_RBL_Base_CSA_14thNC-2 [map-20/006]</x:v>
      </x:c>
      <x:c r="M449" s="35"/>
      <x:c r="N449" s="35"/>
      <x:c r="O449" s="35"/>
      <x:c r="P449" s="35"/>
      <x:c r="Q449" s="35"/>
      <x:c r="R449" s="35"/>
      <x:c r="S449" s="35"/>
      <x:c r="T449" s="35"/>
      <x:c r="U449" s="35"/>
      <x:c r="V449" s="35"/>
      <x:c r="W449" s="35"/>
      <x:c r="X449" s="35"/>
      <x:c r="Y449" s="35"/>
      <x:c r="Z449" s="35"/>
      <x:c r="AA449" s="35"/>
    </x:row>
    <x:row r="450">
      <x:c r="A450" s="136" t="str">
        <x:v>Antietam | Skirmish | Bloody Lane</x:v>
      </x:c>
      <x:c r="B450" s="136" t="str">
        <x:v>Spawn | CSA Spawnpoint_RBL_Defend_CSA_6thAL-2 [map-20/007]</x:v>
      </x:c>
      <x:c r="C450" s="136" t="str">
        <x:v>spawn</x:v>
      </x:c>
      <x:c r="D450" s="136" t="str">
        <x:v>CSA</x:v>
      </x:c>
      <x:c r="E450" s="136" t="str">
        <x:v>Spawnpoint_RBL_Defend_CSA_6thAL-2</x:v>
      </x:c>
      <x:c r="F450" s="137" t="n">
        <x:v>670.6707153320312</x:v>
      </x:c>
      <x:c r="G450" s="137" t="n">
        <x:v>1770.6402587890625</x:v>
      </x:c>
      <x:c r="H450" s="137" t="n">
        <x:v>59.299034118652344</x:v>
      </x:c>
      <x:c r="I450" s="137" t="n">
        <x:v>790.4106987445564</x:v>
      </x:c>
      <x:c r="J450" s="137" t="n">
        <x:v>1018.7994227797224</x:v>
      </x:c>
      <x:c r="K450" s="136" t="str">
        <x:v>map-20</x:v>
      </x:c>
      <x:c r="L450" s="136" t="str">
        <x:v>Antietam | Skirmish | Bloody Lane||Spawn | CSA Spawnpoint_RBL_Defend_CSA_6thAL-2 [map-20/007]</x:v>
      </x:c>
      <x:c r="M450" s="35"/>
      <x:c r="N450" s="35"/>
      <x:c r="O450" s="35"/>
      <x:c r="P450" s="35"/>
      <x:c r="Q450" s="35"/>
      <x:c r="R450" s="35"/>
      <x:c r="S450" s="35"/>
      <x:c r="T450" s="35"/>
      <x:c r="U450" s="35"/>
      <x:c r="V450" s="35"/>
      <x:c r="W450" s="35"/>
      <x:c r="X450" s="35"/>
      <x:c r="Y450" s="35"/>
      <x:c r="Z450" s="35"/>
      <x:c r="AA450" s="35"/>
    </x:row>
    <x:row r="451">
      <x:c r="A451" s="136" t="str">
        <x:v>Antietam | Skirmish | Bloody Lane</x:v>
      </x:c>
      <x:c r="B451" s="136" t="str">
        <x:v>Spawn | CSA Spawnpoint_RBL_Defend_CSA_14thNC [map-20/008]</x:v>
      </x:c>
      <x:c r="C451" s="136" t="str">
        <x:v>spawn</x:v>
      </x:c>
      <x:c r="D451" s="136" t="str">
        <x:v>CSA</x:v>
      </x:c>
      <x:c r="E451" s="136" t="str">
        <x:v>Spawnpoint_RBL_Defend_CSA_14thNC</x:v>
      </x:c>
      <x:c r="F451" s="137" t="n">
        <x:v>668.2542114257812</x:v>
      </x:c>
      <x:c r="G451" s="137" t="n">
        <x:v>1737.0672607421875</x:v>
      </x:c>
      <x:c r="H451" s="137" t="n">
        <x:v>59.12325668334961</x:v>
      </x:c>
      <x:c r="I451" s="137" t="n">
        <x:v>858.7525454550939</x:v>
      </x:c>
      <x:c r="J451" s="137" t="n">
        <x:v>1077.2184508481116</x:v>
      </x:c>
      <x:c r="K451" s="136" t="str">
        <x:v>map-20</x:v>
      </x:c>
      <x:c r="L451" s="136" t="str">
        <x:v>Antietam | Skirmish | Bloody Lane||Spawn | CSA Spawnpoint_RBL_Defend_CSA_14thNC [map-20/008]</x:v>
      </x:c>
      <x:c r="M451" s="35"/>
      <x:c r="N451" s="35"/>
      <x:c r="O451" s="35"/>
      <x:c r="P451" s="35"/>
      <x:c r="Q451" s="35"/>
      <x:c r="R451" s="35"/>
      <x:c r="S451" s="35"/>
      <x:c r="T451" s="35"/>
      <x:c r="U451" s="35"/>
      <x:c r="V451" s="35"/>
      <x:c r="W451" s="35"/>
      <x:c r="X451" s="35"/>
      <x:c r="Y451" s="35"/>
      <x:c r="Z451" s="35"/>
      <x:c r="AA451" s="35"/>
    </x:row>
    <x:row r="452">
      <x:c r="A452" s="136" t="str">
        <x:v>Antietam | Skirmish | Bloody Lane</x:v>
      </x:c>
      <x:c r="B452" s="136" t="str">
        <x:v>Spawn | USA Spawnpoint_RBL_Base_USA_69thNY [map-20/009]</x:v>
      </x:c>
      <x:c r="C452" s="136" t="str">
        <x:v>spawn</x:v>
      </x:c>
      <x:c r="D452" s="136" t="str">
        <x:v>USA</x:v>
      </x:c>
      <x:c r="E452" s="136" t="str">
        <x:v>Spawnpoint_RBL_Base_USA_69thNY</x:v>
      </x:c>
      <x:c r="F452" s="137" t="n">
        <x:v>903.2925415039062</x:v>
      </x:c>
      <x:c r="G452" s="137" t="n">
        <x:v>1569.211181640625</x:v>
      </x:c>
      <x:c r="H452" s="137" t="n">
        <x:v>60.909549713134766</x:v>
      </x:c>
      <x:c r="I452" s="137" t="n">
        <x:v>1591.292038052054</x:v>
      </x:c>
      <x:c r="J452" s="137" t="n">
        <x:v>837.2621613567331</x:v>
      </x:c>
      <x:c r="K452" s="136" t="str">
        <x:v>map-20</x:v>
      </x:c>
      <x:c r="L452" s="136" t="str">
        <x:v>Antietam | Skirmish | Bloody Lane||Spawn | USA Spawnpoint_RBL_Base_USA_69thNY [map-20/009]</x:v>
      </x:c>
      <x:c r="M452" s="35"/>
      <x:c r="N452" s="35"/>
      <x:c r="O452" s="35"/>
      <x:c r="P452" s="35"/>
      <x:c r="Q452" s="35"/>
      <x:c r="R452" s="35"/>
      <x:c r="S452" s="35"/>
      <x:c r="T452" s="35"/>
      <x:c r="U452" s="35"/>
      <x:c r="V452" s="35"/>
      <x:c r="W452" s="35"/>
      <x:c r="X452" s="35"/>
      <x:c r="Y452" s="35"/>
      <x:c r="Z452" s="35"/>
      <x:c r="AA452" s="35"/>
    </x:row>
    <x:row r="453">
      <x:c r="A453" s="136" t="str">
        <x:v>Antietam | Skirmish | Bloody Lane</x:v>
      </x:c>
      <x:c r="B453" s="136" t="str">
        <x:v>Artillery | CSA Spawnpoint_RBL_CSA_Arty_Base [map-20/010]</x:v>
      </x:c>
      <x:c r="C453" s="136" t="str">
        <x:v>battery</x:v>
      </x:c>
      <x:c r="D453" s="136" t="str">
        <x:v>CSA</x:v>
      </x:c>
      <x:c r="E453" s="136" t="str">
        <x:v>Spawnpoint_RBL_CSA_Arty_Base</x:v>
      </x:c>
      <x:c r="F453" s="137" t="n">
        <x:v>417.43865966796875</x:v>
      </x:c>
      <x:c r="G453" s="137" t="n">
        <x:v>1831.68359375</x:v>
      </x:c>
      <x:c r="H453" s="137" t="n">
        <x:v>60.04349899291992</x:v>
      </x:c>
      <x:c r="I453" s="137" t="n">
        <x:v>258.6855137567149</x:v>
      </x:c>
      <x:c r="J453" s="137" t="n">
        <x:v>1467.2342538784055</x:v>
      </x:c>
      <x:c r="K453" s="136" t="str">
        <x:v>map-20</x:v>
      </x:c>
      <x:c r="L453" s="136" t="str">
        <x:v>Antietam | Skirmish | Bloody Lane||Artillery | CSA Spawnpoint_RBL_CSA_Arty_Base [map-20/010]</x:v>
      </x:c>
      <x:c r="M453" s="35"/>
      <x:c r="N453" s="35"/>
      <x:c r="O453" s="35"/>
      <x:c r="P453" s="35"/>
      <x:c r="Q453" s="35"/>
      <x:c r="R453" s="35"/>
      <x:c r="S453" s="35"/>
      <x:c r="T453" s="35"/>
      <x:c r="U453" s="35"/>
      <x:c r="V453" s="35"/>
      <x:c r="W453" s="35"/>
      <x:c r="X453" s="35"/>
      <x:c r="Y453" s="35"/>
      <x:c r="Z453" s="35"/>
      <x:c r="AA453" s="35"/>
    </x:row>
    <x:row r="454">
      <x:c r="A454" s="136" t="str">
        <x:v>Antietam | Skirmish | Bloody Lane</x:v>
      </x:c>
      <x:c r="B454" s="136" t="str">
        <x:v>Spawn | CSA Spawnpoint_RBL_Defend_CSA_14thNC-2 [map-20/011]</x:v>
      </x:c>
      <x:c r="C454" s="136" t="str">
        <x:v>spawn</x:v>
      </x:c>
      <x:c r="D454" s="136" t="str">
        <x:v>CSA</x:v>
      </x:c>
      <x:c r="E454" s="136" t="str">
        <x:v>Spawnpoint_RBL_Defend_CSA_14thNC-2</x:v>
      </x:c>
      <x:c r="F454" s="137" t="n">
        <x:v>664.2987670898438</x:v>
      </x:c>
      <x:c r="G454" s="137" t="n">
        <x:v>1721.287841796875</x:v>
      </x:c>
      <x:c r="H454" s="137" t="n">
        <x:v>59.068145751953125</x:v>
      </x:c>
      <x:c r="I454" s="137" t="n">
        <x:v>886.4137966918687</x:v>
      </x:c>
      <x:c r="J454" s="137" t="n">
        <x:v>1110.7461969486972</x:v>
      </x:c>
      <x:c r="K454" s="136" t="str">
        <x:v>map-20</x:v>
      </x:c>
      <x:c r="L454" s="136" t="str">
        <x:v>Antietam | Skirmish | Bloody Lane||Spawn | CSA Spawnpoint_RBL_Defend_CSA_14thNC-2 [map-20/011]</x:v>
      </x:c>
      <x:c r="M454" s="35"/>
      <x:c r="N454" s="35"/>
      <x:c r="O454" s="35"/>
      <x:c r="P454" s="35"/>
      <x:c r="Q454" s="35"/>
      <x:c r="R454" s="35"/>
      <x:c r="S454" s="35"/>
      <x:c r="T454" s="35"/>
      <x:c r="U454" s="35"/>
      <x:c r="V454" s="35"/>
      <x:c r="W454" s="35"/>
      <x:c r="X454" s="35"/>
      <x:c r="Y454" s="35"/>
      <x:c r="Z454" s="35"/>
      <x:c r="AA454" s="35"/>
    </x:row>
    <x:row r="455">
      <x:c r="A455" s="136" t="str">
        <x:v>Antietam | Skirmish | Bloody Lane</x:v>
      </x:c>
      <x:c r="B455" s="136" t="str">
        <x:v>Spawn | USA Spawnpoint_RBL_Base_USA_69thNY-2 [map-20/012]</x:v>
      </x:c>
      <x:c r="C455" s="136" t="str">
        <x:v>spawn</x:v>
      </x:c>
      <x:c r="D455" s="136" t="str">
        <x:v>USA</x:v>
      </x:c>
      <x:c r="E455" s="136" t="str">
        <x:v>Spawnpoint_RBL_Base_USA_69thNY-2</x:v>
      </x:c>
      <x:c r="F455" s="137" t="n">
        <x:v>920.2750244140625</x:v>
      </x:c>
      <x:c r="G455" s="137" t="n">
        <x:v>1563.57080078125</x:v>
      </x:c>
      <x:c r="H455" s="137" t="n">
        <x:v>61.03730773925781</x:v>
      </x:c>
      <x:c r="I455" s="137" t="n">
        <x:v>1630.2755180536883</x:v>
      </x:c>
      <x:c r="J455" s="137" t="n">
        <x:v>809.6403759540765</x:v>
      </x:c>
      <x:c r="K455" s="136" t="str">
        <x:v>map-20</x:v>
      </x:c>
      <x:c r="L455" s="136" t="str">
        <x:v>Antietam | Skirmish | Bloody Lane||Spawn | USA Spawnpoint_RBL_Base_USA_69thNY-2 [map-20/012]</x:v>
      </x:c>
      <x:c r="M455" s="35"/>
      <x:c r="N455" s="35"/>
      <x:c r="O455" s="35"/>
      <x:c r="P455" s="35"/>
      <x:c r="Q455" s="35"/>
      <x:c r="R455" s="35"/>
      <x:c r="S455" s="35"/>
      <x:c r="T455" s="35"/>
      <x:c r="U455" s="35"/>
      <x:c r="V455" s="35"/>
      <x:c r="W455" s="35"/>
      <x:c r="X455" s="35"/>
      <x:c r="Y455" s="35"/>
      <x:c r="Z455" s="35"/>
      <x:c r="AA455" s="35"/>
    </x:row>
    <x:row r="456">
      <x:c r="A456" s="136" t="str">
        <x:v>Antietam | Skirmish | Bloody Lane</x:v>
      </x:c>
      <x:c r="B456" s="136" t="str">
        <x:v>Objective | Victory_Roulette_Bloody_Lane [map-20/013]</x:v>
      </x:c>
      <x:c r="C456" s="136" t="str">
        <x:v>objective</x:v>
      </x:c>
      <x:c r="D456" s="136" t="str"/>
      <x:c r="E456" s="136" t="str">
        <x:v>Victory_Roulette_Bloody_Lane</x:v>
      </x:c>
      <x:c r="F456" s="137" t="n">
        <x:v>663.2913208007812</x:v>
      </x:c>
      <x:c r="G456" s="137" t="n">
        <x:v>1742.376220703125</x:v>
      </x:c>
      <x:c r="H456" s="137" t="n">
        <x:v>59.05897903442383</x:v>
      </x:c>
      <x:c r="I456" s="137" t="n">
        <x:v>839.4917782870967</x:v>
      </x:c>
      <x:c r="J456" s="137" t="n">
        <x:v>1079.4880633762507</x:v>
      </x:c>
      <x:c r="K456" s="136" t="str">
        <x:v>map-20</x:v>
      </x:c>
      <x:c r="L456" s="136" t="str">
        <x:v>Antietam | Skirmish | Bloody Lane||Objective | Victory_Roulette_Bloody_Lane [map-20/013]</x:v>
      </x:c>
      <x:c r="M456" s="35"/>
      <x:c r="N456" s="35"/>
      <x:c r="O456" s="35"/>
      <x:c r="P456" s="35"/>
      <x:c r="Q456" s="35"/>
      <x:c r="R456" s="35"/>
      <x:c r="S456" s="35"/>
      <x:c r="T456" s="35"/>
      <x:c r="U456" s="35"/>
      <x:c r="V456" s="35"/>
      <x:c r="W456" s="35"/>
      <x:c r="X456" s="35"/>
      <x:c r="Y456" s="35"/>
      <x:c r="Z456" s="35"/>
      <x:c r="AA456" s="35"/>
    </x:row>
    <x:row r="457">
      <x:c r="A457" s="136" t="str">
        <x:v>Antietam | Skirmish | Bloody Lane</x:v>
      </x:c>
      <x:c r="B457" s="136" t="str">
        <x:v>Spawn | USA Spawnpoint_RBL_Base_USA_8thOH-2 [map-20/014]</x:v>
      </x:c>
      <x:c r="C457" s="136" t="str">
        <x:v>spawn</x:v>
      </x:c>
      <x:c r="D457" s="136" t="str">
        <x:v>USA</x:v>
      </x:c>
      <x:c r="E457" s="136" t="str">
        <x:v>Spawnpoint_RBL_Base_USA_8thOH-2</x:v>
      </x:c>
      <x:c r="F457" s="137" t="n">
        <x:v>942.9086303710938</x:v>
      </x:c>
      <x:c r="G457" s="137" t="n">
        <x:v>1549.674072265625</x:v>
      </x:c>
      <x:c r="H457" s="137" t="n">
        <x:v>61.41676712036133</x:v>
      </x:c>
      <x:c r="I457" s="137" t="n">
        <x:v>1695.9435744113248</x:v>
      </x:c>
      <x:c r="J457" s="137" t="n">
        <x:v>782.9391452614923</x:v>
      </x:c>
      <x:c r="K457" s="136" t="str">
        <x:v>map-20</x:v>
      </x:c>
      <x:c r="L457" s="136" t="str">
        <x:v>Antietam | Skirmish | Bloody Lane||Spawn | USA Spawnpoint_RBL_Base_USA_8thOH-2 [map-20/014]</x:v>
      </x:c>
      <x:c r="M457" s="35"/>
      <x:c r="N457" s="35"/>
      <x:c r="O457" s="35"/>
      <x:c r="P457" s="35"/>
      <x:c r="Q457" s="35"/>
      <x:c r="R457" s="35"/>
      <x:c r="S457" s="35"/>
      <x:c r="T457" s="35"/>
      <x:c r="U457" s="35"/>
      <x:c r="V457" s="35"/>
      <x:c r="W457" s="35"/>
      <x:c r="X457" s="35"/>
      <x:c r="Y457" s="35"/>
      <x:c r="Z457" s="35"/>
      <x:c r="AA457" s="35"/>
    </x:row>
    <x:row r="458">
      <x:c r="A458" s="136" t="str">
        <x:v>Antietam | Skirmish | Bloody Lane</x:v>
      </x:c>
      <x:c r="B458" s="136" t="str">
        <x:v>Artillery | CSA Spawnpoint_RBL_CSA_Arty_Miller_Forward [map-20/015]</x:v>
      </x:c>
      <x:c r="C458" s="136" t="str">
        <x:v>battery</x:v>
      </x:c>
      <x:c r="D458" s="136" t="str">
        <x:v>CSA</x:v>
      </x:c>
      <x:c r="E458" s="136" t="str">
        <x:v>Spawnpoint_RBL_CSA_Arty_Miller_Forward</x:v>
      </x:c>
      <x:c r="F458" s="137" t="n">
        <x:v>374.6041564941406</x:v>
      </x:c>
      <x:c r="G458" s="137" t="n">
        <x:v>1747.580810546875</x:v>
      </x:c>
      <x:c r="H458" s="137" t="n">
        <x:v>65.13843536376953</x:v>
      </x:c>
      <x:c r="I458" s="137" t="n">
        <x:v>371.71350601226214</x:v>
      </x:c>
      <x:c r="J458" s="137" t="n">
        <x:v>1692.765532889129</x:v>
      </x:c>
      <x:c r="K458" s="136" t="str">
        <x:v>map-20</x:v>
      </x:c>
      <x:c r="L458" s="136" t="str">
        <x:v>Antietam | Skirmish | Bloody Lane||Artillery | CSA Spawnpoint_RBL_CSA_Arty_Miller_Forward [map-20/015]</x:v>
      </x:c>
      <x:c r="M458" s="35"/>
      <x:c r="N458" s="35"/>
      <x:c r="O458" s="35"/>
      <x:c r="P458" s="35"/>
      <x:c r="Q458" s="35"/>
      <x:c r="R458" s="35"/>
      <x:c r="S458" s="35"/>
      <x:c r="T458" s="35"/>
      <x:c r="U458" s="35"/>
      <x:c r="V458" s="35"/>
      <x:c r="W458" s="35"/>
      <x:c r="X458" s="35"/>
      <x:c r="Y458" s="35"/>
      <x:c r="Z458" s="35"/>
      <x:c r="AA458" s="35"/>
    </x:row>
    <x:row r="459">
      <x:c r="A459" s="136" t="str">
        <x:v>Antietam | Skirmish | Bloody Lane</x:v>
      </x:c>
      <x:c r="B459" s="136" t="str">
        <x:v>Gun | 12-pounder Napoleon (USA) · Entity-1407 [map-20/016]</x:v>
      </x:c>
      <x:c r="C459" s="136" t="str">
        <x:v>gun_spawn</x:v>
      </x:c>
      <x:c r="D459" s="136" t="str"/>
      <x:c r="E459" s="136" t="str">
        <x:v>12-pounder Napoleon (USA) · Entity-1407</x:v>
      </x:c>
      <x:c r="F459" s="137" t="n">
        <x:v>399.1520080566406</x:v>
      </x:c>
      <x:c r="G459" s="137" t="n">
        <x:v>1753.0999755859375</x:v>
      </x:c>
      <x:c r="H459" s="137" t="n">
        <x:v>65.23731231689453</x:v>
      </x:c>
      <x:c r="I459" s="137" t="n">
        <x:v>398.6754687629178</x:v>
      </x:c>
      <x:c r="J459" s="137" t="n">
        <x:v>1631.1669802697033</x:v>
      </x:c>
      <x:c r="K459" s="136" t="str">
        <x:v>map-20</x:v>
      </x:c>
      <x:c r="L459" s="136" t="str">
        <x:v>Antietam | Skirmish | Bloody Lane||Gun | 12-pounder Napoleon (USA) · Entity-1407 [map-20/016]</x:v>
      </x:c>
      <x:c r="M459" s="35"/>
      <x:c r="N459" s="35"/>
      <x:c r="O459" s="35"/>
      <x:c r="P459" s="35"/>
      <x:c r="Q459" s="35"/>
      <x:c r="R459" s="35"/>
      <x:c r="S459" s="35"/>
      <x:c r="T459" s="35"/>
      <x:c r="U459" s="35"/>
      <x:c r="V459" s="35"/>
      <x:c r="W459" s="35"/>
      <x:c r="X459" s="35"/>
      <x:c r="Y459" s="35"/>
      <x:c r="Z459" s="35"/>
      <x:c r="AA459" s="35"/>
    </x:row>
    <x:row r="460">
      <x:c r="A460" s="136" t="str">
        <x:v>Antietam | Skirmish | Bloody Lane</x:v>
      </x:c>
      <x:c r="B460" s="136" t="str">
        <x:v>Gun | 3-inch Ordnance · Entity-1412 [map-20/017]</x:v>
      </x:c>
      <x:c r="C460" s="136" t="str">
        <x:v>gun_spawn</x:v>
      </x:c>
      <x:c r="D460" s="136" t="str"/>
      <x:c r="E460" s="136" t="str">
        <x:v>3-inch Ordnance · Entity-1412</x:v>
      </x:c>
      <x:c r="F460" s="137" t="n">
        <x:v>383.06500244140625</x:v>
      </x:c>
      <x:c r="G460" s="137" t="n">
        <x:v>1779.5699462890625</x:v>
      </x:c>
      <x:c r="H460" s="137" t="n">
        <x:v>64.87582397460938</x:v>
      </x:c>
      <x:c r="I460" s="137" t="n">
        <x:v>316.3359147556883</x:v>
      </x:c>
      <x:c r="J460" s="137" t="n">
        <x:v>1623.8439500927232</x:v>
      </x:c>
      <x:c r="K460" s="136" t="str">
        <x:v>map-20</x:v>
      </x:c>
      <x:c r="L460" s="136" t="str">
        <x:v>Antietam | Skirmish | Bloody Lane||Gun | 3-inch Ordnance · Entity-1412 [map-20/017]</x:v>
      </x:c>
      <x:c r="M460" s="35"/>
      <x:c r="N460" s="35"/>
      <x:c r="O460" s="35"/>
      <x:c r="P460" s="35"/>
      <x:c r="Q460" s="35"/>
      <x:c r="R460" s="35"/>
      <x:c r="S460" s="35"/>
      <x:c r="T460" s="35"/>
      <x:c r="U460" s="35"/>
      <x:c r="V460" s="35"/>
      <x:c r="W460" s="35"/>
      <x:c r="X460" s="35"/>
      <x:c r="Y460" s="35"/>
      <x:c r="Z460" s="35"/>
      <x:c r="AA460" s="35"/>
    </x:row>
    <x:row r="461">
      <x:c r="A461" s="136" t="str">
        <x:v>Antietam | Skirmish | Bloody Lane</x:v>
      </x:c>
      <x:c r="B461" s="136" t="str">
        <x:v>Gun | 12-pounder Napoleon (CSA) · Entity-1409 [map-20/018]</x:v>
      </x:c>
      <x:c r="C461" s="136" t="str">
        <x:v>gun_spawn</x:v>
      </x:c>
      <x:c r="D461" s="136" t="str"/>
      <x:c r="E461" s="136" t="str">
        <x:v>12-pounder Napoleon (CSA) · Entity-1409</x:v>
      </x:c>
      <x:c r="F461" s="137" t="n">
        <x:v>405.1210021972656</x:v>
      </x:c>
      <x:c r="G461" s="137" t="n">
        <x:v>1745.6400146484375</x:v>
      </x:c>
      <x:c r="H461" s="137" t="n">
        <x:v>65.10009765625</x:v>
      </x:c>
      <x:c r="I461" s="137" t="n">
        <x:v>424.15099253163913</x:v>
      </x:c>
      <x:c r="J461" s="137" t="n">
        <x:v>1630.1408268293244</x:v>
      </x:c>
      <x:c r="K461" s="136" t="str">
        <x:v>map-20</x:v>
      </x:c>
      <x:c r="L461" s="136" t="str">
        <x:v>Antietam | Skirmish | Bloody Lane||Gun | 12-pounder Napoleon (CSA) · Entity-1409 [map-20/018]</x:v>
      </x:c>
      <x:c r="M461" s="35"/>
      <x:c r="N461" s="35"/>
      <x:c r="O461" s="35"/>
      <x:c r="P461" s="35"/>
      <x:c r="Q461" s="35"/>
      <x:c r="R461" s="35"/>
      <x:c r="S461" s="35"/>
      <x:c r="T461" s="35"/>
      <x:c r="U461" s="35"/>
      <x:c r="V461" s="35"/>
      <x:c r="W461" s="35"/>
      <x:c r="X461" s="35"/>
      <x:c r="Y461" s="35"/>
      <x:c r="Z461" s="35"/>
      <x:c r="AA461" s="35"/>
    </x:row>
    <x:row r="462">
      <x:c r="A462" s="136" t="str">
        <x:v>Antietam | Skirmish | Bloody Lane</x:v>
      </x:c>
      <x:c r="B462" s="136" t="str">
        <x:v>Gun | 3-inch Ordnance · Entity-1411 [map-20/019]</x:v>
      </x:c>
      <x:c r="C462" s="136" t="str">
        <x:v>gun_spawn</x:v>
      </x:c>
      <x:c r="D462" s="136" t="str"/>
      <x:c r="E462" s="136" t="str">
        <x:v>3-inch Ordnance · Entity-1411</x:v>
      </x:c>
      <x:c r="F462" s="137" t="n">
        <x:v>376.8070068359375</x:v>
      </x:c>
      <x:c r="G462" s="137" t="n">
        <x:v>1786.72998046875</x:v>
      </x:c>
      <x:c r="H462" s="137" t="n">
        <x:v>64.85113525390625</x:v>
      </x:c>
      <x:c r="I462" s="137" t="n">
        <x:v>291.0479832668462</x:v>
      </x:c>
      <x:c r="J462" s="137" t="n">
        <x:v>1625.967720207337</x:v>
      </x:c>
      <x:c r="K462" s="136" t="str">
        <x:v>map-20</x:v>
      </x:c>
      <x:c r="L462" s="136" t="str">
        <x:v>Antietam | Skirmish | Bloody Lane||Gun | 3-inch Ordnance · Entity-1411 [map-20/019]</x:v>
      </x:c>
      <x:c r="M462" s="35"/>
      <x:c r="N462" s="35"/>
      <x:c r="O462" s="35"/>
      <x:c r="P462" s="35"/>
      <x:c r="Q462" s="35"/>
      <x:c r="R462" s="35"/>
      <x:c r="S462" s="35"/>
      <x:c r="T462" s="35"/>
      <x:c r="U462" s="35"/>
      <x:c r="V462" s="35"/>
      <x:c r="W462" s="35"/>
      <x:c r="X462" s="35"/>
      <x:c r="Y462" s="35"/>
      <x:c r="Z462" s="35"/>
      <x:c r="AA462" s="35"/>
    </x:row>
    <x:row r="463">
      <x:c r="A463" s="136" t="str">
        <x:v>Antietam | Skirmish | Pry Ford</x:v>
      </x:c>
      <x:c r="B463" s="136" t="str">
        <x:v>Spawn | CSA Spawnpoint_PFord_CSA_Mounted_Jeff [map-21/001]</x:v>
      </x:c>
      <x:c r="C463" s="136" t="str">
        <x:v>spawn</x:v>
      </x:c>
      <x:c r="D463" s="136" t="str">
        <x:v>CSA</x:v>
      </x:c>
      <x:c r="E463" s="136" t="str">
        <x:v>Spawnpoint_PFord_CSA_Mounted_Jeff</x:v>
      </x:c>
      <x:c r="F463" s="137" t="n">
        <x:v>2895.41259765625</x:v>
      </x:c>
      <x:c r="G463" s="137" t="n">
        <x:v>1943.10986328125</x:v>
      </x:c>
      <x:c r="H463" s="137" t="n">
        <x:v>50.244056701660156</x:v>
      </x:c>
      <x:c r="I463" s="137" t="n">
        <x:v>333.42982972584514</x:v>
      </x:c>
      <x:c r="J463" s="137" t="n">
        <x:v>285.1562343951456</x:v>
      </x:c>
      <x:c r="K463" s="136" t="str">
        <x:v>map-21</x:v>
      </x:c>
      <x:c r="L463" s="136" t="str">
        <x:v>Antietam | Skirmish | Pry Ford||Spawn | CSA Spawnpoint_PFord_CSA_Mounted_Jeff [map-21/001]</x:v>
      </x:c>
      <x:c r="M463" s="35"/>
      <x:c r="N463" s="35"/>
      <x:c r="O463" s="35"/>
      <x:c r="P463" s="35"/>
      <x:c r="Q463" s="35"/>
      <x:c r="R463" s="35"/>
      <x:c r="S463" s="35"/>
      <x:c r="T463" s="35"/>
      <x:c r="U463" s="35"/>
      <x:c r="V463" s="35"/>
      <x:c r="W463" s="35"/>
      <x:c r="X463" s="35"/>
      <x:c r="Y463" s="35"/>
      <x:c r="Z463" s="35"/>
      <x:c r="AA463" s="35"/>
    </x:row>
    <x:row r="464">
      <x:c r="A464" s="136" t="str">
        <x:v>Antietam | Skirmish | Pry Ford</x:v>
      </x:c>
      <x:c r="B464" s="136" t="str">
        <x:v>Spawn | CSA Spawnpoint_PFord_Base_CSA_Holc [map-21/002]</x:v>
      </x:c>
      <x:c r="C464" s="136" t="str">
        <x:v>spawn</x:v>
      </x:c>
      <x:c r="D464" s="136" t="str">
        <x:v>CSA</x:v>
      </x:c>
      <x:c r="E464" s="136" t="str">
        <x:v>Spawnpoint_PFord_Base_CSA_Holc</x:v>
      </x:c>
      <x:c r="F464" s="137" t="n">
        <x:v>2758.2666015625</x:v>
      </x:c>
      <x:c r="G464" s="137" t="n">
        <x:v>1779.52978515625</x:v>
      </x:c>
      <x:c r="H464" s="137" t="n">
        <x:v>38.30891418457031</x:v>
      </x:c>
      <x:c r="I464" s="137" t="n">
        <x:v>459.6219829552741</x:v>
      </x:c>
      <x:c r="J464" s="137" t="n">
        <x:v>807.632713282528</x:v>
      </x:c>
      <x:c r="K464" s="136" t="str">
        <x:v>map-21</x:v>
      </x:c>
      <x:c r="L464" s="136" t="str">
        <x:v>Antietam | Skirmish | Pry Ford||Spawn | CSA Spawnpoint_PFord_Base_CSA_Holc [map-21/002]</x:v>
      </x:c>
      <x:c r="M464" s="35"/>
      <x:c r="N464" s="35"/>
      <x:c r="O464" s="35"/>
      <x:c r="P464" s="35"/>
      <x:c r="Q464" s="35"/>
      <x:c r="R464" s="35"/>
      <x:c r="S464" s="35"/>
      <x:c r="T464" s="35"/>
      <x:c r="U464" s="35"/>
      <x:c r="V464" s="35"/>
      <x:c r="W464" s="35"/>
      <x:c r="X464" s="35"/>
      <x:c r="Y464" s="35"/>
      <x:c r="Z464" s="35"/>
      <x:c r="AA464" s="35"/>
    </x:row>
    <x:row r="465">
      <x:c r="A465" s="136" t="str">
        <x:v>Antietam | Skirmish | Pry Ford</x:v>
      </x:c>
      <x:c r="B465" s="136" t="str">
        <x:v>Spawn | CSA Spawnpoint_PFord_Base_CSA_Jeff [map-21/003]</x:v>
      </x:c>
      <x:c r="C465" s="136" t="str">
        <x:v>spawn</x:v>
      </x:c>
      <x:c r="D465" s="136" t="str">
        <x:v>CSA</x:v>
      </x:c>
      <x:c r="E465" s="136" t="str">
        <x:v>Spawnpoint_PFord_Base_CSA_Jeff</x:v>
      </x:c>
      <x:c r="F465" s="137" t="n">
        <x:v>2756.601806640625</x:v>
      </x:c>
      <x:c r="G465" s="137" t="n">
        <x:v>1798.4012451171875</x:v>
      </x:c>
      <x:c r="H465" s="137" t="n">
        <x:v>41.2604866027832</x:v>
      </x:c>
      <x:c r="I465" s="137" t="n">
        <x:v>418.90200671526236</x:v>
      </x:c>
      <x:c r="J465" s="137" t="n">
        <x:v>782.8352691225955</x:v>
      </x:c>
      <x:c r="K465" s="136" t="str">
        <x:v>map-21</x:v>
      </x:c>
      <x:c r="L465" s="136" t="str">
        <x:v>Antietam | Skirmish | Pry Ford||Spawn | CSA Spawnpoint_PFord_Base_CSA_Jeff [map-21/003]</x:v>
      </x:c>
      <x:c r="M465" s="35"/>
      <x:c r="N465" s="35"/>
      <x:c r="O465" s="35"/>
      <x:c r="P465" s="35"/>
      <x:c r="Q465" s="35"/>
      <x:c r="R465" s="35"/>
      <x:c r="S465" s="35"/>
      <x:c r="T465" s="35"/>
      <x:c r="U465" s="35"/>
      <x:c r="V465" s="35"/>
      <x:c r="W465" s="35"/>
      <x:c r="X465" s="35"/>
      <x:c r="Y465" s="35"/>
      <x:c r="Z465" s="35"/>
      <x:c r="AA465" s="35"/>
    </x:row>
    <x:row r="466">
      <x:c r="A466" s="136" t="str">
        <x:v>Antietam | Skirmish | Pry Ford</x:v>
      </x:c>
      <x:c r="B466" s="136" t="str">
        <x:v>Spawn | USA Spawnpoint_PFord_Base_USA_2ndUS-2 [map-21/004]</x:v>
      </x:c>
      <x:c r="C466" s="136" t="str">
        <x:v>spawn</x:v>
      </x:c>
      <x:c r="D466" s="136" t="str">
        <x:v>USA</x:v>
      </x:c>
      <x:c r="E466" s="136" t="str">
        <x:v>Spawnpoint_PFord_Base_USA_2ndUS-2</x:v>
      </x:c>
      <x:c r="F466" s="137" t="n">
        <x:v>2759.376953125</x:v>
      </x:c>
      <x:c r="G466" s="137" t="n">
        <x:v>1327.8115234375</x:v>
      </x:c>
      <x:c r="H466" s="137" t="n">
        <x:v>13.622220039367676</x:v>
      </x:c>
      <x:c r="I466" s="137" t="n">
        <x:v>1376.3615020149762</x:v>
      </x:c>
      <x:c r="J466" s="137" t="n">
        <x:v>1479.79547560629</x:v>
      </x:c>
      <x:c r="K466" s="136" t="str">
        <x:v>map-21</x:v>
      </x:c>
      <x:c r="L466" s="136" t="str">
        <x:v>Antietam | Skirmish | Pry Ford||Spawn | USA Spawnpoint_PFord_Base_USA_2ndUS-2 [map-21/004]</x:v>
      </x:c>
      <x:c r="M466" s="35"/>
      <x:c r="N466" s="35"/>
      <x:c r="O466" s="35"/>
      <x:c r="P466" s="35"/>
      <x:c r="Q466" s="35"/>
      <x:c r="R466" s="35"/>
      <x:c r="S466" s="35"/>
      <x:c r="T466" s="35"/>
      <x:c r="U466" s="35"/>
      <x:c r="V466" s="35"/>
      <x:c r="W466" s="35"/>
      <x:c r="X466" s="35"/>
      <x:c r="Y466" s="35"/>
      <x:c r="Z466" s="35"/>
      <x:c r="AA466" s="35"/>
    </x:row>
    <x:row r="467">
      <x:c r="A467" s="136" t="str">
        <x:v>Antietam | Skirmish | Pry Ford</x:v>
      </x:c>
      <x:c r="B467" s="136" t="str">
        <x:v>Artillery | USA Spawnpoint_PFord_USA_Arty_McGilvery_Forward [map-21/005]</x:v>
      </x:c>
      <x:c r="C467" s="136" t="str">
        <x:v>battery</x:v>
      </x:c>
      <x:c r="D467" s="136" t="str">
        <x:v>USA</x:v>
      </x:c>
      <x:c r="E467" s="136" t="str">
        <x:v>Spawnpoint_PFord_USA_Arty_McGilvery_Forward</x:v>
      </x:c>
      <x:c r="F467" s="137" t="n">
        <x:v>2759.521484375</x:v>
      </x:c>
      <x:c r="G467" s="137" t="n">
        <x:v>1464.44970703125</x:v>
      </x:c>
      <x:c r="H467" s="137" t="n">
        <x:v>15.138688087463379</x:v>
      </x:c>
      <x:c r="I467" s="137" t="n">
        <x:v>1099.7798927659758</x:v>
      </x:c>
      <x:c r="J467" s="137" t="n">
        <x:v>1275.5013851390097</x:v>
      </x:c>
      <x:c r="K467" s="136" t="str">
        <x:v>map-21</x:v>
      </x:c>
      <x:c r="L467" s="136" t="str">
        <x:v>Antietam | Skirmish | Pry Ford||Artillery | USA Spawnpoint_PFord_USA_Arty_McGilvery_Forward [map-21/005]</x:v>
      </x:c>
      <x:c r="M467" s="35"/>
      <x:c r="N467" s="35"/>
      <x:c r="O467" s="35"/>
      <x:c r="P467" s="35"/>
      <x:c r="Q467" s="35"/>
      <x:c r="R467" s="35"/>
      <x:c r="S467" s="35"/>
      <x:c r="T467" s="35"/>
      <x:c r="U467" s="35"/>
      <x:c r="V467" s="35"/>
      <x:c r="W467" s="35"/>
      <x:c r="X467" s="35"/>
      <x:c r="Y467" s="35"/>
      <x:c r="Z467" s="35"/>
      <x:c r="AA467" s="35"/>
    </x:row>
    <x:row r="468">
      <x:c r="A468" s="136" t="str">
        <x:v>Antietam | Skirmish | Pry Ford</x:v>
      </x:c>
      <x:c r="B468" s="136" t="str">
        <x:v>Artillery | CSA Spawnpoint_PFord_CSA_Arty_Daquin_Forward [map-21/006]</x:v>
      </x:c>
      <x:c r="C468" s="136" t="str">
        <x:v>battery</x:v>
      </x:c>
      <x:c r="D468" s="136" t="str">
        <x:v>CSA</x:v>
      </x:c>
      <x:c r="E468" s="136" t="str">
        <x:v>Spawnpoint_PFord_CSA_Arty_Daquin_Forward</x:v>
      </x:c>
      <x:c r="F468" s="137" t="n">
        <x:v>2805.73486328125</x:v>
      </x:c>
      <x:c r="G468" s="137" t="n">
        <x:v>1794.826171875</x:v>
      </x:c>
      <x:c r="H468" s="137" t="n">
        <x:v>42.008087158203125</x:v>
      </x:c>
      <x:c r="I468" s="137" t="n">
        <x:v>499.6521519078102</x:v>
      </x:c>
      <x:c r="J468" s="137" t="n">
        <x:v>688.4882813500134</x:v>
      </x:c>
      <x:c r="K468" s="136" t="str">
        <x:v>map-21</x:v>
      </x:c>
      <x:c r="L468" s="136" t="str">
        <x:v>Antietam | Skirmish | Pry Ford||Artillery | CSA Spawnpoint_PFord_CSA_Arty_Daquin_Forward [map-21/006]</x:v>
      </x:c>
      <x:c r="M468" s="35"/>
      <x:c r="N468" s="35"/>
      <x:c r="O468" s="35"/>
      <x:c r="P468" s="35"/>
      <x:c r="Q468" s="35"/>
      <x:c r="R468" s="35"/>
      <x:c r="S468" s="35"/>
      <x:c r="T468" s="35"/>
      <x:c r="U468" s="35"/>
      <x:c r="V468" s="35"/>
      <x:c r="W468" s="35"/>
      <x:c r="X468" s="35"/>
      <x:c r="Y468" s="35"/>
      <x:c r="Z468" s="35"/>
      <x:c r="AA468" s="35"/>
    </x:row>
    <x:row r="469">
      <x:c r="A469" s="136" t="str">
        <x:v>Antietam | Skirmish | Pry Ford</x:v>
      </x:c>
      <x:c r="B469" s="136" t="str">
        <x:v>Spawn | USA Spawnpoint_PFord_USA_Mounted_4thPA [map-21/007]</x:v>
      </x:c>
      <x:c r="C469" s="136" t="str">
        <x:v>spawn</x:v>
      </x:c>
      <x:c r="D469" s="136" t="str">
        <x:v>USA</x:v>
      </x:c>
      <x:c r="E469" s="136" t="str">
        <x:v>Spawnpoint_PFord_USA_Mounted_4thPA</x:v>
      </x:c>
      <x:c r="F469" s="137" t="n">
        <x:v>2689.37109375</x:v>
      </x:c>
      <x:c r="G469" s="137" t="n">
        <x:v>1156.9737548828125</x:v>
      </x:c>
      <x:c r="H469" s="137" t="n">
        <x:v>24.081445693969727</x:v>
      </x:c>
      <x:c r="I469" s="137" t="n">
        <x:v>1617.7042981872305</x:v>
      </x:c>
      <x:c r="J469" s="137" t="n">
        <x:v>1876.8890950271887</x:v>
      </x:c>
      <x:c r="K469" s="136" t="str">
        <x:v>map-21</x:v>
      </x:c>
      <x:c r="L469" s="136" t="str">
        <x:v>Antietam | Skirmish | Pry Ford||Spawn | USA Spawnpoint_PFord_USA_Mounted_4thPA [map-21/007]</x:v>
      </x:c>
      <x:c r="M469" s="35"/>
      <x:c r="N469" s="35"/>
      <x:c r="O469" s="35"/>
      <x:c r="P469" s="35"/>
      <x:c r="Q469" s="35"/>
      <x:c r="R469" s="35"/>
      <x:c r="S469" s="35"/>
      <x:c r="T469" s="35"/>
      <x:c r="U469" s="35"/>
      <x:c r="V469" s="35"/>
      <x:c r="W469" s="35"/>
      <x:c r="X469" s="35"/>
      <x:c r="Y469" s="35"/>
      <x:c r="Z469" s="35"/>
      <x:c r="AA469" s="35"/>
    </x:row>
    <x:row r="470">
      <x:c r="A470" s="136" t="str">
        <x:v>Antietam | Skirmish | Pry Ford</x:v>
      </x:c>
      <x:c r="B470" s="136" t="str">
        <x:v>Artillery | CSA Spawnpoint_PFord_CSA_Arty_Base [map-21/008]</x:v>
      </x:c>
      <x:c r="C470" s="136" t="str">
        <x:v>battery</x:v>
      </x:c>
      <x:c r="D470" s="136" t="str">
        <x:v>CSA</x:v>
      </x:c>
      <x:c r="E470" s="136" t="str">
        <x:v>Spawnpoint_PFord_CSA_Arty_Base</x:v>
      </x:c>
      <x:c r="F470" s="137" t="n">
        <x:v>2756.104736328125</x:v>
      </x:c>
      <x:c r="G470" s="137" t="n">
        <x:v>1817.9918212890625</x:v>
      </x:c>
      <x:c r="H470" s="137" t="n">
        <x:v>43.44763946533203</x:v>
      </x:c>
      <x:c r="I470" s="137" t="n">
        <x:v>378.4722950938944</x:v>
      </x:c>
      <x:c r="J470" s="137" t="n">
        <x:v>754.5950230504528</x:v>
      </x:c>
      <x:c r="K470" s="136" t="str">
        <x:v>map-21</x:v>
      </x:c>
      <x:c r="L470" s="136" t="str">
        <x:v>Antietam | Skirmish | Pry Ford||Artillery | CSA Spawnpoint_PFord_CSA_Arty_Base [map-21/008]</x:v>
      </x:c>
      <x:c r="M470" s="35"/>
      <x:c r="N470" s="35"/>
      <x:c r="O470" s="35"/>
      <x:c r="P470" s="35"/>
      <x:c r="Q470" s="35"/>
      <x:c r="R470" s="35"/>
      <x:c r="S470" s="35"/>
      <x:c r="T470" s="35"/>
      <x:c r="U470" s="35"/>
      <x:c r="V470" s="35"/>
      <x:c r="W470" s="35"/>
      <x:c r="X470" s="35"/>
      <x:c r="Y470" s="35"/>
      <x:c r="Z470" s="35"/>
      <x:c r="AA470" s="35"/>
    </x:row>
    <x:row r="471">
      <x:c r="A471" s="136" t="str">
        <x:v>Antietam | Skirmish | Pry Ford</x:v>
      </x:c>
      <x:c r="B471" s="136" t="str">
        <x:v>Spawn | CSA Spawnpoint_PFord_Base_CSA_17thSC [map-21/009]</x:v>
      </x:c>
      <x:c r="C471" s="136" t="str">
        <x:v>spawn</x:v>
      </x:c>
      <x:c r="D471" s="136" t="str">
        <x:v>CSA</x:v>
      </x:c>
      <x:c r="E471" s="136" t="str">
        <x:v>Spawnpoint_PFord_Base_CSA_17thSC</x:v>
      </x:c>
      <x:c r="F471" s="137" t="n">
        <x:v>2762.496337890625</x:v>
      </x:c>
      <x:c r="G471" s="137" t="n">
        <x:v>1761.345947265625</x:v>
      </x:c>
      <x:c r="H471" s="137" t="n">
        <x:v>36.03428268432617</x:v>
      </x:c>
      <x:c r="I471" s="137" t="n">
        <x:v>502.78639683276083</x:v>
      </x:c>
      <x:c r="J471" s="137" t="n">
        <x:v>826.199605370809</x:v>
      </x:c>
      <x:c r="K471" s="136" t="str">
        <x:v>map-21</x:v>
      </x:c>
      <x:c r="L471" s="136" t="str">
        <x:v>Antietam | Skirmish | Pry Ford||Spawn | CSA Spawnpoint_PFord_Base_CSA_17thSC [map-21/009]</x:v>
      </x:c>
      <x:c r="M471" s="35"/>
      <x:c r="N471" s="35"/>
      <x:c r="O471" s="35"/>
      <x:c r="P471" s="35"/>
      <x:c r="Q471" s="35"/>
      <x:c r="R471" s="35"/>
      <x:c r="S471" s="35"/>
      <x:c r="T471" s="35"/>
      <x:c r="U471" s="35"/>
      <x:c r="V471" s="35"/>
      <x:c r="W471" s="35"/>
      <x:c r="X471" s="35"/>
      <x:c r="Y471" s="35"/>
      <x:c r="Z471" s="35"/>
      <x:c r="AA471" s="35"/>
    </x:row>
    <x:row r="472">
      <x:c r="A472" s="136" t="str">
        <x:v>Antietam | Skirmish | Pry Ford</x:v>
      </x:c>
      <x:c r="B472" s="136" t="str">
        <x:v>Spawn | CSA Spawnpoint_PFord_Defend_CSA_17thSC-2 [map-21/010]</x:v>
      </x:c>
      <x:c r="C472" s="136" t="str">
        <x:v>spawn</x:v>
      </x:c>
      <x:c r="D472" s="136" t="str">
        <x:v>CSA</x:v>
      </x:c>
      <x:c r="E472" s="136" t="str">
        <x:v>Spawnpoint_PFord_Defend_CSA_17thSC-2</x:v>
      </x:c>
      <x:c r="F472" s="137" t="n">
        <x:v>2950.106201171875</x:v>
      </x:c>
      <x:c r="G472" s="137" t="n">
        <x:v>1579.5728759765625</x:v>
      </x:c>
      <x:c r="H472" s="137" t="n">
        <x:v>23.236345291137695</x:v>
      </x:c>
      <x:c r="I472" s="137" t="n">
        <x:v>1151.699957800201</x:v>
      </x:c>
      <x:c r="J472" s="137" t="n">
        <x:v>716.9508834039732</x:v>
      </x:c>
      <x:c r="K472" s="136" t="str">
        <x:v>map-21</x:v>
      </x:c>
      <x:c r="L472" s="136" t="str">
        <x:v>Antietam | Skirmish | Pry Ford||Spawn | CSA Spawnpoint_PFord_Defend_CSA_17thSC-2 [map-21/010]</x:v>
      </x:c>
      <x:c r="M472" s="35"/>
      <x:c r="N472" s="35"/>
      <x:c r="O472" s="35"/>
      <x:c r="P472" s="35"/>
      <x:c r="Q472" s="35"/>
      <x:c r="R472" s="35"/>
      <x:c r="S472" s="35"/>
      <x:c r="T472" s="35"/>
      <x:c r="U472" s="35"/>
      <x:c r="V472" s="35"/>
      <x:c r="W472" s="35"/>
      <x:c r="X472" s="35"/>
      <x:c r="Y472" s="35"/>
      <x:c r="Z472" s="35"/>
      <x:c r="AA472" s="35"/>
    </x:row>
    <x:row r="473">
      <x:c r="A473" s="136" t="str">
        <x:v>Antietam | Skirmish | Pry Ford</x:v>
      </x:c>
      <x:c r="B473" s="136" t="str">
        <x:v>Spawn | USA Spawnpoint_PFord_Base_USA_4thPA [map-21/011]</x:v>
      </x:c>
      <x:c r="C473" s="136" t="str">
        <x:v>spawn</x:v>
      </x:c>
      <x:c r="D473" s="136" t="str">
        <x:v>USA</x:v>
      </x:c>
      <x:c r="E473" s="136" t="str">
        <x:v>Spawnpoint_PFord_Base_USA_4thPA</x:v>
      </x:c>
      <x:c r="F473" s="137" t="n">
        <x:v>2765.373779296875</x:v>
      </x:c>
      <x:c r="G473" s="137" t="n">
        <x:v>1291.941650390625</x:v>
      </x:c>
      <x:c r="H473" s="137" t="n">
        <x:v>14.742204666137695</x:v>
      </x:c>
      <x:c r="I473" s="137" t="n">
        <x:v>1457.9975346593133</x:v>
      </x:c>
      <x:c r="J473" s="137" t="n">
        <x:v>1521.1824291362518</x:v>
      </x:c>
      <x:c r="K473" s="136" t="str">
        <x:v>map-21</x:v>
      </x:c>
      <x:c r="L473" s="136" t="str">
        <x:v>Antietam | Skirmish | Pry Ford||Spawn | USA Spawnpoint_PFord_Base_USA_4thPA [map-21/011]</x:v>
      </x:c>
      <x:c r="M473" s="35"/>
      <x:c r="N473" s="35"/>
      <x:c r="O473" s="35"/>
      <x:c r="P473" s="35"/>
      <x:c r="Q473" s="35"/>
      <x:c r="R473" s="35"/>
      <x:c r="S473" s="35"/>
      <x:c r="T473" s="35"/>
      <x:c r="U473" s="35"/>
      <x:c r="V473" s="35"/>
      <x:c r="W473" s="35"/>
      <x:c r="X473" s="35"/>
      <x:c r="Y473" s="35"/>
      <x:c r="Z473" s="35"/>
      <x:c r="AA473" s="35"/>
    </x:row>
    <x:row r="474">
      <x:c r="A474" s="136" t="str">
        <x:v>Antietam | Skirmish | Pry Ford</x:v>
      </x:c>
      <x:c r="B474" s="136" t="str">
        <x:v>Spawn | USA Spawnpoint_PFord_Base_USA_2ndUS [map-21/012]</x:v>
      </x:c>
      <x:c r="C474" s="136" t="str">
        <x:v>spawn</x:v>
      </x:c>
      <x:c r="D474" s="136" t="str">
        <x:v>USA</x:v>
      </x:c>
      <x:c r="E474" s="136" t="str">
        <x:v>Spawnpoint_PFord_Base_USA_2ndUS</x:v>
      </x:c>
      <x:c r="F474" s="137" t="n">
        <x:v>2761.52734375</x:v>
      </x:c>
      <x:c r="G474" s="137" t="n">
        <x:v>1310.6470947265625</x:v>
      </x:c>
      <x:c r="H474" s="137" t="n">
        <x:v>13.967705726623535</x:v>
      </x:c>
      <x:c r="I474" s="137" t="n">
        <x:v>1414.3499203929348</x:v>
      </x:c>
      <x:c r="J474" s="137" t="n">
        <x:v>1501.0591110764765</x:v>
      </x:c>
      <x:c r="K474" s="136" t="str">
        <x:v>map-21</x:v>
      </x:c>
      <x:c r="L474" s="136" t="str">
        <x:v>Antietam | Skirmish | Pry Ford||Spawn | USA Spawnpoint_PFord_Base_USA_2ndUS [map-21/012]</x:v>
      </x:c>
      <x:c r="M474" s="35"/>
      <x:c r="N474" s="35"/>
      <x:c r="O474" s="35"/>
      <x:c r="P474" s="35"/>
      <x:c r="Q474" s="35"/>
      <x:c r="R474" s="35"/>
      <x:c r="S474" s="35"/>
      <x:c r="T474" s="35"/>
      <x:c r="U474" s="35"/>
      <x:c r="V474" s="35"/>
      <x:c r="W474" s="35"/>
      <x:c r="X474" s="35"/>
      <x:c r="Y474" s="35"/>
      <x:c r="Z474" s="35"/>
      <x:c r="AA474" s="35"/>
    </x:row>
    <x:row r="475">
      <x:c r="A475" s="136" t="str">
        <x:v>Antietam | Skirmish | Pry Ford</x:v>
      </x:c>
      <x:c r="B475" s="136" t="str">
        <x:v>Artillery | USA Spawnpoint_PFord_USA_Arty_Base [map-21/013]</x:v>
      </x:c>
      <x:c r="C475" s="136" t="str">
        <x:v>battery</x:v>
      </x:c>
      <x:c r="D475" s="136" t="str">
        <x:v>USA</x:v>
      </x:c>
      <x:c r="E475" s="136" t="str">
        <x:v>Spawnpoint_PFord_USA_Arty_Base</x:v>
      </x:c>
      <x:c r="F475" s="137" t="n">
        <x:v>2766.263427734375</x:v>
      </x:c>
      <x:c r="G475" s="137" t="n">
        <x:v>1249.854248046875</x:v>
      </x:c>
      <x:c r="H475" s="137" t="n">
        <x:v>18.946853637695312</x:v>
      </x:c>
      <x:c r="I475" s="137" t="n">
        <x:v>1544.5880279978217</x:v>
      </x:c>
      <x:c r="J475" s="137" t="n">
        <x:v>1582.2139545766129</x:v>
      </x:c>
      <x:c r="K475" s="136" t="str">
        <x:v>map-21</x:v>
      </x:c>
      <x:c r="L475" s="136" t="str">
        <x:v>Antietam | Skirmish | Pry Ford||Artillery | USA Spawnpoint_PFord_USA_Arty_Base [map-21/013]</x:v>
      </x:c>
      <x:c r="M475" s="35"/>
      <x:c r="N475" s="35"/>
      <x:c r="O475" s="35"/>
      <x:c r="P475" s="35"/>
      <x:c r="Q475" s="35"/>
      <x:c r="R475" s="35"/>
      <x:c r="S475" s="35"/>
      <x:c r="T475" s="35"/>
      <x:c r="U475" s="35"/>
      <x:c r="V475" s="35"/>
      <x:c r="W475" s="35"/>
      <x:c r="X475" s="35"/>
      <x:c r="Y475" s="35"/>
      <x:c r="Z475" s="35"/>
      <x:c r="AA475" s="35"/>
    </x:row>
    <x:row r="476">
      <x:c r="A476" s="136" t="str">
        <x:v>Antietam | Skirmish | Pry Ford</x:v>
      </x:c>
      <x:c r="B476" s="136" t="str">
        <x:v>Objective | Victory_Pry_Ford [map-21/014]</x:v>
      </x:c>
      <x:c r="C476" s="136" t="str">
        <x:v>objective</x:v>
      </x:c>
      <x:c r="D476" s="136" t="str"/>
      <x:c r="E476" s="136" t="str">
        <x:v>Victory_Pry_Ford</x:v>
      </x:c>
      <x:c r="F476" s="137" t="n">
        <x:v>2949.55517578125</x:v>
      </x:c>
      <x:c r="G476" s="137" t="n">
        <x:v>1573.57470703125</x:v>
      </x:c>
      <x:c r="H476" s="137" t="n">
        <x:v>23.082887649536133</x:v>
      </x:c>
      <x:c r="I476" s="137" t="n">
        <x:v>1163.026494158778</x:v>
      </x:c>
      <x:c r="J476" s="137" t="n">
        <x:v>727.0241104726593</x:v>
      </x:c>
      <x:c r="K476" s="136" t="str">
        <x:v>map-21</x:v>
      </x:c>
      <x:c r="L476" s="136" t="str">
        <x:v>Antietam | Skirmish | Pry Ford||Objective | Victory_Pry_Ford [map-21/014]</x:v>
      </x:c>
      <x:c r="M476" s="35"/>
      <x:c r="N476" s="35"/>
      <x:c r="O476" s="35"/>
      <x:c r="P476" s="35"/>
      <x:c r="Q476" s="35"/>
      <x:c r="R476" s="35"/>
      <x:c r="S476" s="35"/>
      <x:c r="T476" s="35"/>
      <x:c r="U476" s="35"/>
      <x:c r="V476" s="35"/>
      <x:c r="W476" s="35"/>
      <x:c r="X476" s="35"/>
      <x:c r="Y476" s="35"/>
      <x:c r="Z476" s="35"/>
      <x:c r="AA476" s="35"/>
    </x:row>
    <x:row r="477">
      <x:c r="A477" s="136" t="str">
        <x:v>Antietam | Skirmish | Pry Ford</x:v>
      </x:c>
      <x:c r="B477" s="136" t="str">
        <x:v>Spawn | CSA Spawnpoint_PFord_Defend_CSA_17thSC [map-21/015]</x:v>
      </x:c>
      <x:c r="C477" s="136" t="str">
        <x:v>spawn</x:v>
      </x:c>
      <x:c r="D477" s="136" t="str">
        <x:v>CSA</x:v>
      </x:c>
      <x:c r="E477" s="136" t="str">
        <x:v>Spawnpoint_PFord_Defend_CSA_17thSC</x:v>
      </x:c>
      <x:c r="F477" s="137" t="n">
        <x:v>2936.233642578125</x:v>
      </x:c>
      <x:c r="G477" s="137" t="n">
        <x:v>1584.276123046875</x:v>
      </x:c>
      <x:c r="H477" s="137" t="n">
        <x:v>23.37298011779785</x:v>
      </x:c>
      <x:c r="I477" s="137" t="n">
        <x:v>1121.4175450969826</x:v>
      </x:c>
      <x:c r="J477" s="137" t="n">
        <x:v>738.0745486737396</x:v>
      </x:c>
      <x:c r="K477" s="136" t="str">
        <x:v>map-21</x:v>
      </x:c>
      <x:c r="L477" s="136" t="str">
        <x:v>Antietam | Skirmish | Pry Ford||Spawn | CSA Spawnpoint_PFord_Defend_CSA_17thSC [map-21/015]</x:v>
      </x:c>
      <x:c r="M477" s="35"/>
      <x:c r="N477" s="35"/>
      <x:c r="O477" s="35"/>
      <x:c r="P477" s="35"/>
      <x:c r="Q477" s="35"/>
      <x:c r="R477" s="35"/>
      <x:c r="S477" s="35"/>
      <x:c r="T477" s="35"/>
      <x:c r="U477" s="35"/>
      <x:c r="V477" s="35"/>
      <x:c r="W477" s="35"/>
      <x:c r="X477" s="35"/>
      <x:c r="Y477" s="35"/>
      <x:c r="Z477" s="35"/>
      <x:c r="AA477" s="35"/>
    </x:row>
    <x:row r="478">
      <x:c r="A478" s="136" t="str">
        <x:v>Antietam | Skirmish | Pry Ford</x:v>
      </x:c>
      <x:c r="B478" s="136" t="str">
        <x:v>Spawn | CSA Spawnpoint_PFord_Base_CSA_17thSC-2 [map-21/016]</x:v>
      </x:c>
      <x:c r="C478" s="136" t="str">
        <x:v>spawn</x:v>
      </x:c>
      <x:c r="D478" s="136" t="str">
        <x:v>CSA</x:v>
      </x:c>
      <x:c r="E478" s="136" t="str">
        <x:v>Spawnpoint_PFord_Base_CSA_17thSC-2</x:v>
      </x:c>
      <x:c r="F478" s="137" t="n">
        <x:v>2766.5673828125</x:v>
      </x:c>
      <x:c r="G478" s="137" t="n">
        <x:v>1745.8548583984375</x:v>
      </x:c>
      <x:c r="H478" s="137" t="n">
        <x:v>33.99738311767578</x:v>
      </x:c>
      <x:c r="I478" s="137" t="n">
        <x:v>540.2584965586449</x:v>
      </x:c>
      <x:c r="J478" s="137" t="n">
        <x:v>841.0681864323981</x:v>
      </x:c>
      <x:c r="K478" s="136" t="str">
        <x:v>map-21</x:v>
      </x:c>
      <x:c r="L478" s="136" t="str">
        <x:v>Antietam | Skirmish | Pry Ford||Spawn | CSA Spawnpoint_PFord_Base_CSA_17thSC-2 [map-21/016]</x:v>
      </x:c>
      <x:c r="M478" s="35"/>
      <x:c r="N478" s="35"/>
      <x:c r="O478" s="35"/>
      <x:c r="P478" s="35"/>
      <x:c r="Q478" s="35"/>
      <x:c r="R478" s="35"/>
      <x:c r="S478" s="35"/>
      <x:c r="T478" s="35"/>
      <x:c r="U478" s="35"/>
      <x:c r="V478" s="35"/>
      <x:c r="W478" s="35"/>
      <x:c r="X478" s="35"/>
      <x:c r="Y478" s="35"/>
      <x:c r="Z478" s="35"/>
      <x:c r="AA478" s="35"/>
    </x:row>
    <x:row r="479">
      <x:c r="A479" s="136" t="str">
        <x:v>Antietam | Skirmish | Pry Ford</x:v>
      </x:c>
      <x:c r="B479" s="136" t="str">
        <x:v>Spawn | USA Spawnpoint_PFord_Base_USA_10thUS [map-21/017]</x:v>
      </x:c>
      <x:c r="C479" s="136" t="str">
        <x:v>spawn</x:v>
      </x:c>
      <x:c r="D479" s="136" t="str">
        <x:v>USA</x:v>
      </x:c>
      <x:c r="E479" s="136" t="str">
        <x:v>Spawnpoint_PFord_Base_USA_10thUS</x:v>
      </x:c>
      <x:c r="F479" s="137" t="n">
        <x:v>2768.240966796875</x:v>
      </x:c>
      <x:c r="G479" s="137" t="n">
        <x:v>1269.8590087890625</x:v>
      </x:c>
      <x:c r="H479" s="137" t="n">
        <x:v>16.507516860961914</x:v>
      </x:c>
      <x:c r="I479" s="137" t="n">
        <x:v>1507.021530557786</x:v>
      </x:c>
      <x:c r="J479" s="137" t="n">
        <x:v>1548.334670642459</x:v>
      </x:c>
      <x:c r="K479" s="136" t="str">
        <x:v>map-21</x:v>
      </x:c>
      <x:c r="L479" s="136" t="str">
        <x:v>Antietam | Skirmish | Pry Ford||Spawn | USA Spawnpoint_PFord_Base_USA_10thUS [map-21/017]</x:v>
      </x:c>
      <x:c r="M479" s="35"/>
      <x:c r="N479" s="35"/>
      <x:c r="O479" s="35"/>
      <x:c r="P479" s="35"/>
      <x:c r="Q479" s="35"/>
      <x:c r="R479" s="35"/>
      <x:c r="S479" s="35"/>
      <x:c r="T479" s="35"/>
      <x:c r="U479" s="35"/>
      <x:c r="V479" s="35"/>
      <x:c r="W479" s="35"/>
      <x:c r="X479" s="35"/>
      <x:c r="Y479" s="35"/>
      <x:c r="Z479" s="35"/>
      <x:c r="AA479" s="35"/>
    </x:row>
    <x:row r="480">
      <x:c r="A480" s="136" t="str">
        <x:v>Antietam | Skirmish | Pry Ford</x:v>
      </x:c>
      <x:c r="B480" s="136" t="str">
        <x:v>Gun | 12-pounder Napoleon (USA) · Entity-1369 [map-21/018]</x:v>
      </x:c>
      <x:c r="C480" s="136" t="str">
        <x:v>gun_spawn</x:v>
      </x:c>
      <x:c r="D480" s="136" t="str"/>
      <x:c r="E480" s="136" t="str">
        <x:v>12-pounder Napoleon (USA) · Entity-1369</x:v>
      </x:c>
      <x:c r="F480" s="137" t="n">
        <x:v>2793.739990234375</x:v>
      </x:c>
      <x:c r="G480" s="137" t="n">
        <x:v>1483.4300537109375</x:v>
      </x:c>
      <x:c r="H480" s="137" t="n">
        <x:v>18.955516815185547</x:v>
      </x:c>
      <x:c r="I480" s="137" t="n">
        <x:v>1112.5242664069108</x:v>
      </x:c>
      <x:c r="J480" s="137" t="n">
        <x:v>1177.7388288423572</x:v>
      </x:c>
      <x:c r="K480" s="136" t="str">
        <x:v>map-21</x:v>
      </x:c>
      <x:c r="L480" s="136" t="str">
        <x:v>Antietam | Skirmish | Pry Ford||Gun | 12-pounder Napoleon (USA) · Entity-1369 [map-21/018]</x:v>
      </x:c>
      <x:c r="M480" s="35"/>
      <x:c r="N480" s="35"/>
      <x:c r="O480" s="35"/>
      <x:c r="P480" s="35"/>
      <x:c r="Q480" s="35"/>
      <x:c r="R480" s="35"/>
      <x:c r="S480" s="35"/>
      <x:c r="T480" s="35"/>
      <x:c r="U480" s="35"/>
      <x:c r="V480" s="35"/>
      <x:c r="W480" s="35"/>
      <x:c r="X480" s="35"/>
      <x:c r="Y480" s="35"/>
      <x:c r="Z480" s="35"/>
      <x:c r="AA480" s="35"/>
    </x:row>
    <x:row r="481">
      <x:c r="A481" s="136" t="str">
        <x:v>Antietam | Skirmish | Pry Ford</x:v>
      </x:c>
      <x:c r="B481" s="136" t="str">
        <x:v>Gun | 10-pounder Parrott · Entity-1384 [map-21/019]</x:v>
      </x:c>
      <x:c r="C481" s="136" t="str">
        <x:v>gun_spawn</x:v>
      </x:c>
      <x:c r="D481" s="136" t="str"/>
      <x:c r="E481" s="136" t="str">
        <x:v>10-pounder Parrott · Entity-1384</x:v>
      </x:c>
      <x:c r="F481" s="137" t="n">
        <x:v>2835.909912109375</x:v>
      </x:c>
      <x:c r="G481" s="137" t="n">
        <x:v>1746.969970703125</x:v>
      </x:c>
      <x:c r="H481" s="137" t="n">
        <x:v>35.783111572265625</x:v>
      </x:c>
      <x:c r="I481" s="137" t="n">
        <x:v>641.7427428009037</x:v>
      </x:c>
      <x:c r="J481" s="137" t="n">
        <x:v>698.7163618614761</x:v>
      </x:c>
      <x:c r="K481" s="136" t="str">
        <x:v>map-21</x:v>
      </x:c>
      <x:c r="L481" s="136" t="str">
        <x:v>Antietam | Skirmish | Pry Ford||Gun | 10-pounder Parrott · Entity-1384 [map-21/019]</x:v>
      </x:c>
      <x:c r="M481" s="35"/>
      <x:c r="N481" s="35"/>
      <x:c r="O481" s="35"/>
      <x:c r="P481" s="35"/>
      <x:c r="Q481" s="35"/>
      <x:c r="R481" s="35"/>
      <x:c r="S481" s="35"/>
      <x:c r="T481" s="35"/>
      <x:c r="U481" s="35"/>
      <x:c r="V481" s="35"/>
      <x:c r="W481" s="35"/>
      <x:c r="X481" s="35"/>
      <x:c r="Y481" s="35"/>
      <x:c r="Z481" s="35"/>
      <x:c r="AA481" s="35"/>
    </x:row>
    <x:row r="482">
      <x:c r="A482" s="136" t="str">
        <x:v>Antietam | Skirmish | Pry Ford</x:v>
      </x:c>
      <x:c r="B482" s="136" t="str">
        <x:v>Gun | 10-pounder Parrott · Entity-1381 [map-21/020]</x:v>
      </x:c>
      <x:c r="C482" s="136" t="str">
        <x:v>gun_spawn</x:v>
      </x:c>
      <x:c r="D482" s="136" t="str"/>
      <x:c r="E482" s="136" t="str">
        <x:v>10-pounder Parrott · Entity-1381</x:v>
      </x:c>
      <x:c r="F482" s="137" t="n">
        <x:v>2828.5400390625</x:v>
      </x:c>
      <x:c r="G482" s="137" t="n">
        <x:v>1745.5699462890625</x:v>
      </x:c>
      <x:c r="H482" s="137" t="n">
        <x:v>35.36442947387695</x:v>
      </x:c>
      <x:c r="I482" s="137" t="n">
        <x:v>633.5528221162662</x:v>
      </x:c>
      <x:c r="J482" s="137" t="n">
        <x:v>715.7591114347781</x:v>
      </x:c>
      <x:c r="K482" s="136" t="str">
        <x:v>map-21</x:v>
      </x:c>
      <x:c r="L482" s="136" t="str">
        <x:v>Antietam | Skirmish | Pry Ford||Gun | 10-pounder Parrott · Entity-1381 [map-21/020]</x:v>
      </x:c>
      <x:c r="M482" s="35"/>
      <x:c r="N482" s="35"/>
      <x:c r="O482" s="35"/>
      <x:c r="P482" s="35"/>
      <x:c r="Q482" s="35"/>
      <x:c r="R482" s="35"/>
      <x:c r="S482" s="35"/>
      <x:c r="T482" s="35"/>
      <x:c r="U482" s="35"/>
      <x:c r="V482" s="35"/>
      <x:c r="W482" s="35"/>
      <x:c r="X482" s="35"/>
      <x:c r="Y482" s="35"/>
      <x:c r="Z482" s="35"/>
      <x:c r="AA482" s="35"/>
    </x:row>
    <x:row r="483">
      <x:c r="A483" s="136" t="str">
        <x:v>Antietam | Skirmish | Pry Ford</x:v>
      </x:c>
      <x:c r="B483" s="136" t="str">
        <x:v>Gun | 3-inch Ordnance · Entity-1371 [map-21/021]</x:v>
      </x:c>
      <x:c r="C483" s="136" t="str">
        <x:v>gun_spawn</x:v>
      </x:c>
      <x:c r="D483" s="136" t="str"/>
      <x:c r="E483" s="136" t="str">
        <x:v>3-inch Ordnance · Entity-1371</x:v>
      </x:c>
      <x:c r="F483" s="137" t="n">
        <x:v>2789.4599609375</x:v>
      </x:c>
      <x:c r="G483" s="137" t="n">
        <x:v>1489</x:v>
      </x:c>
      <x:c r="H483" s="137" t="n">
        <x:v>18.372644424438477</x:v>
      </x:c>
      <x:c r="I483" s="137" t="n">
        <x:v>1094.8374810384666</x:v>
      </x:c>
      <x:c r="J483" s="137" t="n">
        <x:v>1178.1065191636792</x:v>
      </x:c>
      <x:c r="K483" s="136" t="str">
        <x:v>map-21</x:v>
      </x:c>
      <x:c r="L483" s="136" t="str">
        <x:v>Antietam | Skirmish | Pry Ford||Gun | 3-inch Ordnance · Entity-1371 [map-21/021]</x:v>
      </x:c>
      <x:c r="M483" s="35"/>
      <x:c r="N483" s="35"/>
      <x:c r="O483" s="35"/>
      <x:c r="P483" s="35"/>
      <x:c r="Q483" s="35"/>
      <x:c r="R483" s="35"/>
      <x:c r="S483" s="35"/>
      <x:c r="T483" s="35"/>
      <x:c r="U483" s="35"/>
      <x:c r="V483" s="35"/>
      <x:c r="W483" s="35"/>
      <x:c r="X483" s="35"/>
      <x:c r="Y483" s="35"/>
      <x:c r="Z483" s="35"/>
      <x:c r="AA483" s="35"/>
    </x:row>
    <x:row r="484">
      <x:c r="A484" s="136" t="str">
        <x:v>Antietam | Skirmish | Pry Ford</x:v>
      </x:c>
      <x:c r="B484" s="136" t="str">
        <x:v>Gun | 12-pounder Napoleon (USA) · Entity-1367 [map-21/022]</x:v>
      </x:c>
      <x:c r="C484" s="136" t="str">
        <x:v>gun_spawn</x:v>
      </x:c>
      <x:c r="D484" s="136" t="str"/>
      <x:c r="E484" s="136" t="str">
        <x:v>12-pounder Napoleon (USA) · Entity-1367</x:v>
      </x:c>
      <x:c r="F484" s="137" t="n">
        <x:v>2801.260009765625</x:v>
      </x:c>
      <x:c r="G484" s="137" t="n">
        <x:v>1472.3599853515625</x:v>
      </x:c>
      <x:c r="H484" s="137" t="n">
        <x:v>19.88578224182129</x:v>
      </x:c>
      <x:c r="I484" s="137" t="n">
        <x:v>1146.2003889606372</x:v>
      </x:c>
      <x:c r="J484" s="137" t="n">
        <x:v>1179.0093044312116</x:v>
      </x:c>
      <x:c r="K484" s="136" t="str">
        <x:v>map-21</x:v>
      </x:c>
      <x:c r="L484" s="136" t="str">
        <x:v>Antietam | Skirmish | Pry Ford||Gun | 12-pounder Napoleon (USA) · Entity-1367 [map-21/022]</x:v>
      </x:c>
      <x:c r="M484" s="35"/>
      <x:c r="N484" s="35"/>
      <x:c r="O484" s="35"/>
      <x:c r="P484" s="35"/>
      <x:c r="Q484" s="35"/>
      <x:c r="R484" s="35"/>
      <x:c r="S484" s="35"/>
      <x:c r="T484" s="35"/>
      <x:c r="U484" s="35"/>
      <x:c r="V484" s="35"/>
      <x:c r="W484" s="35"/>
      <x:c r="X484" s="35"/>
      <x:c r="Y484" s="35"/>
      <x:c r="Z484" s="35"/>
      <x:c r="AA484" s="35"/>
    </x:row>
    <x:row r="485">
      <x:c r="A485" s="136" t="str">
        <x:v>Antietam | Skirmish | Pry Ford</x:v>
      </x:c>
      <x:c r="B485" s="136" t="str">
        <x:v>Gun | 3-inch Ordnance · Entity-1372 [map-21/023]</x:v>
      </x:c>
      <x:c r="C485" s="136" t="str">
        <x:v>gun_spawn</x:v>
      </x:c>
      <x:c r="D485" s="136" t="str"/>
      <x:c r="E485" s="136" t="str">
        <x:v>3-inch Ordnance · Entity-1372</x:v>
      </x:c>
      <x:c r="F485" s="137" t="n">
        <x:v>2779.969970703125</x:v>
      </x:c>
      <x:c r="G485" s="137" t="n">
        <x:v>1501.9300537109375</x:v>
      </x:c>
      <x:c r="H485" s="137" t="n">
        <x:v>17.54159927368164</x:v>
      </x:c>
      <x:c r="I485" s="137" t="n">
        <x:v>1054.4461827964549</x:v>
      </x:c>
      <x:c r="J485" s="137" t="n">
        <x:v>1178.0558988101056</x:v>
      </x:c>
      <x:c r="K485" s="136" t="str">
        <x:v>map-21</x:v>
      </x:c>
      <x:c r="L485" s="136" t="str">
        <x:v>Antietam | Skirmish | Pry Ford||Gun | 3-inch Ordnance · Entity-1372 [map-21/023]</x:v>
      </x:c>
      <x:c r="M485" s="35"/>
      <x:c r="N485" s="35"/>
      <x:c r="O485" s="35"/>
      <x:c r="P485" s="35"/>
      <x:c r="Q485" s="35"/>
      <x:c r="R485" s="35"/>
      <x:c r="S485" s="35"/>
      <x:c r="T485" s="35"/>
      <x:c r="U485" s="35"/>
      <x:c r="V485" s="35"/>
      <x:c r="W485" s="35"/>
      <x:c r="X485" s="35"/>
      <x:c r="Y485" s="35"/>
      <x:c r="Z485" s="35"/>
      <x:c r="AA485" s="35"/>
    </x:row>
    <x:row r="486">
      <x:c r="A486" s="136" t="str">
        <x:v>Antietam | Skirmish | Pry Ford</x:v>
      </x:c>
      <x:c r="B486" s="136" t="str">
        <x:v>Gun | 12-pounder Napoleon (USA) · Entity-1382 [map-21/024]</x:v>
      </x:c>
      <x:c r="C486" s="136" t="str">
        <x:v>gun_spawn</x:v>
      </x:c>
      <x:c r="D486" s="136" t="str"/>
      <x:c r="E486" s="136" t="str">
        <x:v>12-pounder Napoleon (USA) · Entity-1382</x:v>
      </x:c>
      <x:c r="F486" s="137" t="n">
        <x:v>2812.300048828125</x:v>
      </x:c>
      <x:c r="G486" s="137" t="n">
        <x:v>1742.780029296875</x:v>
      </x:c>
      <x:c r="H486" s="137" t="n">
        <x:v>34.99021530151367</x:v>
      </x:c>
      <x:c r="I486" s="137" t="n">
        <x:v>614.9079439037333</x:v>
      </x:c>
      <x:c r="J486" s="137" t="n">
        <x:v>752.8732837324029</x:v>
      </x:c>
      <x:c r="K486" s="136" t="str">
        <x:v>map-21</x:v>
      </x:c>
      <x:c r="L486" s="136" t="str">
        <x:v>Antietam | Skirmish | Pry Ford||Gun | 12-pounder Napoleon (USA) · Entity-1382 [map-21/024]</x:v>
      </x:c>
      <x:c r="M486" s="35"/>
      <x:c r="N486" s="35"/>
      <x:c r="O486" s="35"/>
      <x:c r="P486" s="35"/>
      <x:c r="Q486" s="35"/>
      <x:c r="R486" s="35"/>
      <x:c r="S486" s="35"/>
      <x:c r="T486" s="35"/>
      <x:c r="U486" s="35"/>
      <x:c r="V486" s="35"/>
      <x:c r="W486" s="35"/>
      <x:c r="X486" s="35"/>
      <x:c r="Y486" s="35"/>
      <x:c r="Z486" s="35"/>
      <x:c r="AA486" s="35"/>
    </x:row>
    <x:row r="487">
      <x:c r="A487" s="136" t="str">
        <x:v>Antietam | Skirmish | Pry Ford</x:v>
      </x:c>
      <x:c r="B487" s="136" t="str">
        <x:v>Gun | 12-pounder Napoleon (USA) · Entity-1368 [map-21/025]</x:v>
      </x:c>
      <x:c r="C487" s="136" t="str">
        <x:v>gun_spawn</x:v>
      </x:c>
      <x:c r="D487" s="136" t="str"/>
      <x:c r="E487" s="136" t="str">
        <x:v>12-pounder Napoleon (USA) · Entity-1368</x:v>
      </x:c>
      <x:c r="F487" s="137" t="n">
        <x:v>2797.1201171875</x:v>
      </x:c>
      <x:c r="G487" s="137" t="n">
        <x:v>1478.199951171875</x:v>
      </x:c>
      <x:c r="H487" s="137" t="n">
        <x:v>19.404682159423828</x:v>
      </x:c>
      <x:c r="I487" s="137" t="n">
        <x:v>1128.1762637610982</x:v>
      </x:c>
      <x:c r="J487" s="137" t="n">
        <x:v>1178.6895363465119</x:v>
      </x:c>
      <x:c r="K487" s="136" t="str">
        <x:v>map-21</x:v>
      </x:c>
      <x:c r="L487" s="136" t="str">
        <x:v>Antietam | Skirmish | Pry Ford||Gun | 12-pounder Napoleon (USA) · Entity-1368 [map-21/025]</x:v>
      </x:c>
      <x:c r="M487" s="35"/>
      <x:c r="N487" s="35"/>
      <x:c r="O487" s="35"/>
      <x:c r="P487" s="35"/>
      <x:c r="Q487" s="35"/>
      <x:c r="R487" s="35"/>
      <x:c r="S487" s="35"/>
      <x:c r="T487" s="35"/>
      <x:c r="U487" s="35"/>
      <x:c r="V487" s="35"/>
      <x:c r="W487" s="35"/>
      <x:c r="X487" s="35"/>
      <x:c r="Y487" s="35"/>
      <x:c r="Z487" s="35"/>
      <x:c r="AA487" s="35"/>
    </x:row>
    <x:row r="488">
      <x:c r="A488" s="136" t="str">
        <x:v>Antietam | Skirmish | Pry Ford</x:v>
      </x:c>
      <x:c r="B488" s="136" t="str">
        <x:v>Gun | 10-pounder Parrott · Entity-1383 [map-21/026]</x:v>
      </x:c>
      <x:c r="C488" s="136" t="str">
        <x:v>gun_spawn</x:v>
      </x:c>
      <x:c r="D488" s="136" t="str"/>
      <x:c r="E488" s="136" t="str">
        <x:v>10-pounder Parrott · Entity-1383</x:v>
      </x:c>
      <x:c r="F488" s="137" t="n">
        <x:v>2820.3798828125</x:v>
      </x:c>
      <x:c r="G488" s="137" t="n">
        <x:v>1744.3299560546875</x:v>
      </x:c>
      <x:c r="H488" s="137" t="n">
        <x:v>35.09710693359375</x:v>
      </x:c>
      <x:c r="I488" s="137" t="n">
        <x:v>623.856367619115</x:v>
      </x:c>
      <x:c r="J488" s="137" t="n">
        <x:v>734.1663116235446</x:v>
      </x:c>
      <x:c r="K488" s="136" t="str">
        <x:v>map-21</x:v>
      </x:c>
      <x:c r="L488" s="136" t="str">
        <x:v>Antietam | Skirmish | Pry Ford||Gun | 10-pounder Parrott · Entity-1383 [map-21/026]</x:v>
      </x:c>
      <x:c r="M488" s="35"/>
      <x:c r="N488" s="35"/>
      <x:c r="O488" s="35"/>
      <x:c r="P488" s="35"/>
      <x:c r="Q488" s="35"/>
      <x:c r="R488" s="35"/>
      <x:c r="S488" s="35"/>
      <x:c r="T488" s="35"/>
      <x:c r="U488" s="35"/>
      <x:c r="V488" s="35"/>
      <x:c r="W488" s="35"/>
      <x:c r="X488" s="35"/>
      <x:c r="Y488" s="35"/>
      <x:c r="Z488" s="35"/>
      <x:c r="AA488" s="35"/>
    </x:row>
    <x:row r="489">
      <x:c r="A489" s="136" t="str">
        <x:v>Antietam | Skirmish | Pry Ford</x:v>
      </x:c>
      <x:c r="B489" s="136" t="str">
        <x:v>Gun | 3-inch Ordnance · Entity-1370 [map-21/027]</x:v>
      </x:c>
      <x:c r="C489" s="136" t="str">
        <x:v>gun_spawn</x:v>
      </x:c>
      <x:c r="D489" s="136" t="str"/>
      <x:c r="E489" s="136" t="str">
        <x:v>3-inch Ordnance · Entity-1370</x:v>
      </x:c>
      <x:c r="F489" s="137" t="n">
        <x:v>2784.469970703125</x:v>
      </x:c>
      <x:c r="G489" s="137" t="n">
        <x:v>1494.9200439453125</x:v>
      </x:c>
      <x:c r="H489" s="137" t="n">
        <x:v>17.836872100830078</x:v>
      </x:c>
      <x:c r="I489" s="137" t="n">
        <x:v>1075.3793065086847</x:v>
      </x:c>
      <x:c r="J489" s="137" t="n">
        <x:v>1179.391931847554</x:v>
      </x:c>
      <x:c r="K489" s="136" t="str">
        <x:v>map-21</x:v>
      </x:c>
      <x:c r="L489" s="136" t="str">
        <x:v>Antietam | Skirmish | Pry Ford||Gun | 3-inch Ordnance · Entity-1370 [map-21/027]</x:v>
      </x:c>
      <x:c r="M489" s="35"/>
      <x:c r="N489" s="35"/>
      <x:c r="O489" s="35"/>
      <x:c r="P489" s="35"/>
      <x:c r="Q489" s="35"/>
      <x:c r="R489" s="35"/>
      <x:c r="S489" s="35"/>
      <x:c r="T489" s="35"/>
      <x:c r="U489" s="35"/>
      <x:c r="V489" s="35"/>
      <x:c r="W489" s="35"/>
      <x:c r="X489" s="35"/>
      <x:c r="Y489" s="35"/>
      <x:c r="Z489" s="35"/>
      <x:c r="AA489" s="35"/>
    </x:row>
    <x:row r="490">
      <x:c r="A490" s="136" t="str">
        <x:v>Antietam | Skirmish | Pry Ford</x:v>
      </x:c>
      <x:c r="B490" s="136" t="str">
        <x:v>Gun | 12-pounder Napoleon (CSA) · Entity-1380 [map-21/028]</x:v>
      </x:c>
      <x:c r="C490" s="136" t="str">
        <x:v>gun_spawn</x:v>
      </x:c>
      <x:c r="D490" s="136" t="str"/>
      <x:c r="E490" s="136" t="str">
        <x:v>12-pounder Napoleon (CSA) · Entity-1380</x:v>
      </x:c>
      <x:c r="F490" s="137" t="n">
        <x:v>2796.330078125</x:v>
      </x:c>
      <x:c r="G490" s="137" t="n">
        <x:v>1739.27001953125</x:v>
      </x:c>
      <x:c r="H490" s="137" t="n">
        <x:v>34.47020721435547</x:v>
      </x:c>
      <x:c r="I490" s="137" t="n">
        <x:v>598.1257853004752</x:v>
      </x:c>
      <x:c r="J490" s="137" t="n">
        <x:v>790.5147203254757</x:v>
      </x:c>
      <x:c r="K490" s="136" t="str">
        <x:v>map-21</x:v>
      </x:c>
      <x:c r="L490" s="136" t="str">
        <x:v>Antietam | Skirmish | Pry Ford||Gun | 12-pounder Napoleon (CSA) · Entity-1380 [map-21/028]</x:v>
      </x:c>
      <x:c r="M490" s="35"/>
      <x:c r="N490" s="35"/>
      <x:c r="O490" s="35"/>
      <x:c r="P490" s="35"/>
      <x:c r="Q490" s="35"/>
      <x:c r="R490" s="35"/>
      <x:c r="S490" s="35"/>
      <x:c r="T490" s="35"/>
      <x:c r="U490" s="35"/>
      <x:c r="V490" s="35"/>
      <x:c r="W490" s="35"/>
      <x:c r="X490" s="35"/>
      <x:c r="Y490" s="35"/>
      <x:c r="Z490" s="35"/>
      <x:c r="AA490" s="35"/>
    </x:row>
    <x:row r="491">
      <x:c r="A491" s="136" t="str">
        <x:v>Antietam | Skirmish | Pry Ford</x:v>
      </x:c>
      <x:c r="B491" s="136" t="str">
        <x:v>Gun | 12-pounder Napoleon (CSA) · Entity-1379 [map-21/029]</x:v>
      </x:c>
      <x:c r="C491" s="136" t="str">
        <x:v>gun_spawn</x:v>
      </x:c>
      <x:c r="D491" s="136" t="str"/>
      <x:c r="E491" s="136" t="str">
        <x:v>12-pounder Napoleon (CSA) · Entity-1379</x:v>
      </x:c>
      <x:c r="F491" s="137" t="n">
        <x:v>2803.77001953125</x:v>
      </x:c>
      <x:c r="G491" s="137" t="n">
        <x:v>1741.6700439453125</x:v>
      </x:c>
      <x:c r="H491" s="137" t="n">
        <x:v>34.801509857177734</x:v>
      </x:c>
      <x:c r="I491" s="137" t="n">
        <x:v>604.3947628465714</x:v>
      </x:c>
      <x:c r="J491" s="137" t="n">
        <x:v>771.8368108299485</x:v>
      </x:c>
      <x:c r="K491" s="136" t="str">
        <x:v>map-21</x:v>
      </x:c>
      <x:c r="L491" s="136" t="str">
        <x:v>Antietam | Skirmish | Pry Ford||Gun | 12-pounder Napoleon (CSA) · Entity-1379 [map-21/029]</x:v>
      </x:c>
      <x:c r="M491" s="35"/>
      <x:c r="N491" s="35"/>
      <x:c r="O491" s="35"/>
      <x:c r="P491" s="35"/>
      <x:c r="Q491" s="35"/>
      <x:c r="R491" s="35"/>
      <x:c r="S491" s="35"/>
      <x:c r="T491" s="35"/>
      <x:c r="U491" s="35"/>
      <x:c r="V491" s="35"/>
      <x:c r="W491" s="35"/>
      <x:c r="X491" s="35"/>
      <x:c r="Y491" s="35"/>
      <x:c r="Z491" s="35"/>
      <x:c r="AA491" s="35"/>
    </x:row>
    <x:row r="492">
      <x:c r="A492" s="136" t="str">
        <x:v>Antietam | Skirmish | Pry Grist Mill</x:v>
      </x:c>
      <x:c r="B492" s="136" t="str">
        <x:v>Spawn | USA Spawnpoint_PGM_Base_USA_2ndUS [map-22/001]</x:v>
      </x:c>
      <x:c r="C492" s="136" t="str">
        <x:v>spawn</x:v>
      </x:c>
      <x:c r="D492" s="136" t="str">
        <x:v>USA</x:v>
      </x:c>
      <x:c r="E492" s="136" t="str">
        <x:v>Spawnpoint_PGM_Base_USA_2ndUS</x:v>
      </x:c>
      <x:c r="F492" s="137" t="n">
        <x:v>2741.197021484375</x:v>
      </x:c>
      <x:c r="G492" s="137" t="n">
        <x:v>1098.7674560546875</x:v>
      </x:c>
      <x:c r="H492" s="137" t="n">
        <x:v>23.456892013549805</x:v>
      </x:c>
      <x:c r="I492" s="137" t="n">
        <x:v>428.91258256883845</x:v>
      </x:c>
      <x:c r="J492" s="137" t="n">
        <x:v>1262.5163428664625</x:v>
      </x:c>
      <x:c r="K492" s="136" t="str">
        <x:v>map-22</x:v>
      </x:c>
      <x:c r="L492" s="136" t="str">
        <x:v>Antietam | Skirmish | Pry Grist Mill||Spawn | USA Spawnpoint_PGM_Base_USA_2ndUS [map-22/001]</x:v>
      </x:c>
      <x:c r="M492" s="35"/>
      <x:c r="N492" s="35"/>
      <x:c r="O492" s="35"/>
      <x:c r="P492" s="35"/>
      <x:c r="Q492" s="35"/>
      <x:c r="R492" s="35"/>
      <x:c r="S492" s="35"/>
      <x:c r="T492" s="35"/>
      <x:c r="U492" s="35"/>
      <x:c r="V492" s="35"/>
      <x:c r="W492" s="35"/>
      <x:c r="X492" s="35"/>
      <x:c r="Y492" s="35"/>
      <x:c r="Z492" s="35"/>
      <x:c r="AA492" s="35"/>
    </x:row>
    <x:row r="493">
      <x:c r="A493" s="136" t="str">
        <x:v>Antietam | Skirmish | Pry Grist Mill</x:v>
      </x:c>
      <x:c r="B493" s="136" t="str">
        <x:v>Spawn | CSA Spawnpoint_PGM_Base_CSA_1stGA [map-22/002]</x:v>
      </x:c>
      <x:c r="C493" s="136" t="str">
        <x:v>spawn</x:v>
      </x:c>
      <x:c r="D493" s="136" t="str">
        <x:v>CSA</x:v>
      </x:c>
      <x:c r="E493" s="136" t="str">
        <x:v>Spawnpoint_PGM_Base_CSA_1stGA</x:v>
      </x:c>
      <x:c r="F493" s="137" t="n">
        <x:v>3083.102294921875</x:v>
      </x:c>
      <x:c r="G493" s="137" t="n">
        <x:v>1066.6893310546875</x:v>
      </x:c>
      <x:c r="H493" s="137" t="n">
        <x:v>19.483591079711914</x:v>
      </x:c>
      <x:c r="I493" s="137" t="n">
        <x:v>1142.4867465645318</x:v>
      </x:c>
      <x:c r="J493" s="137" t="n">
        <x:v>468.96746891307964</x:v>
      </x:c>
      <x:c r="K493" s="136" t="str">
        <x:v>map-22</x:v>
      </x:c>
      <x:c r="L493" s="136" t="str">
        <x:v>Antietam | Skirmish | Pry Grist Mill||Spawn | CSA Spawnpoint_PGM_Base_CSA_1stGA [map-22/002]</x:v>
      </x:c>
      <x:c r="M493" s="35"/>
      <x:c r="N493" s="35"/>
      <x:c r="O493" s="35"/>
      <x:c r="P493" s="35"/>
      <x:c r="Q493" s="35"/>
      <x:c r="R493" s="35"/>
      <x:c r="S493" s="35"/>
      <x:c r="T493" s="35"/>
      <x:c r="U493" s="35"/>
      <x:c r="V493" s="35"/>
      <x:c r="W493" s="35"/>
      <x:c r="X493" s="35"/>
      <x:c r="Y493" s="35"/>
      <x:c r="Z493" s="35"/>
      <x:c r="AA493" s="35"/>
    </x:row>
    <x:row r="494">
      <x:c r="A494" s="136" t="str">
        <x:v>Antietam | Skirmish | Pry Grist Mill</x:v>
      </x:c>
      <x:c r="B494" s="136" t="str">
        <x:v>Objective | Victory_Pry_Grist_Mill [map-22/003]</x:v>
      </x:c>
      <x:c r="C494" s="136" t="str">
        <x:v>objective</x:v>
      </x:c>
      <x:c r="D494" s="136" t="str"/>
      <x:c r="E494" s="136" t="str">
        <x:v>Victory_Pry_Grist_Mill</x:v>
      </x:c>
      <x:c r="F494" s="137" t="n">
        <x:v>2905.046875</x:v>
      </x:c>
      <x:c r="G494" s="137" t="n">
        <x:v>1050.996337890625</x:v>
      </x:c>
      <x:c r="H494" s="137" t="n">
        <x:v>10.34549617767334</x:v>
      </x:c>
      <x:c r="I494" s="137" t="n">
        <x:v>851.8698184495175</x:v>
      </x:c>
      <x:c r="J494" s="137" t="n">
        <x:v>942.3985608639151</x:v>
      </x:c>
      <x:c r="K494" s="136" t="str">
        <x:v>map-22</x:v>
      </x:c>
      <x:c r="L494" s="136" t="str">
        <x:v>Antietam | Skirmish | Pry Grist Mill||Objective | Victory_Pry_Grist_Mill [map-22/003]</x:v>
      </x:c>
      <x:c r="M494" s="35"/>
      <x:c r="N494" s="35"/>
      <x:c r="O494" s="35"/>
      <x:c r="P494" s="35"/>
      <x:c r="Q494" s="35"/>
      <x:c r="R494" s="35"/>
      <x:c r="S494" s="35"/>
      <x:c r="T494" s="35"/>
      <x:c r="U494" s="35"/>
      <x:c r="V494" s="35"/>
      <x:c r="W494" s="35"/>
      <x:c r="X494" s="35"/>
      <x:c r="Y494" s="35"/>
      <x:c r="Z494" s="35"/>
      <x:c r="AA494" s="35"/>
    </x:row>
    <x:row r="495">
      <x:c r="A495" s="136" t="str">
        <x:v>Antietam | Skirmish | Pry Grist Mill</x:v>
      </x:c>
      <x:c r="B495" s="136" t="str">
        <x:v>Spawn | USA Spawnpoint_PGM_Base_USA_10thUS [map-22/004]</x:v>
      </x:c>
      <x:c r="C495" s="136" t="str">
        <x:v>spawn</x:v>
      </x:c>
      <x:c r="D495" s="136" t="str">
        <x:v>USA</x:v>
      </x:c>
      <x:c r="E495" s="136" t="str">
        <x:v>Spawnpoint_PGM_Base_USA_10thUS</x:v>
      </x:c>
      <x:c r="F495" s="137" t="n">
        <x:v>2717.46337890625</x:v>
      </x:c>
      <x:c r="G495" s="137" t="n">
        <x:v>1119.6485595703125</x:v>
      </x:c>
      <x:c r="H495" s="137" t="n">
        <x:v>24.06976318359375</x:v>
      </x:c>
      <x:c r="I495" s="137" t="n">
        <x:v>332.74450249969715</x:v>
      </x:c>
      <x:c r="J495" s="137" t="n">
        <x:v>1282.955746633061</x:v>
      </x:c>
      <x:c r="K495" s="136" t="str">
        <x:v>map-22</x:v>
      </x:c>
      <x:c r="L495" s="136" t="str">
        <x:v>Antietam | Skirmish | Pry Grist Mill||Spawn | USA Spawnpoint_PGM_Base_USA_10thUS [map-22/004]</x:v>
      </x:c>
      <x:c r="M495" s="35"/>
      <x:c r="N495" s="35"/>
      <x:c r="O495" s="35"/>
      <x:c r="P495" s="35"/>
      <x:c r="Q495" s="35"/>
      <x:c r="R495" s="35"/>
      <x:c r="S495" s="35"/>
      <x:c r="T495" s="35"/>
      <x:c r="U495" s="35"/>
      <x:c r="V495" s="35"/>
      <x:c r="W495" s="35"/>
      <x:c r="X495" s="35"/>
      <x:c r="Y495" s="35"/>
      <x:c r="Z495" s="35"/>
      <x:c r="AA495" s="35"/>
    </x:row>
    <x:row r="496">
      <x:c r="A496" s="136" t="str">
        <x:v>Antietam | Skirmish | Pry Grist Mill</x:v>
      </x:c>
      <x:c r="B496" s="136" t="str">
        <x:v>Spawn | CSA Spawnpoint_PGM_Base_CSA_Holc [map-22/005]</x:v>
      </x:c>
      <x:c r="C496" s="136" t="str">
        <x:v>spawn</x:v>
      </x:c>
      <x:c r="D496" s="136" t="str">
        <x:v>CSA</x:v>
      </x:c>
      <x:c r="E496" s="136" t="str">
        <x:v>Spawnpoint_PGM_Base_CSA_Holc</x:v>
      </x:c>
      <x:c r="F496" s="137" t="n">
        <x:v>3046.79296875</x:v>
      </x:c>
      <x:c r="G496" s="137" t="n">
        <x:v>1074.4229736328125</x:v>
      </x:c>
      <x:c r="H496" s="137" t="n">
        <x:v>17.493064880371094</x:v>
      </x:c>
      <x:c r="I496" s="137" t="n">
        <x:v>1055.8899638471155</x:v>
      </x:c>
      <x:c r="J496" s="137" t="n">
        <x:v>545.2036966549056</x:v>
      </x:c>
      <x:c r="K496" s="136" t="str">
        <x:v>map-22</x:v>
      </x:c>
      <x:c r="L496" s="136" t="str">
        <x:v>Antietam | Skirmish | Pry Grist Mill||Spawn | CSA Spawnpoint_PGM_Base_CSA_Holc [map-22/005]</x:v>
      </x:c>
      <x:c r="M496" s="35"/>
      <x:c r="N496" s="35"/>
      <x:c r="O496" s="35"/>
      <x:c r="P496" s="35"/>
      <x:c r="Q496" s="35"/>
      <x:c r="R496" s="35"/>
      <x:c r="S496" s="35"/>
      <x:c r="T496" s="35"/>
      <x:c r="U496" s="35"/>
      <x:c r="V496" s="35"/>
      <x:c r="W496" s="35"/>
      <x:c r="X496" s="35"/>
      <x:c r="Y496" s="35"/>
      <x:c r="Z496" s="35"/>
      <x:c r="AA496" s="35"/>
    </x:row>
    <x:row r="497">
      <x:c r="A497" s="136" t="str">
        <x:v>Antietam | Skirmish | Pry Grist Mill</x:v>
      </x:c>
      <x:c r="B497" s="136" t="str">
        <x:v>Spawn | CSA Spawnpoint_PGM_Base_CSA_Holc-2 [map-22/006]</x:v>
      </x:c>
      <x:c r="C497" s="136" t="str">
        <x:v>spawn</x:v>
      </x:c>
      <x:c r="D497" s="136" t="str">
        <x:v>CSA</x:v>
      </x:c>
      <x:c r="E497" s="136" t="str">
        <x:v>Spawnpoint_PGM_Base_CSA_Holc-2</x:v>
      </x:c>
      <x:c r="F497" s="137" t="n">
        <x:v>3064.080078125</x:v>
      </x:c>
      <x:c r="G497" s="137" t="n">
        <x:v>1070.34619140625</x:v>
      </x:c>
      <x:c r="H497" s="137" t="n">
        <x:v>18.23200225830078</x:v>
      </x:c>
      <x:c r="I497" s="137" t="n">
        <x:v>1098.1060971693976</x:v>
      </x:c>
      <x:c r="J497" s="137" t="n">
        <x:v>509.6402568738729</x:v>
      </x:c>
      <x:c r="K497" s="136" t="str">
        <x:v>map-22</x:v>
      </x:c>
      <x:c r="L497" s="136" t="str">
        <x:v>Antietam | Skirmish | Pry Grist Mill||Spawn | CSA Spawnpoint_PGM_Base_CSA_Holc-2 [map-22/006]</x:v>
      </x:c>
      <x:c r="M497" s="35"/>
      <x:c r="N497" s="35"/>
      <x:c r="O497" s="35"/>
      <x:c r="P497" s="35"/>
      <x:c r="Q497" s="35"/>
      <x:c r="R497" s="35"/>
      <x:c r="S497" s="35"/>
      <x:c r="T497" s="35"/>
      <x:c r="U497" s="35"/>
      <x:c r="V497" s="35"/>
      <x:c r="W497" s="35"/>
      <x:c r="X497" s="35"/>
      <x:c r="Y497" s="35"/>
      <x:c r="Z497" s="35"/>
      <x:c r="AA497" s="35"/>
    </x:row>
    <x:row r="498">
      <x:c r="A498" s="136" t="str">
        <x:v>Antietam | Skirmish | Pry Grist Mill</x:v>
      </x:c>
      <x:c r="B498" s="136" t="str">
        <x:v>Spawn | CSA Spawnpoint_PGM_Base_CSA_Jeff [map-22/007]</x:v>
      </x:c>
      <x:c r="C498" s="136" t="str">
        <x:v>spawn</x:v>
      </x:c>
      <x:c r="D498" s="136" t="str">
        <x:v>CSA</x:v>
      </x:c>
      <x:c r="E498" s="136" t="str">
        <x:v>Spawnpoint_PGM_Base_CSA_Jeff</x:v>
      </x:c>
      <x:c r="F498" s="137" t="n">
        <x:v>3102.549072265625</x:v>
      </x:c>
      <x:c r="G498" s="137" t="n">
        <x:v>1061.8544921875</x:v>
      </x:c>
      <x:c r="H498" s="137" t="n">
        <x:v>19.562889099121094</x:v>
      </x:c>
      <x:c r="I498" s="137" t="n">
        <x:v>1190.5987662973985</x:v>
      </x:c>
      <x:c r="J498" s="137" t="n">
        <x:v>429.4230902933</x:v>
      </x:c>
      <x:c r="K498" s="136" t="str">
        <x:v>map-22</x:v>
      </x:c>
      <x:c r="L498" s="136" t="str">
        <x:v>Antietam | Skirmish | Pry Grist Mill||Spawn | CSA Spawnpoint_PGM_Base_CSA_Jeff [map-22/007]</x:v>
      </x:c>
      <x:c r="M498" s="35"/>
      <x:c r="N498" s="35"/>
      <x:c r="O498" s="35"/>
      <x:c r="P498" s="35"/>
      <x:c r="Q498" s="35"/>
      <x:c r="R498" s="35"/>
      <x:c r="S498" s="35"/>
      <x:c r="T498" s="35"/>
      <x:c r="U498" s="35"/>
      <x:c r="V498" s="35"/>
      <x:c r="W498" s="35"/>
      <x:c r="X498" s="35"/>
      <x:c r="Y498" s="35"/>
      <x:c r="Z498" s="35"/>
      <x:c r="AA498" s="35"/>
    </x:row>
    <x:row r="499">
      <x:c r="A499" s="136" t="str">
        <x:v>Antietam | Skirmish | Pry Grist Mill</x:v>
      </x:c>
      <x:c r="B499" s="136" t="str">
        <x:v>Spawn | USA Spawnpoint_PGM_Base_USA_6thPA [map-22/008]</x:v>
      </x:c>
      <x:c r="C499" s="136" t="str">
        <x:v>spawn</x:v>
      </x:c>
      <x:c r="D499" s="136" t="str">
        <x:v>USA</x:v>
      </x:c>
      <x:c r="E499" s="136" t="str">
        <x:v>Spawnpoint_PGM_Base_USA_6thPA</x:v>
      </x:c>
      <x:c r="F499" s="137" t="n">
        <x:v>2718.268310546875</x:v>
      </x:c>
      <x:c r="G499" s="137" t="n">
        <x:v>1103.195556640625</x:v>
      </x:c>
      <x:c r="H499" s="137" t="n">
        <x:v>24.92780303955078</x:v>
      </x:c>
      <x:c r="I499" s="137" t="n">
        <x:v>375.367085968769</x:v>
      </x:c>
      <x:c r="J499" s="137" t="n">
        <x:v>1311.5042821645152</x:v>
      </x:c>
      <x:c r="K499" s="136" t="str">
        <x:v>map-22</x:v>
      </x:c>
      <x:c r="L499" s="136" t="str">
        <x:v>Antietam | Skirmish | Pry Grist Mill||Spawn | USA Spawnpoint_PGM_Base_USA_6thPA [map-22/008]</x:v>
      </x:c>
      <x:c r="M499" s="35"/>
      <x:c r="N499" s="35"/>
      <x:c r="O499" s="35"/>
      <x:c r="P499" s="35"/>
      <x:c r="Q499" s="35"/>
      <x:c r="R499" s="35"/>
      <x:c r="S499" s="35"/>
      <x:c r="T499" s="35"/>
      <x:c r="U499" s="35"/>
      <x:c r="V499" s="35"/>
      <x:c r="W499" s="35"/>
      <x:c r="X499" s="35"/>
      <x:c r="Y499" s="35"/>
      <x:c r="Z499" s="35"/>
      <x:c r="AA499" s="35"/>
    </x:row>
    <x:row r="500">
      <x:c r="A500" s="136" t="str">
        <x:v>Antietam | Skirmish | Pry Grist Mill</x:v>
      </x:c>
      <x:c r="B500" s="136" t="str">
        <x:v>Spawn | USA Spawnpoint_PGM_Base_USA_10thUS-2 [map-22/009]</x:v>
      </x:c>
      <x:c r="C500" s="136" t="str">
        <x:v>spawn</x:v>
      </x:c>
      <x:c r="D500" s="136" t="str">
        <x:v>USA</x:v>
      </x:c>
      <x:c r="E500" s="136" t="str">
        <x:v>Spawnpoint_PGM_Base_USA_10thUS-2</x:v>
      </x:c>
      <x:c r="F500" s="137" t="n">
        <x:v>2736.2470703125</x:v>
      </x:c>
      <x:c r="G500" s="137" t="n">
        <x:v>1116.0225830078125</x:v>
      </x:c>
      <x:c r="H500" s="137" t="n">
        <x:v>23.615966796875</x:v>
      </x:c>
      <x:c r="I500" s="137" t="n">
        <x:v>376.60607515125065</x:v>
      </x:c>
      <x:c r="J500" s="137" t="n">
        <x:v>1242.820771224846</x:v>
      </x:c>
      <x:c r="K500" s="136" t="str">
        <x:v>map-22</x:v>
      </x:c>
      <x:c r="L500" s="136" t="str">
        <x:v>Antietam | Skirmish | Pry Grist Mill||Spawn | USA Spawnpoint_PGM_Base_USA_10thUS-2 [map-22/009]</x:v>
      </x:c>
      <x:c r="M500" s="35"/>
      <x:c r="N500" s="35"/>
      <x:c r="O500" s="35"/>
      <x:c r="P500" s="35"/>
      <x:c r="Q500" s="35"/>
      <x:c r="R500" s="35"/>
      <x:c r="S500" s="35"/>
      <x:c r="T500" s="35"/>
      <x:c r="U500" s="35"/>
      <x:c r="V500" s="35"/>
      <x:c r="W500" s="35"/>
      <x:c r="X500" s="35"/>
      <x:c r="Y500" s="35"/>
      <x:c r="Z500" s="35"/>
      <x:c r="AA500" s="35"/>
    </x:row>
    <x:row r="501">
      <x:c r="A501" s="136" t="str">
        <x:v>Antietam | Skirmish | Pry House</x:v>
      </x:c>
      <x:c r="B501" s="136" t="str">
        <x:v>Spawn | CSA Spawnpoint_PH_Base_CSA_8thAL-2 [map-23/001]</x:v>
      </x:c>
      <x:c r="C501" s="136" t="str">
        <x:v>spawn</x:v>
      </x:c>
      <x:c r="D501" s="136" t="str">
        <x:v>CSA</x:v>
      </x:c>
      <x:c r="E501" s="136" t="str">
        <x:v>Spawnpoint_PH_Base_CSA_8thAL-2</x:v>
      </x:c>
      <x:c r="F501" s="137" t="n">
        <x:v>1657.7861328125</x:v>
      </x:c>
      <x:c r="G501" s="137" t="n">
        <x:v>500.5627136230469</x:v>
      </x:c>
      <x:c r="H501" s="137" t="n">
        <x:v>52.439483642578125</x:v>
      </x:c>
      <x:c r="I501" s="137" t="n">
        <x:v>838.8713863960407</x:v>
      </x:c>
      <x:c r="J501" s="137" t="n">
        <x:v>1634.2760456758683</x:v>
      </x:c>
      <x:c r="K501" s="136" t="str">
        <x:v>map-23</x:v>
      </x:c>
      <x:c r="L501" s="136" t="str">
        <x:v>Antietam | Skirmish | Pry House||Spawn | CSA Spawnpoint_PH_Base_CSA_8thAL-2 [map-23/001]</x:v>
      </x:c>
      <x:c r="M501" s="35"/>
      <x:c r="N501" s="35"/>
      <x:c r="O501" s="35"/>
      <x:c r="P501" s="35"/>
      <x:c r="Q501" s="35"/>
      <x:c r="R501" s="35"/>
      <x:c r="S501" s="35"/>
      <x:c r="T501" s="35"/>
      <x:c r="U501" s="35"/>
      <x:c r="V501" s="35"/>
      <x:c r="W501" s="35"/>
      <x:c r="X501" s="35"/>
      <x:c r="Y501" s="35"/>
      <x:c r="Z501" s="35"/>
      <x:c r="AA501" s="35"/>
    </x:row>
    <x:row r="502">
      <x:c r="A502" s="136" t="str">
        <x:v>Antietam | Skirmish | Pry House</x:v>
      </x:c>
      <x:c r="B502" s="136" t="str">
        <x:v>Spawn | CSA Spawnpoint_PH_Base_CSA_8thAL [map-23/002]</x:v>
      </x:c>
      <x:c r="C502" s="136" t="str">
        <x:v>spawn</x:v>
      </x:c>
      <x:c r="D502" s="136" t="str">
        <x:v>CSA</x:v>
      </x:c>
      <x:c r="E502" s="136" t="str">
        <x:v>Spawnpoint_PH_Base_CSA_8thAL</x:v>
      </x:c>
      <x:c r="F502" s="137" t="n">
        <x:v>1662.59716796875</x:v>
      </x:c>
      <x:c r="G502" s="137" t="n">
        <x:v>509.34661865234375</x:v>
      </x:c>
      <x:c r="H502" s="137" t="n">
        <x:v>52.403968811035156</x:v>
      </x:c>
      <x:c r="I502" s="137" t="n">
        <x:v>827.7593094285005</x:v>
      </x:c>
      <x:c r="J502" s="137" t="n">
        <x:v>1609.3676866033388</x:v>
      </x:c>
      <x:c r="K502" s="136" t="str">
        <x:v>map-23</x:v>
      </x:c>
      <x:c r="L502" s="136" t="str">
        <x:v>Antietam | Skirmish | Pry House||Spawn | CSA Spawnpoint_PH_Base_CSA_8thAL [map-23/002]</x:v>
      </x:c>
      <x:c r="M502" s="35"/>
      <x:c r="N502" s="35"/>
      <x:c r="O502" s="35"/>
      <x:c r="P502" s="35"/>
      <x:c r="Q502" s="35"/>
      <x:c r="R502" s="35"/>
      <x:c r="S502" s="35"/>
      <x:c r="T502" s="35"/>
      <x:c r="U502" s="35"/>
      <x:c r="V502" s="35"/>
      <x:c r="W502" s="35"/>
      <x:c r="X502" s="35"/>
      <x:c r="Y502" s="35"/>
      <x:c r="Z502" s="35"/>
      <x:c r="AA502" s="35"/>
    </x:row>
    <x:row r="503">
      <x:c r="A503" s="136" t="str">
        <x:v>Antietam | Skirmish | Pry House</x:v>
      </x:c>
      <x:c r="B503" s="136" t="str">
        <x:v>Spawn | USA Spawnpoint_PH_Defend_USA_20thME-2 [map-23/003]</x:v>
      </x:c>
      <x:c r="C503" s="136" t="str">
        <x:v>spawn</x:v>
      </x:c>
      <x:c r="D503" s="136" t="str">
        <x:v>USA</x:v>
      </x:c>
      <x:c r="E503" s="136" t="str">
        <x:v>Spawnpoint_PH_Defend_USA_20thME-2</x:v>
      </x:c>
      <x:c r="F503" s="137" t="n">
        <x:v>1856.8128662109375</x:v>
      </x:c>
      <x:c r="G503" s="137" t="n">
        <x:v>611.8853149414062</x:v>
      </x:c>
      <x:c r="H503" s="137" t="n">
        <x:v>54.09074401855469</x:v>
      </x:c>
      <x:c r="I503" s="137" t="n">
        <x:v>925.216941794055</x:v>
      </x:c>
      <x:c r="J503" s="137" t="n">
        <x:v>1019.5295074058263</x:v>
      </x:c>
      <x:c r="K503" s="136" t="str">
        <x:v>map-23</x:v>
      </x:c>
      <x:c r="L503" s="136" t="str">
        <x:v>Antietam | Skirmish | Pry House||Spawn | USA Spawnpoint_PH_Defend_USA_20thME-2 [map-23/003]</x:v>
      </x:c>
      <x:c r="M503" s="35"/>
      <x:c r="N503" s="35"/>
      <x:c r="O503" s="35"/>
      <x:c r="P503" s="35"/>
      <x:c r="Q503" s="35"/>
      <x:c r="R503" s="35"/>
      <x:c r="S503" s="35"/>
      <x:c r="T503" s="35"/>
      <x:c r="U503" s="35"/>
      <x:c r="V503" s="35"/>
      <x:c r="W503" s="35"/>
      <x:c r="X503" s="35"/>
      <x:c r="Y503" s="35"/>
      <x:c r="Z503" s="35"/>
      <x:c r="AA503" s="35"/>
    </x:row>
    <x:row r="504">
      <x:c r="A504" s="136" t="str">
        <x:v>Antietam | Skirmish | Pry House</x:v>
      </x:c>
      <x:c r="B504" s="136" t="str">
        <x:v>Spawn | USA Spawnpoint_PH_Base_USA_114thPA-2 [map-23/004]</x:v>
      </x:c>
      <x:c r="C504" s="136" t="str">
        <x:v>spawn</x:v>
      </x:c>
      <x:c r="D504" s="136" t="str">
        <x:v>USA</x:v>
      </x:c>
      <x:c r="E504" s="136" t="str">
        <x:v>Spawnpoint_PH_Base_USA_114thPA-2</x:v>
      </x:c>
      <x:c r="F504" s="137" t="n">
        <x:v>1923.575439453125</x:v>
      </x:c>
      <x:c r="G504" s="137" t="n">
        <x:v>678.5677490234375</x:v>
      </x:c>
      <x:c r="H504" s="137" t="n">
        <x:v>49.72261047363281</x:v>
      </x:c>
      <x:c r="I504" s="137" t="n">
        <x:v>890.6214439835707</x:v>
      </x:c>
      <x:c r="J504" s="137" t="n">
        <x:v>764.9296795740638</x:v>
      </x:c>
      <x:c r="K504" s="136" t="str">
        <x:v>map-23</x:v>
      </x:c>
      <x:c r="L504" s="136" t="str">
        <x:v>Antietam | Skirmish | Pry House||Spawn | USA Spawnpoint_PH_Base_USA_114thPA-2 [map-23/004]</x:v>
      </x:c>
      <x:c r="M504" s="35"/>
      <x:c r="N504" s="35"/>
      <x:c r="O504" s="35"/>
      <x:c r="P504" s="35"/>
      <x:c r="Q504" s="35"/>
      <x:c r="R504" s="35"/>
      <x:c r="S504" s="35"/>
      <x:c r="T504" s="35"/>
      <x:c r="U504" s="35"/>
      <x:c r="V504" s="35"/>
      <x:c r="W504" s="35"/>
      <x:c r="X504" s="35"/>
      <x:c r="Y504" s="35"/>
      <x:c r="Z504" s="35"/>
      <x:c r="AA504" s="35"/>
    </x:row>
    <x:row r="505">
      <x:c r="A505" s="136" t="str">
        <x:v>Antietam | Skirmish | Pry House</x:v>
      </x:c>
      <x:c r="B505" s="136" t="str">
        <x:v>Spawn | USA Spawnpoint_PH_Defend_USA_20thME [map-23/005]</x:v>
      </x:c>
      <x:c r="C505" s="136" t="str">
        <x:v>spawn</x:v>
      </x:c>
      <x:c r="D505" s="136" t="str">
        <x:v>USA</x:v>
      </x:c>
      <x:c r="E505" s="136" t="str">
        <x:v>Spawnpoint_PH_Defend_USA_20thME</x:v>
      </x:c>
      <x:c r="F505" s="137" t="n">
        <x:v>1843.429443359375</x:v>
      </x:c>
      <x:c r="G505" s="137" t="n">
        <x:v>601.10791015625</x:v>
      </x:c>
      <x:c r="H505" s="137" t="n">
        <x:v>54.35728454589844</x:v>
      </x:c>
      <x:c r="I505" s="137" t="n">
        <x:v>926.5413622163289</x:v>
      </x:c>
      <x:c r="J505" s="137" t="n">
        <x:v>1066.2960945320574</x:v>
      </x:c>
      <x:c r="K505" s="136" t="str">
        <x:v>map-23</x:v>
      </x:c>
      <x:c r="L505" s="136" t="str">
        <x:v>Antietam | Skirmish | Pry House||Spawn | USA Spawnpoint_PH_Defend_USA_20thME [map-23/005]</x:v>
      </x:c>
      <x:c r="M505" s="35"/>
      <x:c r="N505" s="35"/>
      <x:c r="O505" s="35"/>
      <x:c r="P505" s="35"/>
      <x:c r="Q505" s="35"/>
      <x:c r="R505" s="35"/>
      <x:c r="S505" s="35"/>
      <x:c r="T505" s="35"/>
      <x:c r="U505" s="35"/>
      <x:c r="V505" s="35"/>
      <x:c r="W505" s="35"/>
      <x:c r="X505" s="35"/>
      <x:c r="Y505" s="35"/>
      <x:c r="Z505" s="35"/>
      <x:c r="AA505" s="35"/>
    </x:row>
    <x:row r="506">
      <x:c r="A506" s="136" t="str">
        <x:v>Antietam | Skirmish | Pry House</x:v>
      </x:c>
      <x:c r="B506" s="136" t="str">
        <x:v>Objective | Victory_Pry_House [map-23/006]</x:v>
      </x:c>
      <x:c r="C506" s="136" t="str">
        <x:v>objective</x:v>
      </x:c>
      <x:c r="D506" s="136" t="str"/>
      <x:c r="E506" s="136" t="str">
        <x:v>Victory_Pry_House</x:v>
      </x:c>
      <x:c r="F506" s="137" t="n">
        <x:v>1924.8135986328125</x:v>
      </x:c>
      <x:c r="G506" s="137" t="n">
        <x:v>666.9967041015625</x:v>
      </x:c>
      <x:c r="H506" s="137" t="n">
        <x:v>49.15766143798828</x:v>
      </x:c>
      <x:c r="I506" s="137" t="n">
        <x:v>917.7256002955046</x:v>
      </x:c>
      <x:c r="J506" s="137" t="n">
        <x:v>781.3299220946732</x:v>
      </x:c>
      <x:c r="K506" s="136" t="str">
        <x:v>map-23</x:v>
      </x:c>
      <x:c r="L506" s="136" t="str">
        <x:v>Antietam | Skirmish | Pry House||Objective | Victory_Pry_House [map-23/006]</x:v>
      </x:c>
      <x:c r="M506" s="35"/>
      <x:c r="N506" s="35"/>
      <x:c r="O506" s="35"/>
      <x:c r="P506" s="35"/>
      <x:c r="Q506" s="35"/>
      <x:c r="R506" s="35"/>
      <x:c r="S506" s="35"/>
      <x:c r="T506" s="35"/>
      <x:c r="U506" s="35"/>
      <x:c r="V506" s="35"/>
      <x:c r="W506" s="35"/>
      <x:c r="X506" s="35"/>
      <x:c r="Y506" s="35"/>
      <x:c r="Z506" s="35"/>
      <x:c r="AA506" s="35"/>
    </x:row>
    <x:row r="507">
      <x:c r="A507" s="136" t="str">
        <x:v>Antietam | Skirmish | Pry House</x:v>
      </x:c>
      <x:c r="B507" s="136" t="str">
        <x:v>Artillery | CSA Spawnpoint_PH_CSA_Arty_Base [map-23/007]</x:v>
      </x:c>
      <x:c r="C507" s="136" t="str">
        <x:v>battery</x:v>
      </x:c>
      <x:c r="D507" s="136" t="str">
        <x:v>CSA</x:v>
      </x:c>
      <x:c r="E507" s="136" t="str">
        <x:v>Spawnpoint_PH_CSA_Arty_Base</x:v>
      </x:c>
      <x:c r="F507" s="137" t="n">
        <x:v>1613.4073486328125</x:v>
      </x:c>
      <x:c r="G507" s="137" t="n">
        <x:v>499.528076171875</x:v>
      </x:c>
      <x:c r="H507" s="137" t="n">
        <x:v>53.23428726196289</x:v>
      </x:c>
      <x:c r="I507" s="137" t="n">
        <x:v>768.0855350731025</x:v>
      </x:c>
      <x:c r="J507" s="137" t="n">
        <x:v>1732.1214576068255</x:v>
      </x:c>
      <x:c r="K507" s="136" t="str">
        <x:v>map-23</x:v>
      </x:c>
      <x:c r="L507" s="136" t="str">
        <x:v>Antietam | Skirmish | Pry House||Artillery | CSA Spawnpoint_PH_CSA_Arty_Base [map-23/007]</x:v>
      </x:c>
      <x:c r="M507" s="35"/>
      <x:c r="N507" s="35"/>
      <x:c r="O507" s="35"/>
      <x:c r="P507" s="35"/>
      <x:c r="Q507" s="35"/>
      <x:c r="R507" s="35"/>
      <x:c r="S507" s="35"/>
      <x:c r="T507" s="35"/>
      <x:c r="U507" s="35"/>
      <x:c r="V507" s="35"/>
      <x:c r="W507" s="35"/>
      <x:c r="X507" s="35"/>
      <x:c r="Y507" s="35"/>
      <x:c r="Z507" s="35"/>
      <x:c r="AA507" s="35"/>
    </x:row>
    <x:row r="508">
      <x:c r="A508" s="136" t="str">
        <x:v>Antietam | Skirmish | Pry House</x:v>
      </x:c>
      <x:c r="B508" s="136" t="str">
        <x:v>Spawn | USA Spawnpoint_PH_Defend_USA_114thPA-2 [map-23/008]</x:v>
      </x:c>
      <x:c r="C508" s="136" t="str">
        <x:v>spawn</x:v>
      </x:c>
      <x:c r="D508" s="136" t="str">
        <x:v>USA</x:v>
      </x:c>
      <x:c r="E508" s="136" t="str">
        <x:v>Spawnpoint_PH_Defend_USA_114thPA-2</x:v>
      </x:c>
      <x:c r="F508" s="137" t="n">
        <x:v>1815.216552734375</x:v>
      </x:c>
      <x:c r="G508" s="137" t="n">
        <x:v>576.7456665039062</x:v>
      </x:c>
      <x:c r="H508" s="137" t="n">
        <x:v>55.0396842956543</x:v>
      </x:c>
      <x:c r="I508" s="137" t="n">
        <x:v>932.8925043446785</x:v>
      </x:c>
      <x:c r="J508" s="137" t="n">
        <x:v>1167.5917886199773</x:v>
      </x:c>
      <x:c r="K508" s="136" t="str">
        <x:v>map-23</x:v>
      </x:c>
      <x:c r="L508" s="136" t="str">
        <x:v>Antietam | Skirmish | Pry House||Spawn | USA Spawnpoint_PH_Defend_USA_114thPA-2 [map-23/008]</x:v>
      </x:c>
      <x:c r="M508" s="35"/>
      <x:c r="N508" s="35"/>
      <x:c r="O508" s="35"/>
      <x:c r="P508" s="35"/>
      <x:c r="Q508" s="35"/>
      <x:c r="R508" s="35"/>
      <x:c r="S508" s="35"/>
      <x:c r="T508" s="35"/>
      <x:c r="U508" s="35"/>
      <x:c r="V508" s="35"/>
      <x:c r="W508" s="35"/>
      <x:c r="X508" s="35"/>
      <x:c r="Y508" s="35"/>
      <x:c r="Z508" s="35"/>
      <x:c r="AA508" s="35"/>
    </x:row>
    <x:row r="509">
      <x:c r="A509" s="136" t="str">
        <x:v>Antietam | Skirmish | Pry House</x:v>
      </x:c>
      <x:c r="B509" s="136" t="str">
        <x:v>Spawn | USA Spawnpoint_PH_Base_USA_114thPA [map-23/009]</x:v>
      </x:c>
      <x:c r="C509" s="136" t="str">
        <x:v>spawn</x:v>
      </x:c>
      <x:c r="D509" s="136" t="str">
        <x:v>USA</x:v>
      </x:c>
      <x:c r="E509" s="136" t="str">
        <x:v>Spawnpoint_PH_Base_USA_114thPA</x:v>
      </x:c>
      <x:c r="F509" s="137" t="n">
        <x:v>1921.91455078125</x:v>
      </x:c>
      <x:c r="G509" s="137" t="n">
        <x:v>692.144775390625</x:v>
      </x:c>
      <x:c r="H509" s="137" t="n">
        <x:v>49.35249328613281</x:v>
      </x:c>
      <x:c r="I509" s="137" t="n">
        <x:v>858.4760484312638</x:v>
      </x:c>
      <x:c r="J509" s="137" t="n">
        <x:v>746.137024545299</x:v>
      </x:c>
      <x:c r="K509" s="136" t="str">
        <x:v>map-23</x:v>
      </x:c>
      <x:c r="L509" s="136" t="str">
        <x:v>Antietam | Skirmish | Pry House||Spawn | USA Spawnpoint_PH_Base_USA_114thPA [map-23/009]</x:v>
      </x:c>
      <x:c r="M509" s="35"/>
      <x:c r="N509" s="35"/>
      <x:c r="O509" s="35"/>
      <x:c r="P509" s="35"/>
      <x:c r="Q509" s="35"/>
      <x:c r="R509" s="35"/>
      <x:c r="S509" s="35"/>
      <x:c r="T509" s="35"/>
      <x:c r="U509" s="35"/>
      <x:c r="V509" s="35"/>
      <x:c r="W509" s="35"/>
      <x:c r="X509" s="35"/>
      <x:c r="Y509" s="35"/>
      <x:c r="Z509" s="35"/>
      <x:c r="AA509" s="35"/>
    </x:row>
    <x:row r="510">
      <x:c r="A510" s="136" t="str">
        <x:v>Antietam | Skirmish | Pry House</x:v>
      </x:c>
      <x:c r="B510" s="136" t="str">
        <x:v>Artillery | CSA Spawnpoint_PH_CSA_Arty_Squires_Forward [map-23/010]</x:v>
      </x:c>
      <x:c r="C510" s="136" t="str">
        <x:v>battery</x:v>
      </x:c>
      <x:c r="D510" s="136" t="str">
        <x:v>CSA</x:v>
      </x:c>
      <x:c r="E510" s="136" t="str">
        <x:v>Spawnpoint_PH_CSA_Arty_Squires_Forward</x:v>
      </x:c>
      <x:c r="F510" s="137" t="n">
        <x:v>1637.8033447265625</x:v>
      </x:c>
      <x:c r="G510" s="137" t="n">
        <x:v>516.3707275390625</x:v>
      </x:c>
      <x:c r="H510" s="137" t="n">
        <x:v>53.45518112182617</x:v>
      </x:c>
      <x:c r="I510" s="137" t="n">
        <x:v>771.7434518226008</x:v>
      </x:c>
      <x:c r="J510" s="137" t="n">
        <x:v>1651.495431027613</x:v>
      </x:c>
      <x:c r="K510" s="136" t="str">
        <x:v>map-23</x:v>
      </x:c>
      <x:c r="L510" s="136" t="str">
        <x:v>Antietam | Skirmish | Pry House||Artillery | CSA Spawnpoint_PH_CSA_Arty_Squires_Forward [map-23/010]</x:v>
      </x:c>
      <x:c r="M510" s="35"/>
      <x:c r="N510" s="35"/>
      <x:c r="O510" s="35"/>
      <x:c r="P510" s="35"/>
      <x:c r="Q510" s="35"/>
      <x:c r="R510" s="35"/>
      <x:c r="S510" s="35"/>
      <x:c r="T510" s="35"/>
      <x:c r="U510" s="35"/>
      <x:c r="V510" s="35"/>
      <x:c r="W510" s="35"/>
      <x:c r="X510" s="35"/>
      <x:c r="Y510" s="35"/>
      <x:c r="Z510" s="35"/>
      <x:c r="AA510" s="35"/>
    </x:row>
    <x:row r="511">
      <x:c r="A511" s="136" t="str">
        <x:v>Antietam | Skirmish | Pry House</x:v>
      </x:c>
      <x:c r="B511" s="136" t="str">
        <x:v>Spawn | USA Spawnpoint_PH_Base_USA_20thME-2 [map-23/011]</x:v>
      </x:c>
      <x:c r="C511" s="136" t="str">
        <x:v>spawn</x:v>
      </x:c>
      <x:c r="D511" s="136" t="str">
        <x:v>USA</x:v>
      </x:c>
      <x:c r="E511" s="136" t="str">
        <x:v>Spawnpoint_PH_Base_USA_20thME-2</x:v>
      </x:c>
      <x:c r="F511" s="137" t="n">
        <x:v>1938.3223876953125</x:v>
      </x:c>
      <x:c r="G511" s="137" t="n">
        <x:v>634.4771728515625</x:v>
      </x:c>
      <x:c r="H511" s="137" t="n">
        <x:v>48.110591888427734</x:v>
      </x:c>
      <x:c r="I511" s="137" t="n">
        <x:v>1010.4029636006139</x:v>
      </x:c>
      <x:c r="J511" s="137" t="n">
        <x:v>805.6953271942637</x:v>
      </x:c>
      <x:c r="K511" s="136" t="str">
        <x:v>map-23</x:v>
      </x:c>
      <x:c r="L511" s="136" t="str">
        <x:v>Antietam | Skirmish | Pry House||Spawn | USA Spawnpoint_PH_Base_USA_20thME-2 [map-23/011]</x:v>
      </x:c>
      <x:c r="M511" s="35"/>
      <x:c r="N511" s="35"/>
      <x:c r="O511" s="35"/>
      <x:c r="P511" s="35"/>
      <x:c r="Q511" s="35"/>
      <x:c r="R511" s="35"/>
      <x:c r="S511" s="35"/>
      <x:c r="T511" s="35"/>
      <x:c r="U511" s="35"/>
      <x:c r="V511" s="35"/>
      <x:c r="W511" s="35"/>
      <x:c r="X511" s="35"/>
      <x:c r="Y511" s="35"/>
      <x:c r="Z511" s="35"/>
      <x:c r="AA511" s="35"/>
    </x:row>
    <x:row r="512">
      <x:c r="A512" s="136" t="str">
        <x:v>Antietam | Skirmish | Pry House</x:v>
      </x:c>
      <x:c r="B512" s="136" t="str">
        <x:v>Spawn | CSA Spawnpoint_PH_Base_CSA_8thFL-2 [map-23/012]</x:v>
      </x:c>
      <x:c r="C512" s="136" t="str">
        <x:v>spawn</x:v>
      </x:c>
      <x:c r="D512" s="136" t="str">
        <x:v>CSA</x:v>
      </x:c>
      <x:c r="E512" s="136" t="str">
        <x:v>Spawnpoint_PH_Base_CSA_8thFL-2</x:v>
      </x:c>
      <x:c r="F512" s="137" t="n">
        <x:v>1643.80322265625</x:v>
      </x:c>
      <x:c r="G512" s="137" t="n">
        <x:v>489.9127502441406</x:v>
      </x:c>
      <x:c r="H512" s="137" t="n">
        <x:v>53.003875732421875</x:v>
      </x:c>
      <x:c r="I512" s="137" t="n">
        <x:v>838.933244151206</x:v>
      </x:c>
      <x:c r="J512" s="137" t="n">
        <x:v>1682.1311493684454</x:v>
      </x:c>
      <x:c r="K512" s="136" t="str">
        <x:v>map-23</x:v>
      </x:c>
      <x:c r="L512" s="136" t="str">
        <x:v>Antietam | Skirmish | Pry House||Spawn | CSA Spawnpoint_PH_Base_CSA_8thFL-2 [map-23/012]</x:v>
      </x:c>
      <x:c r="M512" s="35"/>
      <x:c r="N512" s="35"/>
      <x:c r="O512" s="35"/>
      <x:c r="P512" s="35"/>
      <x:c r="Q512" s="35"/>
      <x:c r="R512" s="35"/>
      <x:c r="S512" s="35"/>
      <x:c r="T512" s="35"/>
      <x:c r="U512" s="35"/>
      <x:c r="V512" s="35"/>
      <x:c r="W512" s="35"/>
      <x:c r="X512" s="35"/>
      <x:c r="Y512" s="35"/>
      <x:c r="Z512" s="35"/>
      <x:c r="AA512" s="35"/>
    </x:row>
    <x:row r="513">
      <x:c r="A513" s="136" t="str">
        <x:v>Antietam | Skirmish | Pry House</x:v>
      </x:c>
      <x:c r="B513" s="136" t="str">
        <x:v>Artillery | USA Spawnpoint_PH_USA_Arty_Weaver_Forward [map-23/013]</x:v>
      </x:c>
      <x:c r="C513" s="136" t="str">
        <x:v>battery</x:v>
      </x:c>
      <x:c r="D513" s="136" t="str">
        <x:v>USA</x:v>
      </x:c>
      <x:c r="E513" s="136" t="str">
        <x:v>Spawnpoint_PH_USA_Arty_Weaver_Forward</x:v>
      </x:c>
      <x:c r="F513" s="137" t="n">
        <x:v>1902.2138671875</x:v>
      </x:c>
      <x:c r="G513" s="137" t="n">
        <x:v>671.9337158203125</x:v>
      </x:c>
      <x:c r="H513" s="137" t="n">
        <x:v>49.44425964355469</x:v>
      </x:c>
      <x:c r="I513" s="137" t="n">
        <x:v>869.8415590892416</x:v>
      </x:c>
      <x:c r="J513" s="137" t="n">
        <x:v>822.1464950313107</x:v>
      </x:c>
      <x:c r="K513" s="136" t="str">
        <x:v>map-23</x:v>
      </x:c>
      <x:c r="L513" s="136" t="str">
        <x:v>Antietam | Skirmish | Pry House||Artillery | USA Spawnpoint_PH_USA_Arty_Weaver_Forward [map-23/013]</x:v>
      </x:c>
      <x:c r="M513" s="35"/>
      <x:c r="N513" s="35"/>
      <x:c r="O513" s="35"/>
      <x:c r="P513" s="35"/>
      <x:c r="Q513" s="35"/>
      <x:c r="R513" s="35"/>
      <x:c r="S513" s="35"/>
      <x:c r="T513" s="35"/>
      <x:c r="U513" s="35"/>
      <x:c r="V513" s="35"/>
      <x:c r="W513" s="35"/>
      <x:c r="X513" s="35"/>
      <x:c r="Y513" s="35"/>
      <x:c r="Z513" s="35"/>
      <x:c r="AA513" s="35"/>
    </x:row>
    <x:row r="514">
      <x:c r="A514" s="136" t="str">
        <x:v>Antietam | Skirmish | Pry House</x:v>
      </x:c>
      <x:c r="B514" s="136" t="str">
        <x:v>Artillery | USA Spawnpoint_PH_USA_Arty_Base [map-23/014]</x:v>
      </x:c>
      <x:c r="C514" s="136" t="str">
        <x:v>battery</x:v>
      </x:c>
      <x:c r="D514" s="136" t="str">
        <x:v>USA</x:v>
      </x:c>
      <x:c r="E514" s="136" t="str">
        <x:v>Spawnpoint_PH_USA_Arty_Base</x:v>
      </x:c>
      <x:c r="F514" s="137" t="n">
        <x:v>1920.16015625</x:v>
      </x:c>
      <x:c r="G514" s="137" t="n">
        <x:v>713.9092407226562</x:v>
      </x:c>
      <x:c r="H514" s="137" t="n">
        <x:v>49.280792236328125</x:v>
      </x:c>
      <x:c r="I514" s="137" t="n">
        <x:v>808.4400833233256</x:v>
      </x:c>
      <x:c r="J514" s="137" t="n">
        <x:v>714.0445369446504</x:v>
      </x:c>
      <x:c r="K514" s="136" t="str">
        <x:v>map-23</x:v>
      </x:c>
      <x:c r="L514" s="136" t="str">
        <x:v>Antietam | Skirmish | Pry House||Artillery | USA Spawnpoint_PH_USA_Arty_Base [map-23/014]</x:v>
      </x:c>
      <x:c r="M514" s="35"/>
      <x:c r="N514" s="35"/>
      <x:c r="O514" s="35"/>
      <x:c r="P514" s="35"/>
      <x:c r="Q514" s="35"/>
      <x:c r="R514" s="35"/>
      <x:c r="S514" s="35"/>
      <x:c r="T514" s="35"/>
      <x:c r="U514" s="35"/>
      <x:c r="V514" s="35"/>
      <x:c r="W514" s="35"/>
      <x:c r="X514" s="35"/>
      <x:c r="Y514" s="35"/>
      <x:c r="Z514" s="35"/>
      <x:c r="AA514" s="35"/>
    </x:row>
    <x:row r="515">
      <x:c r="A515" s="136" t="str">
        <x:v>Antietam | Skirmish | Pry House</x:v>
      </x:c>
      <x:c r="B515" s="136" t="str">
        <x:v>Spawn | USA Spawnpoint_PH_Base_USA_20thME [map-23/015]</x:v>
      </x:c>
      <x:c r="C515" s="136" t="str">
        <x:v>spawn</x:v>
      </x:c>
      <x:c r="D515" s="136" t="str">
        <x:v>USA</x:v>
      </x:c>
      <x:c r="E515" s="136" t="str">
        <x:v>Spawnpoint_PH_Base_USA_20thME</x:v>
      </x:c>
      <x:c r="F515" s="137" t="n">
        <x:v>1935.6409912109375</x:v>
      </x:c>
      <x:c r="G515" s="137" t="n">
        <x:v>648.226806640625</x:v>
      </x:c>
      <x:c r="H515" s="137" t="n">
        <x:v>48.90339660644531</x:v>
      </x:c>
      <x:c r="I515" s="137" t="n">
        <x:v>976.204353302426</x:v>
      </x:c>
      <x:c r="J515" s="137" t="n">
        <x:v>788.8287724574723</x:v>
      </x:c>
      <x:c r="K515" s="136" t="str">
        <x:v>map-23</x:v>
      </x:c>
      <x:c r="L515" s="136" t="str">
        <x:v>Antietam | Skirmish | Pry House||Spawn | USA Spawnpoint_PH_Base_USA_20thME [map-23/015]</x:v>
      </x:c>
      <x:c r="M515" s="35"/>
      <x:c r="N515" s="35"/>
      <x:c r="O515" s="35"/>
      <x:c r="P515" s="35"/>
      <x:c r="Q515" s="35"/>
      <x:c r="R515" s="35"/>
      <x:c r="S515" s="35"/>
      <x:c r="T515" s="35"/>
      <x:c r="U515" s="35"/>
      <x:c r="V515" s="35"/>
      <x:c r="W515" s="35"/>
      <x:c r="X515" s="35"/>
      <x:c r="Y515" s="35"/>
      <x:c r="Z515" s="35"/>
      <x:c r="AA515" s="35"/>
    </x:row>
    <x:row r="516">
      <x:c r="A516" s="136" t="str">
        <x:v>Antietam | Skirmish | Pry House</x:v>
      </x:c>
      <x:c r="B516" s="136" t="str">
        <x:v>Spawn | CSA Spawnpoint_PH_Base_CSA_8thFL [map-23/016]</x:v>
      </x:c>
      <x:c r="C516" s="136" t="str">
        <x:v>spawn</x:v>
      </x:c>
      <x:c r="D516" s="136" t="str">
        <x:v>CSA</x:v>
      </x:c>
      <x:c r="E516" s="136" t="str">
        <x:v>Spawnpoint_PH_Base_CSA_8thFL</x:v>
      </x:c>
      <x:c r="F516" s="137" t="n">
        <x:v>1625.879638671875</x:v>
      </x:c>
      <x:c r="G516" s="137" t="n">
        <x:v>489.5270080566406</x:v>
      </x:c>
      <x:c r="H516" s="137" t="n">
        <x:v>53.33308410644531</x:v>
      </x:c>
      <x:c r="I516" s="137" t="n">
        <x:v>810.2748528329023</x:v>
      </x:c>
      <x:c r="J516" s="137" t="n">
        <x:v>1721.5957128720306</x:v>
      </x:c>
      <x:c r="K516" s="136" t="str">
        <x:v>map-23</x:v>
      </x:c>
      <x:c r="L516" s="136" t="str">
        <x:v>Antietam | Skirmish | Pry House||Spawn | CSA Spawnpoint_PH_Base_CSA_8thFL [map-23/016]</x:v>
      </x:c>
      <x:c r="M516" s="35"/>
      <x:c r="N516" s="35"/>
      <x:c r="O516" s="35"/>
      <x:c r="P516" s="35"/>
      <x:c r="Q516" s="35"/>
      <x:c r="R516" s="35"/>
      <x:c r="S516" s="35"/>
      <x:c r="T516" s="35"/>
      <x:c r="U516" s="35"/>
      <x:c r="V516" s="35"/>
      <x:c r="W516" s="35"/>
      <x:c r="X516" s="35"/>
      <x:c r="Y516" s="35"/>
      <x:c r="Z516" s="35"/>
      <x:c r="AA516" s="35"/>
    </x:row>
    <x:row r="517">
      <x:c r="A517" s="136" t="str">
        <x:v>Antietam | Skirmish | Pry House</x:v>
      </x:c>
      <x:c r="B517" s="136" t="str">
        <x:v>Spawn | USA Spawnpoint_PH_Defend_USA_114thPA [map-23/017]</x:v>
      </x:c>
      <x:c r="C517" s="136" t="str">
        <x:v>spawn</x:v>
      </x:c>
      <x:c r="D517" s="136" t="str">
        <x:v>USA</x:v>
      </x:c>
      <x:c r="E517" s="136" t="str">
        <x:v>Spawnpoint_PH_Defend_USA_114thPA</x:v>
      </x:c>
      <x:c r="F517" s="137" t="n">
        <x:v>1828.1466064453125</x:v>
      </x:c>
      <x:c r="G517" s="137" t="n">
        <x:v>588.0322265625</x:v>
      </x:c>
      <x:c r="H517" s="137" t="n">
        <x:v>54.77295684814453</x:v>
      </x:c>
      <x:c r="I517" s="137" t="n">
        <x:v>929.7190465196954</x:v>
      </x:c>
      <x:c r="J517" s="137" t="n">
        <x:v>1120.967670515936</x:v>
      </x:c>
      <x:c r="K517" s="136" t="str">
        <x:v>map-23</x:v>
      </x:c>
      <x:c r="L517" s="136" t="str">
        <x:v>Antietam | Skirmish | Pry House||Spawn | USA Spawnpoint_PH_Defend_USA_114thPA [map-23/017]</x:v>
      </x:c>
      <x:c r="M517" s="35"/>
      <x:c r="N517" s="35"/>
      <x:c r="O517" s="35"/>
      <x:c r="P517" s="35"/>
      <x:c r="Q517" s="35"/>
      <x:c r="R517" s="35"/>
      <x:c r="S517" s="35"/>
      <x:c r="T517" s="35"/>
      <x:c r="U517" s="35"/>
      <x:c r="V517" s="35"/>
      <x:c r="W517" s="35"/>
      <x:c r="X517" s="35"/>
      <x:c r="Y517" s="35"/>
      <x:c r="Z517" s="35"/>
      <x:c r="AA517" s="35"/>
    </x:row>
    <x:row r="518">
      <x:c r="A518" s="136" t="str">
        <x:v>Antietam | Skirmish | Pry House</x:v>
      </x:c>
      <x:c r="B518" s="136" t="str">
        <x:v>Gun | 12-pounder Napoleon (USA) · Entity-1399 [map-23/018]</x:v>
      </x:c>
      <x:c r="C518" s="136" t="str">
        <x:v>gun_spawn</x:v>
      </x:c>
      <x:c r="D518" s="136" t="str"/>
      <x:c r="E518" s="136" t="str">
        <x:v>12-pounder Napoleon (USA) · Entity-1399</x:v>
      </x:c>
      <x:c r="F518" s="137" t="n">
        <x:v>1895.0999755859375</x:v>
      </x:c>
      <x:c r="G518" s="137" t="n">
        <x:v>686.9810180664062</x:v>
      </x:c>
      <x:c r="H518" s="137" t="n">
        <x:v>49.465576171875</x:v>
      </x:c>
      <x:c r="I518" s="137" t="n">
        <x:v>825.5379062018602</x:v>
      </x:c>
      <x:c r="J518" s="137" t="n">
        <x:v>812.7421282335964</x:v>
      </x:c>
      <x:c r="K518" s="136" t="str">
        <x:v>map-23</x:v>
      </x:c>
      <x:c r="L518" s="136" t="str">
        <x:v>Antietam | Skirmish | Pry House||Gun | 12-pounder Napoleon (USA) · Entity-1399 [map-23/018]</x:v>
      </x:c>
      <x:c r="M518" s="35"/>
      <x:c r="N518" s="35"/>
      <x:c r="O518" s="35"/>
      <x:c r="P518" s="35"/>
      <x:c r="Q518" s="35"/>
      <x:c r="R518" s="35"/>
      <x:c r="S518" s="35"/>
      <x:c r="T518" s="35"/>
      <x:c r="U518" s="35"/>
      <x:c r="V518" s="35"/>
      <x:c r="W518" s="35"/>
      <x:c r="X518" s="35"/>
      <x:c r="Y518" s="35"/>
      <x:c r="Z518" s="35"/>
      <x:c r="AA518" s="35"/>
    </x:row>
    <x:row r="519">
      <x:c r="A519" s="136" t="str">
        <x:v>Antietam | Skirmish | Pry House</x:v>
      </x:c>
      <x:c r="B519" s="136" t="str">
        <x:v>Gun | 3-inch Ordnance · Entity-1394 [map-23/019]</x:v>
      </x:c>
      <x:c r="C519" s="136" t="str">
        <x:v>gun_spawn</x:v>
      </x:c>
      <x:c r="D519" s="136" t="str"/>
      <x:c r="E519" s="136" t="str">
        <x:v>3-inch Ordnance · Entity-1394</x:v>
      </x:c>
      <x:c r="F519" s="137" t="n">
        <x:v>1670.1300048828125</x:v>
      </x:c>
      <x:c r="G519" s="137" t="n">
        <x:v>531.739990234375</x:v>
      </x:c>
      <x:c r="H519" s="137" t="n">
        <x:v>52.736289978027344</x:v>
      </x:c>
      <x:c r="I519" s="137" t="n">
        <x:v>791.6434683354784</x:v>
      </x:c>
      <x:c r="J519" s="137" t="n">
        <x:v>1556.1188159670203</x:v>
      </x:c>
      <x:c r="K519" s="136" t="str">
        <x:v>map-23</x:v>
      </x:c>
      <x:c r="L519" s="136" t="str">
        <x:v>Antietam | Skirmish | Pry House||Gun | 3-inch Ordnance · Entity-1394 [map-23/019]</x:v>
      </x:c>
      <x:c r="M519" s="35"/>
      <x:c r="N519" s="35"/>
      <x:c r="O519" s="35"/>
      <x:c r="P519" s="35"/>
      <x:c r="Q519" s="35"/>
      <x:c r="R519" s="35"/>
      <x:c r="S519" s="35"/>
      <x:c r="T519" s="35"/>
      <x:c r="U519" s="35"/>
      <x:c r="V519" s="35"/>
      <x:c r="W519" s="35"/>
      <x:c r="X519" s="35"/>
      <x:c r="Y519" s="35"/>
      <x:c r="Z519" s="35"/>
      <x:c r="AA519" s="35"/>
    </x:row>
    <x:row r="520">
      <x:c r="A520" s="136" t="str">
        <x:v>Antietam | Skirmish | Pry House</x:v>
      </x:c>
      <x:c r="B520" s="136" t="str">
        <x:v>Gun | 3-inch Ordnance · Entity-1392 [map-23/020]</x:v>
      </x:c>
      <x:c r="C520" s="136" t="str">
        <x:v>gun_spawn</x:v>
      </x:c>
      <x:c r="D520" s="136" t="str"/>
      <x:c r="E520" s="136" t="str">
        <x:v>3-inch Ordnance · Entity-1392</x:v>
      </x:c>
      <x:c r="F520" s="137" t="n">
        <x:v>1664.510009765625</x:v>
      </x:c>
      <x:c r="G520" s="137" t="n">
        <x:v>536.4420166015625</x:v>
      </x:c>
      <x:c r="H520" s="137" t="n">
        <x:v>53.024200439453125</x:v>
      </x:c>
      <x:c r="I520" s="137" t="n">
        <x:v>772.2093773199477</x:v>
      </x:c>
      <x:c r="J520" s="137" t="n">
        <x:v>1560.5391907494156</x:v>
      </x:c>
      <x:c r="K520" s="136" t="str">
        <x:v>map-23</x:v>
      </x:c>
      <x:c r="L520" s="136" t="str">
        <x:v>Antietam | Skirmish | Pry House||Gun | 3-inch Ordnance · Entity-1392 [map-23/020]</x:v>
      </x:c>
      <x:c r="M520" s="35"/>
      <x:c r="N520" s="35"/>
      <x:c r="O520" s="35"/>
      <x:c r="P520" s="35"/>
      <x:c r="Q520" s="35"/>
      <x:c r="R520" s="35"/>
      <x:c r="S520" s="35"/>
      <x:c r="T520" s="35"/>
      <x:c r="U520" s="35"/>
      <x:c r="V520" s="35"/>
      <x:c r="W520" s="35"/>
      <x:c r="X520" s="35"/>
      <x:c r="Y520" s="35"/>
      <x:c r="Z520" s="35"/>
      <x:c r="AA520" s="35"/>
    </x:row>
    <x:row r="521">
      <x:c r="A521" s="136" t="str">
        <x:v>Antietam | Skirmish | Pry House</x:v>
      </x:c>
      <x:c r="B521" s="136" t="str">
        <x:v>Gun | 12-pounder Napoleon (USA) · Entity-1393 [map-23/021]</x:v>
      </x:c>
      <x:c r="C521" s="136" t="str">
        <x:v>gun_spawn</x:v>
      </x:c>
      <x:c r="D521" s="136" t="str"/>
      <x:c r="E521" s="136" t="str">
        <x:v>12-pounder Napoleon (USA) · Entity-1393</x:v>
      </x:c>
      <x:c r="F521" s="137" t="n">
        <x:v>1676.6300048828125</x:v>
      </x:c>
      <x:c r="G521" s="137" t="n">
        <x:v>527.4199829101562</x:v>
      </x:c>
      <x:c r="H521" s="137" t="n">
        <x:v>52.48172378540039</x:v>
      </x:c>
      <x:c r="I521" s="137" t="n">
        <x:v>811.6980659987627</x:v>
      </x:c>
      <x:c r="J521" s="137" t="n">
        <x:v>1549.1620489186391</x:v>
      </x:c>
      <x:c r="K521" s="136" t="str">
        <x:v>map-23</x:v>
      </x:c>
      <x:c r="L521" s="136" t="str">
        <x:v>Antietam | Skirmish | Pry House||Gun | 12-pounder Napoleon (USA) · Entity-1393 [map-23/021]</x:v>
      </x:c>
      <x:c r="M521" s="35"/>
      <x:c r="N521" s="35"/>
      <x:c r="O521" s="35"/>
      <x:c r="P521" s="35"/>
      <x:c r="Q521" s="35"/>
      <x:c r="R521" s="35"/>
      <x:c r="S521" s="35"/>
      <x:c r="T521" s="35"/>
      <x:c r="U521" s="35"/>
      <x:c r="V521" s="35"/>
      <x:c r="W521" s="35"/>
      <x:c r="X521" s="35"/>
      <x:c r="Y521" s="35"/>
      <x:c r="Z521" s="35"/>
      <x:c r="AA521" s="35"/>
    </x:row>
    <x:row r="522">
      <x:c r="A522" s="136" t="str">
        <x:v>Antietam | Skirmish | Pry House</x:v>
      </x:c>
      <x:c r="B522" s="136" t="str">
        <x:v>Gun | 10-pounder Parrott · Entity-1401 [map-23/022]</x:v>
      </x:c>
      <x:c r="C522" s="136" t="str">
        <x:v>gun_spawn</x:v>
      </x:c>
      <x:c r="D522" s="136" t="str"/>
      <x:c r="E522" s="136" t="str">
        <x:v>10-pounder Parrott · Entity-1401</x:v>
      </x:c>
      <x:c r="F522" s="137" t="n">
        <x:v>1883.7099609375</x:v>
      </x:c>
      <x:c r="G522" s="137" t="n">
        <x:v>708.6160278320312</x:v>
      </x:c>
      <x:c r="H522" s="137" t="n">
        <x:v>49.618465423583984</x:v>
      </x:c>
      <x:c r="I522" s="137" t="n">
        <x:v>759.9265529530909</x:v>
      </x:c>
      <x:c r="J522" s="137" t="n">
        <x:v>801.7370746846743</x:v>
      </x:c>
      <x:c r="K522" s="136" t="str">
        <x:v>map-23</x:v>
      </x:c>
      <x:c r="L522" s="136" t="str">
        <x:v>Antietam | Skirmish | Pry House||Gun | 10-pounder Parrott · Entity-1401 [map-23/022]</x:v>
      </x:c>
      <x:c r="M522" s="35"/>
      <x:c r="N522" s="35"/>
      <x:c r="O522" s="35"/>
      <x:c r="P522" s="35"/>
      <x:c r="Q522" s="35"/>
      <x:c r="R522" s="35"/>
      <x:c r="S522" s="35"/>
      <x:c r="T522" s="35"/>
      <x:c r="U522" s="35"/>
      <x:c r="V522" s="35"/>
      <x:c r="W522" s="35"/>
      <x:c r="X522" s="35"/>
      <x:c r="Y522" s="35"/>
      <x:c r="Z522" s="35"/>
      <x:c r="AA522" s="35"/>
    </x:row>
    <x:row r="523">
      <x:c r="A523" s="136" t="str">
        <x:v>Antietam | Skirmish | Pry House</x:v>
      </x:c>
      <x:c r="B523" s="136" t="str">
        <x:v>Gun | 12-pounder Napoleon (USA) · Entity-1400 [map-23/023]</x:v>
      </x:c>
      <x:c r="C523" s="136" t="str">
        <x:v>gun_spawn</x:v>
      </x:c>
      <x:c r="D523" s="136" t="str"/>
      <x:c r="E523" s="136" t="str">
        <x:v>12-pounder Napoleon (USA) · Entity-1400</x:v>
      </x:c>
      <x:c r="F523" s="137" t="n">
        <x:v>1891.8699951171875</x:v>
      </x:c>
      <x:c r="G523" s="137" t="n">
        <x:v>693.39697265625</x:v>
      </x:c>
      <x:c r="H523" s="137" t="n">
        <x:v>49.52235412597656</x:v>
      </x:c>
      <x:c r="I523" s="137" t="n">
        <x:v>806.3237525946528</x:v>
      </x:c>
      <x:c r="J523" s="137" t="n">
        <x:v>809.158398612475</x:v>
      </x:c>
      <x:c r="K523" s="136" t="str">
        <x:v>map-23</x:v>
      </x:c>
      <x:c r="L523" s="136" t="str">
        <x:v>Antietam | Skirmish | Pry House||Gun | 12-pounder Napoleon (USA) · Entity-1400 [map-23/023]</x:v>
      </x:c>
      <x:c r="M523" s="35"/>
      <x:c r="N523" s="35"/>
      <x:c r="O523" s="35"/>
      <x:c r="P523" s="35"/>
      <x:c r="Q523" s="35"/>
      <x:c r="R523" s="35"/>
      <x:c r="S523" s="35"/>
      <x:c r="T523" s="35"/>
      <x:c r="U523" s="35"/>
      <x:c r="V523" s="35"/>
      <x:c r="W523" s="35"/>
      <x:c r="X523" s="35"/>
      <x:c r="Y523" s="35"/>
      <x:c r="Z523" s="35"/>
      <x:c r="AA523" s="35"/>
    </x:row>
    <x:row r="524">
      <x:c r="A524" s="136" t="str">
        <x:v>Antietam | Skirmish | Pry House</x:v>
      </x:c>
      <x:c r="B524" s="136" t="str">
        <x:v>Gun | 12-pounder Napoleon (CSA) · Entity-1391 [map-23/024]</x:v>
      </x:c>
      <x:c r="C524" s="136" t="str">
        <x:v>gun_spawn</x:v>
      </x:c>
      <x:c r="D524" s="136" t="str"/>
      <x:c r="E524" s="136" t="str">
        <x:v>12-pounder Napoleon (CSA) · Entity-1391</x:v>
      </x:c>
      <x:c r="F524" s="137" t="n">
        <x:v>1682.81005859375</x:v>
      </x:c>
      <x:c r="G524" s="137" t="n">
        <x:v>523.6599731445312</x:v>
      </x:c>
      <x:c r="H524" s="137" t="n">
        <x:v>52.5350341796875</x:v>
      </x:c>
      <x:c r="I524" s="137" t="n">
        <x:v>830.013038150244</x:v>
      </x:c>
      <x:c r="J524" s="137" t="n">
        <x:v>1541.9748657880136</x:v>
      </x:c>
      <x:c r="K524" s="136" t="str">
        <x:v>map-23</x:v>
      </x:c>
      <x:c r="L524" s="136" t="str">
        <x:v>Antietam | Skirmish | Pry House||Gun | 12-pounder Napoleon (CSA) · Entity-1391 [map-23/024]</x:v>
      </x:c>
      <x:c r="M524" s="35"/>
      <x:c r="N524" s="35"/>
      <x:c r="O524" s="35"/>
      <x:c r="P524" s="35"/>
      <x:c r="Q524" s="35"/>
      <x:c r="R524" s="35"/>
      <x:c r="S524" s="35"/>
      <x:c r="T524" s="35"/>
      <x:c r="U524" s="35"/>
      <x:c r="V524" s="35"/>
      <x:c r="W524" s="35"/>
      <x:c r="X524" s="35"/>
      <x:c r="Y524" s="35"/>
      <x:c r="Z524" s="35"/>
      <x:c r="AA524" s="35"/>
    </x:row>
    <x:row r="525">
      <x:c r="A525" s="136" t="str">
        <x:v>Antietam | Skirmish | Pry House</x:v>
      </x:c>
      <x:c r="B525" s="136" t="str">
        <x:v>Gun | 10-pounder Parrott · Entity-1402 [map-23/025]</x:v>
      </x:c>
      <x:c r="C525" s="136" t="str">
        <x:v>gun_spawn</x:v>
      </x:c>
      <x:c r="D525" s="136" t="str"/>
      <x:c r="E525" s="136" t="str">
        <x:v>10-pounder Parrott · Entity-1402</x:v>
      </x:c>
      <x:c r="F525" s="137" t="n">
        <x:v>1887.9100341796875</x:v>
      </x:c>
      <x:c r="G525" s="137" t="n">
        <x:v>701.7269897460938</x:v>
      </x:c>
      <x:c r="H525" s="137" t="n">
        <x:v>49.555599212646484</x:v>
      </x:c>
      <x:c r="I525" s="137" t="n">
        <x:v>781.7618917568589</x:v>
      </x:c>
      <x:c r="J525" s="137" t="n">
        <x:v>803.9994528038061</x:v>
      </x:c>
      <x:c r="K525" s="136" t="str">
        <x:v>map-23</x:v>
      </x:c>
      <x:c r="L525" s="136" t="str">
        <x:v>Antietam | Skirmish | Pry House||Gun | 10-pounder Parrott · Entity-1402 [map-23/025]</x:v>
      </x:c>
      <x:c r="M525" s="35"/>
      <x:c r="N525" s="35"/>
      <x:c r="O525" s="35"/>
      <x:c r="P525" s="35"/>
      <x:c r="Q525" s="35"/>
      <x:c r="R525" s="35"/>
      <x:c r="S525" s="35"/>
      <x:c r="T525" s="35"/>
      <x:c r="U525" s="35"/>
      <x:c r="V525" s="35"/>
      <x:c r="W525" s="35"/>
      <x:c r="X525" s="35"/>
      <x:c r="Y525" s="35"/>
      <x:c r="Z525" s="35"/>
      <x:c r="AA525" s="35"/>
    </x:row>
    <x:row r="526">
      <x:c r="A526" s="136" t="str">
        <x:v>Antietam | Skirmish | West Woods</x:v>
      </x:c>
      <x:c r="B526" s="136" t="str">
        <x:v>Spawn | CSA Spawnpoint_WW_Defend_CSA_3rdSC-2 [map-24/001]</x:v>
      </x:c>
      <x:c r="C526" s="136" t="str">
        <x:v>spawn</x:v>
      </x:c>
      <x:c r="D526" s="136" t="str">
        <x:v>CSA</x:v>
      </x:c>
      <x:c r="E526" s="136" t="str">
        <x:v>Spawnpoint_WW_Defend_CSA_3rdSC-2</x:v>
      </x:c>
      <x:c r="F526" s="137" t="n">
        <x:v>640.1705322265625</x:v>
      </x:c>
      <x:c r="G526" s="137" t="n">
        <x:v>2914.7978515625</x:v>
      </x:c>
      <x:c r="H526" s="137" t="n">
        <x:v>62.59071350097656</x:v>
      </x:c>
      <x:c r="I526" s="137" t="n">
        <x:v>798.6994407790319</x:v>
      </x:c>
      <x:c r="J526" s="137" t="n">
        <x:v>963.5171509370308</x:v>
      </x:c>
      <x:c r="K526" s="136" t="str">
        <x:v>map-24</x:v>
      </x:c>
      <x:c r="L526" s="136" t="str">
        <x:v>Antietam | Skirmish | West Woods||Spawn | CSA Spawnpoint_WW_Defend_CSA_3rdSC-2 [map-24/001]</x:v>
      </x:c>
      <x:c r="M526" s="35"/>
      <x:c r="N526" s="35"/>
      <x:c r="O526" s="35"/>
      <x:c r="P526" s="35"/>
      <x:c r="Q526" s="35"/>
      <x:c r="R526" s="35"/>
      <x:c r="S526" s="35"/>
      <x:c r="T526" s="35"/>
      <x:c r="U526" s="35"/>
      <x:c r="V526" s="35"/>
      <x:c r="W526" s="35"/>
      <x:c r="X526" s="35"/>
      <x:c r="Y526" s="35"/>
      <x:c r="Z526" s="35"/>
      <x:c r="AA526" s="35"/>
    </x:row>
    <x:row r="527">
      <x:c r="A527" s="136" t="str">
        <x:v>Antietam | Skirmish | West Woods</x:v>
      </x:c>
      <x:c r="B527" s="136" t="str">
        <x:v>Spawn | USA Spawnpoint_WW_Base_USA_7thMI-2 [map-24/002]</x:v>
      </x:c>
      <x:c r="C527" s="136" t="str">
        <x:v>spawn</x:v>
      </x:c>
      <x:c r="D527" s="136" t="str">
        <x:v>USA</x:v>
      </x:c>
      <x:c r="E527" s="136" t="str">
        <x:v>Spawnpoint_WW_Base_USA_7thMI-2</x:v>
      </x:c>
      <x:c r="F527" s="137" t="n">
        <x:v>809.2777099609375</x:v>
      </x:c>
      <x:c r="G527" s="137" t="n">
        <x:v>2777.581787109375</x:v>
      </x:c>
      <x:c r="H527" s="137" t="n">
        <x:v>63.66394805908203</x:v>
      </x:c>
      <x:c r="I527" s="137" t="n">
        <x:v>1582.171959484005</x:v>
      </x:c>
      <x:c r="J527" s="137" t="n">
        <x:v>773.3398132271284</x:v>
      </x:c>
      <x:c r="K527" s="136" t="str">
        <x:v>map-24</x:v>
      </x:c>
      <x:c r="L527" s="136" t="str">
        <x:v>Antietam | Skirmish | West Woods||Spawn | USA Spawnpoint_WW_Base_USA_7thMI-2 [map-24/002]</x:v>
      </x:c>
      <x:c r="M527" s="35"/>
      <x:c r="N527" s="35"/>
      <x:c r="O527" s="35"/>
      <x:c r="P527" s="35"/>
      <x:c r="Q527" s="35"/>
      <x:c r="R527" s="35"/>
      <x:c r="S527" s="35"/>
      <x:c r="T527" s="35"/>
      <x:c r="U527" s="35"/>
      <x:c r="V527" s="35"/>
      <x:c r="W527" s="35"/>
      <x:c r="X527" s="35"/>
      <x:c r="Y527" s="35"/>
      <x:c r="Z527" s="35"/>
      <x:c r="AA527" s="35"/>
    </x:row>
    <x:row r="528">
      <x:c r="A528" s="136" t="str">
        <x:v>Antietam | Skirmish | West Woods</x:v>
      </x:c>
      <x:c r="B528" s="136" t="str">
        <x:v>Spawn | CSA Spawnpoint_WW_Base_CSA_3rdSC [map-24/003]</x:v>
      </x:c>
      <x:c r="C528" s="136" t="str">
        <x:v>spawn</x:v>
      </x:c>
      <x:c r="D528" s="136" t="str">
        <x:v>CSA</x:v>
      </x:c>
      <x:c r="E528" s="136" t="str">
        <x:v>Spawnpoint_WW_Base_CSA_3rdSC</x:v>
      </x:c>
      <x:c r="F528" s="137" t="n">
        <x:v>485.9964599609375</x:v>
      </x:c>
      <x:c r="G528" s="137" t="n">
        <x:v>2968.041259765625</x:v>
      </x:c>
      <x:c r="H528" s="137" t="n">
        <x:v>62.626285552978516</x:v>
      </x:c>
      <x:c r="I528" s="137" t="n">
        <x:v>296.3126514081523</x:v>
      </x:c>
      <x:c r="J528" s="137" t="n">
        <x:v>1297.8684558683715</x:v>
      </x:c>
      <x:c r="K528" s="136" t="str">
        <x:v>map-24</x:v>
      </x:c>
      <x:c r="L528" s="136" t="str">
        <x:v>Antietam | Skirmish | West Woods||Spawn | CSA Spawnpoint_WW_Base_CSA_3rdSC [map-24/003]</x:v>
      </x:c>
      <x:c r="M528" s="35"/>
      <x:c r="N528" s="35"/>
      <x:c r="O528" s="35"/>
      <x:c r="P528" s="35"/>
      <x:c r="Q528" s="35"/>
      <x:c r="R528" s="35"/>
      <x:c r="S528" s="35"/>
      <x:c r="T528" s="35"/>
      <x:c r="U528" s="35"/>
      <x:c r="V528" s="35"/>
      <x:c r="W528" s="35"/>
      <x:c r="X528" s="35"/>
      <x:c r="Y528" s="35"/>
      <x:c r="Z528" s="35"/>
      <x:c r="AA528" s="35"/>
    </x:row>
    <x:row r="529">
      <x:c r="A529" s="136" t="str">
        <x:v>Antietam | Skirmish | West Woods</x:v>
      </x:c>
      <x:c r="B529" s="136" t="str">
        <x:v>Spawn | USA Spawnpoint_WW_Base_USA_72ndPA-2 [map-24/004]</x:v>
      </x:c>
      <x:c r="C529" s="136" t="str">
        <x:v>spawn</x:v>
      </x:c>
      <x:c r="D529" s="136" t="str">
        <x:v>USA</x:v>
      </x:c>
      <x:c r="E529" s="136" t="str">
        <x:v>Spawnpoint_WW_Base_USA_72ndPA-2</x:v>
      </x:c>
      <x:c r="F529" s="137" t="n">
        <x:v>819.5263671875</x:v>
      </x:c>
      <x:c r="G529" s="137" t="n">
        <x:v>2790.89599609375</x:v>
      </x:c>
      <x:c r="H529" s="137" t="n">
        <x:v>63.76991271972656</x:v>
      </x:c>
      <x:c r="I529" s="137" t="n">
        <x:v>1565.8672275578215</x:v>
      </x:c>
      <x:c r="J529" s="137" t="n">
        <x:v>713.3594612218465</x:v>
      </x:c>
      <x:c r="K529" s="136" t="str">
        <x:v>map-24</x:v>
      </x:c>
      <x:c r="L529" s="136" t="str">
        <x:v>Antietam | Skirmish | West Woods||Spawn | USA Spawnpoint_WW_Base_USA_72ndPA-2 [map-24/004]</x:v>
      </x:c>
      <x:c r="M529" s="35"/>
      <x:c r="N529" s="35"/>
      <x:c r="O529" s="35"/>
      <x:c r="P529" s="35"/>
      <x:c r="Q529" s="35"/>
      <x:c r="R529" s="35"/>
      <x:c r="S529" s="35"/>
      <x:c r="T529" s="35"/>
      <x:c r="U529" s="35"/>
      <x:c r="V529" s="35"/>
      <x:c r="W529" s="35"/>
      <x:c r="X529" s="35"/>
      <x:c r="Y529" s="35"/>
      <x:c r="Z529" s="35"/>
      <x:c r="AA529" s="35"/>
    </x:row>
    <x:row r="530">
      <x:c r="A530" s="136" t="str">
        <x:v>Antietam | Skirmish | West Woods</x:v>
      </x:c>
      <x:c r="B530" s="136" t="str">
        <x:v>Spawn | CSA Spawnpoint_WW_Base_CSA_3rdSC-2 [map-24/005]</x:v>
      </x:c>
      <x:c r="C530" s="136" t="str">
        <x:v>spawn</x:v>
      </x:c>
      <x:c r="D530" s="136" t="str">
        <x:v>CSA</x:v>
      </x:c>
      <x:c r="E530" s="136" t="str">
        <x:v>Spawnpoint_WW_Base_CSA_3rdSC-2</x:v>
      </x:c>
      <x:c r="F530" s="137" t="n">
        <x:v>498.71978759765625</x:v>
      </x:c>
      <x:c r="G530" s="137" t="n">
        <x:v>2954.837646484375</x:v>
      </x:c>
      <x:c r="H530" s="137" t="n">
        <x:v>63.034610748291016</x:v>
      </x:c>
      <x:c r="I530" s="137" t="n">
        <x:v>363.7519657815045</x:v>
      </x:c>
      <x:c r="J530" s="137" t="n">
        <x:v>1290.0108489422462</x:v>
      </x:c>
      <x:c r="K530" s="136" t="str">
        <x:v>map-24</x:v>
      </x:c>
      <x:c r="L530" s="136" t="str">
        <x:v>Antietam | Skirmish | West Woods||Spawn | CSA Spawnpoint_WW_Base_CSA_3rdSC-2 [map-24/005]</x:v>
      </x:c>
      <x:c r="M530" s="35"/>
      <x:c r="N530" s="35"/>
      <x:c r="O530" s="35"/>
      <x:c r="P530" s="35"/>
      <x:c r="Q530" s="35"/>
      <x:c r="R530" s="35"/>
      <x:c r="S530" s="35"/>
      <x:c r="T530" s="35"/>
      <x:c r="U530" s="35"/>
      <x:c r="V530" s="35"/>
      <x:c r="W530" s="35"/>
      <x:c r="X530" s="35"/>
      <x:c r="Y530" s="35"/>
      <x:c r="Z530" s="35"/>
      <x:c r="AA530" s="35"/>
    </x:row>
    <x:row r="531">
      <x:c r="A531" s="136" t="str">
        <x:v>Antietam | Skirmish | West Woods</x:v>
      </x:c>
      <x:c r="B531" s="136" t="str">
        <x:v>Spawn | CSA Spawnpoint_WW_Defend_CSA_1stNcSh-2 [map-24/006]</x:v>
      </x:c>
      <x:c r="C531" s="136" t="str">
        <x:v>spawn</x:v>
      </x:c>
      <x:c r="D531" s="136" t="str">
        <x:v>CSA</x:v>
      </x:c>
      <x:c r="E531" s="136" t="str">
        <x:v>Spawnpoint_WW_Defend_CSA_1stNcSh-2</x:v>
      </x:c>
      <x:c r="F531" s="137" t="n">
        <x:v>632.4932250976562</x:v>
      </x:c>
      <x:c r="G531" s="137" t="n">
        <x:v>2897.017578125</x:v>
      </x:c>
      <x:c r="H531" s="137" t="n">
        <x:v>62.36968994140625</x:v>
      </x:c>
      <x:c r="I531" s="137" t="n">
        <x:v>833.934701400247</x:v>
      </x:c>
      <x:c r="J531" s="137" t="n">
        <x:v>1025.936510025707</x:v>
      </x:c>
      <x:c r="K531" s="136" t="str">
        <x:v>map-24</x:v>
      </x:c>
      <x:c r="L531" s="136" t="str">
        <x:v>Antietam | Skirmish | West Woods||Spawn | CSA Spawnpoint_WW_Defend_CSA_1stNcSh-2 [map-24/006]</x:v>
      </x:c>
      <x:c r="M531" s="35"/>
      <x:c r="N531" s="35"/>
      <x:c r="O531" s="35"/>
      <x:c r="P531" s="35"/>
      <x:c r="Q531" s="35"/>
      <x:c r="R531" s="35"/>
      <x:c r="S531" s="35"/>
      <x:c r="T531" s="35"/>
      <x:c r="U531" s="35"/>
      <x:c r="V531" s="35"/>
      <x:c r="W531" s="35"/>
      <x:c r="X531" s="35"/>
      <x:c r="Y531" s="35"/>
      <x:c r="Z531" s="35"/>
      <x:c r="AA531" s="35"/>
    </x:row>
    <x:row r="532">
      <x:c r="A532" s="136" t="str">
        <x:v>Antietam | Skirmish | West Woods</x:v>
      </x:c>
      <x:c r="B532" s="136" t="str">
        <x:v>Spawn | USA Spawnpoint_WW_Base_USA_7thMI [map-24/007]</x:v>
      </x:c>
      <x:c r="C532" s="136" t="str">
        <x:v>spawn</x:v>
      </x:c>
      <x:c r="D532" s="136" t="str">
        <x:v>USA</x:v>
      </x:c>
      <x:c r="E532" s="136" t="str">
        <x:v>Spawnpoint_WW_Base_USA_7thMI</x:v>
      </x:c>
      <x:c r="F532" s="137" t="n">
        <x:v>794.9644165039062</x:v>
      </x:c>
      <x:c r="G532" s="137" t="n">
        <x:v>2791.51513671875</x:v>
      </x:c>
      <x:c r="H532" s="137" t="n">
        <x:v>63.24794387817383</x:v>
      </x:c>
      <x:c r="I532" s="137" t="n">
        <x:v>1509.018906190994</x:v>
      </x:c>
      <x:c r="J532" s="137" t="n">
        <x:v>784.2408384311384</x:v>
      </x:c>
      <x:c r="K532" s="136" t="str">
        <x:v>map-24</x:v>
      </x:c>
      <x:c r="L532" s="136" t="str">
        <x:v>Antietam | Skirmish | West Woods||Spawn | USA Spawnpoint_WW_Base_USA_7thMI [map-24/007]</x:v>
      </x:c>
      <x:c r="M532" s="35"/>
      <x:c r="N532" s="35"/>
      <x:c r="O532" s="35"/>
      <x:c r="P532" s="35"/>
      <x:c r="Q532" s="35"/>
      <x:c r="R532" s="35"/>
      <x:c r="S532" s="35"/>
      <x:c r="T532" s="35"/>
      <x:c r="U532" s="35"/>
      <x:c r="V532" s="35"/>
      <x:c r="W532" s="35"/>
      <x:c r="X532" s="35"/>
      <x:c r="Y532" s="35"/>
      <x:c r="Z532" s="35"/>
      <x:c r="AA532" s="35"/>
    </x:row>
    <x:row r="533">
      <x:c r="A533" s="136" t="str">
        <x:v>Antietam | Skirmish | West Woods</x:v>
      </x:c>
      <x:c r="B533" s="136" t="str">
        <x:v>Spawn | CSA Spawnpoint_WW_Defend_CSA_1stNcSh [map-24/008]</x:v>
      </x:c>
      <x:c r="C533" s="136" t="str">
        <x:v>spawn</x:v>
      </x:c>
      <x:c r="D533" s="136" t="str">
        <x:v>CSA</x:v>
      </x:c>
      <x:c r="E533" s="136" t="str">
        <x:v>Spawnpoint_WW_Defend_CSA_1stNcSh</x:v>
      </x:c>
      <x:c r="F533" s="137" t="n">
        <x:v>627.3611450195312</x:v>
      </x:c>
      <x:c r="G533" s="137" t="n">
        <x:v>2906.041748046875</x:v>
      </x:c>
      <x:c r="H533" s="137" t="n">
        <x:v>62.36968994140625</x:v>
      </x:c>
      <x:c r="I533" s="137" t="n">
        <x:v>795.8260079764763</x:v>
      </x:c>
      <x:c r="J533" s="137" t="n">
        <x:v>1020.8210625901197</x:v>
      </x:c>
      <x:c r="K533" s="136" t="str">
        <x:v>map-24</x:v>
      </x:c>
      <x:c r="L533" s="136" t="str">
        <x:v>Antietam | Skirmish | West Woods||Spawn | CSA Spawnpoint_WW_Defend_CSA_1stNcSh [map-24/008]</x:v>
      </x:c>
      <x:c r="M533" s="35"/>
      <x:c r="N533" s="35"/>
      <x:c r="O533" s="35"/>
      <x:c r="P533" s="35"/>
      <x:c r="Q533" s="35"/>
      <x:c r="R533" s="35"/>
      <x:c r="S533" s="35"/>
      <x:c r="T533" s="35"/>
      <x:c r="U533" s="35"/>
      <x:c r="V533" s="35"/>
      <x:c r="W533" s="35"/>
      <x:c r="X533" s="35"/>
      <x:c r="Y533" s="35"/>
      <x:c r="Z533" s="35"/>
      <x:c r="AA533" s="35"/>
    </x:row>
    <x:row r="534">
      <x:c r="A534" s="136" t="str">
        <x:v>Antietam | Skirmish | West Woods</x:v>
      </x:c>
      <x:c r="B534" s="136" t="str">
        <x:v>Objective | Victory_West_Woods [map-24/009]</x:v>
      </x:c>
      <x:c r="C534" s="136" t="str">
        <x:v>objective</x:v>
      </x:c>
      <x:c r="D534" s="136" t="str"/>
      <x:c r="E534" s="136" t="str">
        <x:v>Victory_West_Woods</x:v>
      </x:c>
      <x:c r="F534" s="137" t="n">
        <x:v>629.1396484375</x:v>
      </x:c>
      <x:c r="G534" s="137" t="n">
        <x:v>2898.809814453125</x:v>
      </x:c>
      <x:c r="H534" s="137" t="n">
        <x:v>62.35000228881836</x:v>
      </x:c>
      <x:c r="I534" s="137" t="n">
        <x:v>821.1369204748063</x:v>
      </x:c>
      <x:c r="J534" s="137" t="n">
        <x:v>1031.7888192919684</x:v>
      </x:c>
      <x:c r="K534" s="136" t="str">
        <x:v>map-24</x:v>
      </x:c>
      <x:c r="L534" s="136" t="str">
        <x:v>Antietam | Skirmish | West Woods||Objective | Victory_West_Woods [map-24/009]</x:v>
      </x:c>
      <x:c r="M534" s="35"/>
      <x:c r="N534" s="35"/>
      <x:c r="O534" s="35"/>
      <x:c r="P534" s="35"/>
      <x:c r="Q534" s="35"/>
      <x:c r="R534" s="35"/>
      <x:c r="S534" s="35"/>
      <x:c r="T534" s="35"/>
      <x:c r="U534" s="35"/>
      <x:c r="V534" s="35"/>
      <x:c r="W534" s="35"/>
      <x:c r="X534" s="35"/>
      <x:c r="Y534" s="35"/>
      <x:c r="Z534" s="35"/>
      <x:c r="AA534" s="35"/>
    </x:row>
    <x:row r="535">
      <x:c r="A535" s="136" t="str">
        <x:v>Antietam | Skirmish | West Woods</x:v>
      </x:c>
      <x:c r="B535" s="136" t="str">
        <x:v>Spawn | USA Spawnpoint_WW_Base_USA_72ndPA [map-24/010]</x:v>
      </x:c>
      <x:c r="C535" s="136" t="str">
        <x:v>spawn</x:v>
      </x:c>
      <x:c r="D535" s="136" t="str">
        <x:v>USA</x:v>
      </x:c>
      <x:c r="E535" s="136" t="str">
        <x:v>Spawnpoint_WW_Base_USA_72ndPA</x:v>
      </x:c>
      <x:c r="F535" s="137" t="n">
        <x:v>806.23974609375</x:v>
      </x:c>
      <x:c r="G535" s="137" t="n">
        <x:v>2803.797607421875</x:v>
      </x:c>
      <x:c r="H535" s="137" t="n">
        <x:v>62.45798873901367</x:v>
      </x:c>
      <x:c r="I535" s="137" t="n">
        <x:v>1498.0566468763257</x:v>
      </x:c>
      <x:c r="J535" s="137" t="n">
        <x:v>723.5509701610706</x:v>
      </x:c>
      <x:c r="K535" s="136" t="str">
        <x:v>map-24</x:v>
      </x:c>
      <x:c r="L535" s="136" t="str">
        <x:v>Antietam | Skirmish | West Woods||Spawn | USA Spawnpoint_WW_Base_USA_72ndPA [map-24/010]</x:v>
      </x:c>
      <x:c r="M535" s="35"/>
      <x:c r="N535" s="35"/>
      <x:c r="O535" s="35"/>
      <x:c r="P535" s="35"/>
      <x:c r="Q535" s="35"/>
      <x:c r="R535" s="35"/>
      <x:c r="S535" s="35"/>
      <x:c r="T535" s="35"/>
      <x:c r="U535" s="35"/>
      <x:c r="V535" s="35"/>
      <x:c r="W535" s="35"/>
      <x:c r="X535" s="35"/>
      <x:c r="Y535" s="35"/>
      <x:c r="Z535" s="35"/>
      <x:c r="AA535" s="35"/>
    </x:row>
    <x:row r="536">
      <x:c r="A536" s="136" t="str">
        <x:v>Antietam | Skirmish | West Woods</x:v>
      </x:c>
      <x:c r="B536" s="136" t="str">
        <x:v>Spawn | CSA Spawnpoint_WW_Base_CSA_1stNcSh-2 [map-24/011]</x:v>
      </x:c>
      <x:c r="C536" s="136" t="str">
        <x:v>spawn</x:v>
      </x:c>
      <x:c r="D536" s="136" t="str">
        <x:v>CSA</x:v>
      </x:c>
      <x:c r="E536" s="136" t="str">
        <x:v>Spawnpoint_WW_Base_CSA_1stNcSh-2</x:v>
      </x:c>
      <x:c r="F536" s="137" t="n">
        <x:v>510.5257873535156</x:v>
      </x:c>
      <x:c r="G536" s="137" t="n">
        <x:v>2968.7431640625</x:v>
      </x:c>
      <x:c r="H536" s="137" t="n">
        <x:v>62.407291412353516</x:v>
      </x:c>
      <x:c r="I536" s="137" t="n">
        <x:v>349.1921624777481</x:v>
      </x:c>
      <x:c r="J536" s="137" t="n">
        <x:v>1224.1237250239988</x:v>
      </x:c>
      <x:c r="K536" s="136" t="str">
        <x:v>map-24</x:v>
      </x:c>
      <x:c r="L536" s="136" t="str">
        <x:v>Antietam | Skirmish | West Woods||Spawn | CSA Spawnpoint_WW_Base_CSA_1stNcSh-2 [map-24/011]</x:v>
      </x:c>
      <x:c r="M536" s="35"/>
      <x:c r="N536" s="35"/>
      <x:c r="O536" s="35"/>
      <x:c r="P536" s="35"/>
      <x:c r="Q536" s="35"/>
      <x:c r="R536" s="35"/>
      <x:c r="S536" s="35"/>
      <x:c r="T536" s="35"/>
      <x:c r="U536" s="35"/>
      <x:c r="V536" s="35"/>
      <x:c r="W536" s="35"/>
      <x:c r="X536" s="35"/>
      <x:c r="Y536" s="35"/>
      <x:c r="Z536" s="35"/>
      <x:c r="AA536" s="35"/>
    </x:row>
    <x:row r="537">
      <x:c r="A537" s="136" t="str">
        <x:v>Antietam | Skirmish | West Woods</x:v>
      </x:c>
      <x:c r="B537" s="136" t="str">
        <x:v>Spawn | CSA Spawnpoint_WW_Base_CSA_1stNcSh [map-24/012]</x:v>
      </x:c>
      <x:c r="C537" s="136" t="str">
        <x:v>spawn</x:v>
      </x:c>
      <x:c r="D537" s="136" t="str">
        <x:v>CSA</x:v>
      </x:c>
      <x:c r="E537" s="136" t="str">
        <x:v>Spawnpoint_WW_Base_CSA_1stNcSh</x:v>
      </x:c>
      <x:c r="F537" s="137" t="n">
        <x:v>498.3505859375</x:v>
      </x:c>
      <x:c r="G537" s="137" t="n">
        <x:v>2980.656494140625</x:v>
      </x:c>
      <x:c r="H537" s="137" t="n">
        <x:v>62.6142692565918</x:v>
      </x:c>
      <x:c r="I537" s="137" t="n">
        <x:v>286.7857475089283</x:v>
      </x:c>
      <x:c r="J537" s="137" t="n">
        <x:v>1233.259016312367</x:v>
      </x:c>
      <x:c r="K537" s="136" t="str">
        <x:v>map-24</x:v>
      </x:c>
      <x:c r="L537" s="136" t="str">
        <x:v>Antietam | Skirmish | West Woods||Spawn | CSA Spawnpoint_WW_Base_CSA_1stNcSh [map-24/012]</x:v>
      </x:c>
      <x:c r="M537" s="35"/>
      <x:c r="N537" s="35"/>
      <x:c r="O537" s="35"/>
      <x:c r="P537" s="35"/>
      <x:c r="Q537" s="35"/>
      <x:c r="R537" s="35"/>
      <x:c r="S537" s="35"/>
      <x:c r="T537" s="35"/>
      <x:c r="U537" s="35"/>
      <x:c r="V537" s="35"/>
      <x:c r="W537" s="35"/>
      <x:c r="X537" s="35"/>
      <x:c r="Y537" s="35"/>
      <x:c r="Z537" s="35"/>
      <x:c r="AA537" s="35"/>
    </x:row>
    <x:row r="538">
      <x:c r="A538" s="136" t="str">
        <x:v>Antietam | Skirmish | West Woods</x:v>
      </x:c>
      <x:c r="B538" s="136" t="str">
        <x:v>Spawn | CSA Spawnpoint_WW_Defend_CSA_3rdSC [map-24/013]</x:v>
      </x:c>
      <x:c r="C538" s="136" t="str">
        <x:v>spawn</x:v>
      </x:c>
      <x:c r="D538" s="136" t="str">
        <x:v>CSA</x:v>
      </x:c>
      <x:c r="E538" s="136" t="str">
        <x:v>Spawnpoint_WW_Defend_CSA_3rdSC</x:v>
      </x:c>
      <x:c r="F538" s="137" t="n">
        <x:v>624.7506103515625</x:v>
      </x:c>
      <x:c r="G538" s="137" t="n">
        <x:v>2916.808349609375</x:v>
      </x:c>
      <x:c r="H538" s="137" t="n">
        <x:v>62.53060531616211</x:v>
      </x:c>
      <x:c r="I538" s="137" t="n">
        <x:v>758.2275699831694</x:v>
      </x:c>
      <x:c r="J538" s="137" t="n">
        <x:v>1004.3831901288399</x:v>
      </x:c>
      <x:c r="K538" s="136" t="str">
        <x:v>map-24</x:v>
      </x:c>
      <x:c r="L538" s="136" t="str">
        <x:v>Antietam | Skirmish | West Woods||Spawn | CSA Spawnpoint_WW_Defend_CSA_3rdSC [map-24/013]</x:v>
      </x:c>
      <x:c r="M538" s="35"/>
      <x:c r="N538" s="35"/>
      <x:c r="O538" s="35"/>
      <x:c r="P538" s="35"/>
      <x:c r="Q538" s="35"/>
      <x:c r="R538" s="35"/>
      <x:c r="S538" s="35"/>
      <x:c r="T538" s="35"/>
      <x:c r="U538" s="35"/>
      <x:c r="V538" s="35"/>
      <x:c r="W538" s="35"/>
      <x:c r="X538" s="35"/>
      <x:c r="Y538" s="35"/>
      <x:c r="Z538" s="35"/>
      <x:c r="AA538" s="35"/>
    </x:row>
    <x:row r="539">
      <x:c r="A539" s="136" t="str">
        <x:v>Antietam | Skirmish | Dunker Church</x:v>
      </x:c>
      <x:c r="B539" s="136" t="str">
        <x:v>Spawn | CSA Spawnpoint_DC_Defend_CSA_30thVA [map-25/001]</x:v>
      </x:c>
      <x:c r="C539" s="136" t="str">
        <x:v>spawn</x:v>
      </x:c>
      <x:c r="D539" s="136" t="str">
        <x:v>CSA</x:v>
      </x:c>
      <x:c r="E539" s="136" t="str">
        <x:v>Spawnpoint_DC_Defend_CSA_30thVA</x:v>
      </x:c>
      <x:c r="F539" s="137" t="n">
        <x:v>572.0315551757812</x:v>
      </x:c>
      <x:c r="G539" s="137" t="n">
        <x:v>2360.9775390625</x:v>
      </x:c>
      <x:c r="H539" s="137" t="n">
        <x:v>63.365745544433594</x:v>
      </x:c>
      <x:c r="I539" s="137" t="n">
        <x:v>818.8009883078734</x:v>
      </x:c>
      <x:c r="J539" s="137" t="n">
        <x:v>1195.127416583241</x:v>
      </x:c>
      <x:c r="K539" s="136" t="str">
        <x:v>map-25</x:v>
      </x:c>
      <x:c r="L539" s="136" t="str">
        <x:v>Antietam | Skirmish | Dunker Church||Spawn | CSA Spawnpoint_DC_Defend_CSA_30thVA [map-25/001]</x:v>
      </x:c>
      <x:c r="M539" s="35"/>
      <x:c r="N539" s="35"/>
      <x:c r="O539" s="35"/>
      <x:c r="P539" s="35"/>
      <x:c r="Q539" s="35"/>
      <x:c r="R539" s="35"/>
      <x:c r="S539" s="35"/>
      <x:c r="T539" s="35"/>
      <x:c r="U539" s="35"/>
      <x:c r="V539" s="35"/>
      <x:c r="W539" s="35"/>
      <x:c r="X539" s="35"/>
      <x:c r="Y539" s="35"/>
      <x:c r="Z539" s="35"/>
      <x:c r="AA539" s="35"/>
    </x:row>
    <x:row r="540">
      <x:c r="A540" s="136" t="str">
        <x:v>Antietam | Skirmish | Dunker Church</x:v>
      </x:c>
      <x:c r="B540" s="136" t="str">
        <x:v>Artillery | USA Spawnpoint_DC_USA_Arty_Base [map-25/002]</x:v>
      </x:c>
      <x:c r="C540" s="136" t="str">
        <x:v>battery</x:v>
      </x:c>
      <x:c r="D540" s="136" t="str">
        <x:v>USA</x:v>
      </x:c>
      <x:c r="E540" s="136" t="str">
        <x:v>Spawnpoint_DC_USA_Arty_Base</x:v>
      </x:c>
      <x:c r="F540" s="137" t="n">
        <x:v>975.8505859375</x:v>
      </x:c>
      <x:c r="G540" s="137" t="n">
        <x:v>2224.67626953125</x:v>
      </x:c>
      <x:c r="H540" s="137" t="n">
        <x:v>60.64993667602539</x:v>
      </x:c>
      <x:c r="I540" s="137" t="n">
        <x:v>1396.4906990999598</x:v>
      </x:c>
      <x:c r="J540" s="137" t="n">
        <x:v>794.5718948976577</x:v>
      </x:c>
      <x:c r="K540" s="136" t="str">
        <x:v>map-25</x:v>
      </x:c>
      <x:c r="L540" s="136" t="str">
        <x:v>Antietam | Skirmish | Dunker Church||Artillery | USA Spawnpoint_DC_USA_Arty_Base [map-25/002]</x:v>
      </x:c>
      <x:c r="M540" s="35"/>
      <x:c r="N540" s="35"/>
      <x:c r="O540" s="35"/>
      <x:c r="P540" s="35"/>
      <x:c r="Q540" s="35"/>
      <x:c r="R540" s="35"/>
      <x:c r="S540" s="35"/>
      <x:c r="T540" s="35"/>
      <x:c r="U540" s="35"/>
      <x:c r="V540" s="35"/>
      <x:c r="W540" s="35"/>
      <x:c r="X540" s="35"/>
      <x:c r="Y540" s="35"/>
      <x:c r="Z540" s="35"/>
      <x:c r="AA540" s="35"/>
    </x:row>
    <x:row r="541">
      <x:c r="A541" s="136" t="str">
        <x:v>Antietam | Skirmish | Dunker Church</x:v>
      </x:c>
      <x:c r="B541" s="136" t="str">
        <x:v>Spawn | USA Spawnpoint_DC_Base_USA_72ndPA-2 [map-25/003]</x:v>
      </x:c>
      <x:c r="C541" s="136" t="str">
        <x:v>spawn</x:v>
      </x:c>
      <x:c r="D541" s="136" t="str">
        <x:v>USA</x:v>
      </x:c>
      <x:c r="E541" s="136" t="str">
        <x:v>Spawnpoint_DC_Base_USA_72ndPA-2</x:v>
      </x:c>
      <x:c r="F541" s="137" t="n">
        <x:v>959.262939453125</x:v>
      </x:c>
      <x:c r="G541" s="137" t="n">
        <x:v>2230.689208984375</x:v>
      </x:c>
      <x:c r="H541" s="137" t="n">
        <x:v>61.813961029052734</x:v>
      </x:c>
      <x:c r="I541" s="137" t="n">
        <x:v>1372.2132245809728</x:v>
      </x:c>
      <x:c r="J541" s="137" t="n">
        <x:v>810.6179705943048</x:v>
      </x:c>
      <x:c r="K541" s="136" t="str">
        <x:v>map-25</x:v>
      </x:c>
      <x:c r="L541" s="136" t="str">
        <x:v>Antietam | Skirmish | Dunker Church||Spawn | USA Spawnpoint_DC_Base_USA_72ndPA-2 [map-25/003]</x:v>
      </x:c>
      <x:c r="M541" s="35"/>
      <x:c r="N541" s="35"/>
      <x:c r="O541" s="35"/>
      <x:c r="P541" s="35"/>
      <x:c r="Q541" s="35"/>
      <x:c r="R541" s="35"/>
      <x:c r="S541" s="35"/>
      <x:c r="T541" s="35"/>
      <x:c r="U541" s="35"/>
      <x:c r="V541" s="35"/>
      <x:c r="W541" s="35"/>
      <x:c r="X541" s="35"/>
      <x:c r="Y541" s="35"/>
      <x:c r="Z541" s="35"/>
      <x:c r="AA541" s="35"/>
    </x:row>
    <x:row r="542">
      <x:c r="A542" s="136" t="str">
        <x:v>Antietam | Skirmish | Dunker Church</x:v>
      </x:c>
      <x:c r="B542" s="136" t="str">
        <x:v>Spawn | CSA Spawnpoint_DC_Base_CSA_30thVA-2 [map-25/004]</x:v>
      </x:c>
      <x:c r="C542" s="136" t="str">
        <x:v>spawn</x:v>
      </x:c>
      <x:c r="D542" s="136" t="str">
        <x:v>CSA</x:v>
      </x:c>
      <x:c r="E542" s="136" t="str">
        <x:v>Spawnpoint_DC_Base_CSA_30thVA-2</x:v>
      </x:c>
      <x:c r="F542" s="137" t="n">
        <x:v>389.2229919433594</x:v>
      </x:c>
      <x:c r="G542" s="137" t="n">
        <x:v>2489.917236328125</x:v>
      </x:c>
      <x:c r="H542" s="137" t="n">
        <x:v>64.12510681152344</x:v>
      </x:c>
      <x:c r="I542" s="137" t="n">
        <x:v>468.34439980092327</x:v>
      </x:c>
      <x:c r="J542" s="137" t="n">
        <x:v>1310.2916792296103</x:v>
      </x:c>
      <x:c r="K542" s="136" t="str">
        <x:v>map-25</x:v>
      </x:c>
      <x:c r="L542" s="136" t="str">
        <x:v>Antietam | Skirmish | Dunker Church||Spawn | CSA Spawnpoint_DC_Base_CSA_30thVA-2 [map-25/004]</x:v>
      </x:c>
      <x:c r="M542" s="35"/>
      <x:c r="N542" s="35"/>
      <x:c r="O542" s="35"/>
      <x:c r="P542" s="35"/>
      <x:c r="Q542" s="35"/>
      <x:c r="R542" s="35"/>
      <x:c r="S542" s="35"/>
      <x:c r="T542" s="35"/>
      <x:c r="U542" s="35"/>
      <x:c r="V542" s="35"/>
      <x:c r="W542" s="35"/>
      <x:c r="X542" s="35"/>
      <x:c r="Y542" s="35"/>
      <x:c r="Z542" s="35"/>
      <x:c r="AA542" s="35"/>
    </x:row>
    <x:row r="543">
      <x:c r="A543" s="136" t="str">
        <x:v>Antietam | Skirmish | Dunker Church</x:v>
      </x:c>
      <x:c r="B543" s="136" t="str">
        <x:v>Spawn | CSA Spawnpoint_DC_Defend_CSA_2ndSC-2 [map-25/005]</x:v>
      </x:c>
      <x:c r="C543" s="136" t="str">
        <x:v>spawn</x:v>
      </x:c>
      <x:c r="D543" s="136" t="str">
        <x:v>CSA</x:v>
      </x:c>
      <x:c r="E543" s="136" t="str">
        <x:v>Spawnpoint_DC_Defend_CSA_2ndSC-2</x:v>
      </x:c>
      <x:c r="F543" s="137" t="n">
        <x:v>597.2840576171875</x:v>
      </x:c>
      <x:c r="G543" s="137" t="n">
        <x:v>2380.357421875</x:v>
      </x:c>
      <x:c r="H543" s="137" t="n">
        <x:v>63.30715560913086</x:v>
      </x:c>
      <x:c r="I543" s="137" t="n">
        <x:v>818.0170859086837</x:v>
      </x:c>
      <x:c r="J543" s="137" t="n">
        <x:v>1142.6193877906726</x:v>
      </x:c>
      <x:c r="K543" s="136" t="str">
        <x:v>map-25</x:v>
      </x:c>
      <x:c r="L543" s="136" t="str">
        <x:v>Antietam | Skirmish | Dunker Church||Spawn | CSA Spawnpoint_DC_Defend_CSA_2ndSC-2 [map-25/005]</x:v>
      </x:c>
      <x:c r="M543" s="35"/>
      <x:c r="N543" s="35"/>
      <x:c r="O543" s="35"/>
      <x:c r="P543" s="35"/>
      <x:c r="Q543" s="35"/>
      <x:c r="R543" s="35"/>
      <x:c r="S543" s="35"/>
      <x:c r="T543" s="35"/>
      <x:c r="U543" s="35"/>
      <x:c r="V543" s="35"/>
      <x:c r="W543" s="35"/>
      <x:c r="X543" s="35"/>
      <x:c r="Y543" s="35"/>
      <x:c r="Z543" s="35"/>
      <x:c r="AA543" s="35"/>
    </x:row>
    <x:row r="544">
      <x:c r="A544" s="136" t="str">
        <x:v>Antietam | Skirmish | Dunker Church</x:v>
      </x:c>
      <x:c r="B544" s="136" t="str">
        <x:v>Objective | Victory_Dunker_Church [map-25/006]</x:v>
      </x:c>
      <x:c r="C544" s="136" t="str">
        <x:v>objective</x:v>
      </x:c>
      <x:c r="D544" s="136" t="str"/>
      <x:c r="E544" s="136" t="str">
        <x:v>Victory_Dunker_Church</x:v>
      </x:c>
      <x:c r="F544" s="137" t="n">
        <x:v>601.1080322265625</x:v>
      </x:c>
      <x:c r="G544" s="137" t="n">
        <x:v>2378.672119140625</x:v>
      </x:c>
      <x:c r="H544" s="137" t="n">
        <x:v>62.900001525878906</x:v>
      </x:c>
      <x:c r="I544" s="137" t="n">
        <x:v>824.009484229403</x:v>
      </x:c>
      <x:c r="J544" s="137" t="n">
        <x:v>1139.214635935838</x:v>
      </x:c>
      <x:c r="K544" s="136" t="str">
        <x:v>map-25</x:v>
      </x:c>
      <x:c r="L544" s="136" t="str">
        <x:v>Antietam | Skirmish | Dunker Church||Objective | Victory_Dunker_Church [map-25/006]</x:v>
      </x:c>
      <x:c r="M544" s="35"/>
      <x:c r="N544" s="35"/>
      <x:c r="O544" s="35"/>
      <x:c r="P544" s="35"/>
      <x:c r="Q544" s="35"/>
      <x:c r="R544" s="35"/>
      <x:c r="S544" s="35"/>
      <x:c r="T544" s="35"/>
      <x:c r="U544" s="35"/>
      <x:c r="V544" s="35"/>
      <x:c r="W544" s="35"/>
      <x:c r="X544" s="35"/>
      <x:c r="Y544" s="35"/>
      <x:c r="Z544" s="35"/>
      <x:c r="AA544" s="35"/>
    </x:row>
    <x:row r="545">
      <x:c r="A545" s="136" t="str">
        <x:v>Antietam | Skirmish | Dunker Church</x:v>
      </x:c>
      <x:c r="B545" s="136" t="str">
        <x:v>Artillery | CSA Spawnpoint_DC_CSA_Arty_Carlton_Forward [map-25/007]</x:v>
      </x:c>
      <x:c r="C545" s="136" t="str">
        <x:v>battery</x:v>
      </x:c>
      <x:c r="D545" s="136" t="str">
        <x:v>CSA</x:v>
      </x:c>
      <x:c r="E545" s="136" t="str">
        <x:v>Spawnpoint_DC_CSA_Arty_Carlton_Forward</x:v>
      </x:c>
      <x:c r="F545" s="137" t="n">
        <x:v>579.4478759765625</x:v>
      </x:c>
      <x:c r="G545" s="137" t="n">
        <x:v>2390.557861328125</x:v>
      </x:c>
      <x:c r="H545" s="137" t="n">
        <x:v>64.0965347290039</x:v>
      </x:c>
      <x:c r="I545" s="137" t="n">
        <x:v>786.9719047680614</x:v>
      </x:c>
      <x:c r="J545" s="137" t="n">
        <x:v>1156.1977219178752</x:v>
      </x:c>
      <x:c r="K545" s="136" t="str">
        <x:v>map-25</x:v>
      </x:c>
      <x:c r="L545" s="136" t="str">
        <x:v>Antietam | Skirmish | Dunker Church||Artillery | CSA Spawnpoint_DC_CSA_Arty_Carlton_Forward [map-25/007]</x:v>
      </x:c>
      <x:c r="M545" s="35"/>
      <x:c r="N545" s="35"/>
      <x:c r="O545" s="35"/>
      <x:c r="P545" s="35"/>
      <x:c r="Q545" s="35"/>
      <x:c r="R545" s="35"/>
      <x:c r="S545" s="35"/>
      <x:c r="T545" s="35"/>
      <x:c r="U545" s="35"/>
      <x:c r="V545" s="35"/>
      <x:c r="W545" s="35"/>
      <x:c r="X545" s="35"/>
      <x:c r="Y545" s="35"/>
      <x:c r="Z545" s="35"/>
      <x:c r="AA545" s="35"/>
    </x:row>
    <x:row r="546">
      <x:c r="A546" s="136" t="str">
        <x:v>Antietam | Skirmish | Dunker Church</x:v>
      </x:c>
      <x:c r="B546" s="136" t="str">
        <x:v>Spawn | CSA Spawnpoint_DC_Defend_CSA_2ndSC [map-25/008]</x:v>
      </x:c>
      <x:c r="C546" s="136" t="str">
        <x:v>spawn</x:v>
      </x:c>
      <x:c r="D546" s="136" t="str">
        <x:v>CSA</x:v>
      </x:c>
      <x:c r="E546" s="136" t="str">
        <x:v>Spawnpoint_DC_Defend_CSA_2ndSC</x:v>
      </x:c>
      <x:c r="F546" s="137" t="n">
        <x:v>586.08740234375</x:v>
      </x:c>
      <x:c r="G546" s="137" t="n">
        <x:v>2371.74072265625</x:v>
      </x:c>
      <x:c r="H546" s="137" t="n">
        <x:v>63.601036071777344</x:v>
      </x:c>
      <x:c r="I546" s="137" t="n">
        <x:v>818.3962629506789</x:v>
      </x:c>
      <x:c r="J546" s="137" t="n">
        <x:v>1165.9243277383875</x:v>
      </x:c>
      <x:c r="K546" s="136" t="str">
        <x:v>map-25</x:v>
      </x:c>
      <x:c r="L546" s="136" t="str">
        <x:v>Antietam | Skirmish | Dunker Church||Spawn | CSA Spawnpoint_DC_Defend_CSA_2ndSC [map-25/008]</x:v>
      </x:c>
      <x:c r="M546" s="35"/>
      <x:c r="N546" s="35"/>
      <x:c r="O546" s="35"/>
      <x:c r="P546" s="35"/>
      <x:c r="Q546" s="35"/>
      <x:c r="R546" s="35"/>
      <x:c r="S546" s="35"/>
      <x:c r="T546" s="35"/>
      <x:c r="U546" s="35"/>
      <x:c r="V546" s="35"/>
      <x:c r="W546" s="35"/>
      <x:c r="X546" s="35"/>
      <x:c r="Y546" s="35"/>
      <x:c r="Z546" s="35"/>
      <x:c r="AA546" s="35"/>
    </x:row>
    <x:row r="547">
      <x:c r="A547" s="136" t="str">
        <x:v>Antietam | Skirmish | Dunker Church</x:v>
      </x:c>
      <x:c r="B547" s="136" t="str">
        <x:v>Spawn | CSA Spawnpoint_DC_Base_CSA_30thVA [map-25/009]</x:v>
      </x:c>
      <x:c r="C547" s="136" t="str">
        <x:v>spawn</x:v>
      </x:c>
      <x:c r="D547" s="136" t="str">
        <x:v>CSA</x:v>
      </x:c>
      <x:c r="E547" s="136" t="str">
        <x:v>Spawnpoint_DC_Base_CSA_30thVA</x:v>
      </x:c>
      <x:c r="F547" s="137" t="n">
        <x:v>375.061767578125</x:v>
      </x:c>
      <x:c r="G547" s="137" t="n">
        <x:v>2496.774169921875</x:v>
      </x:c>
      <x:c r="H547" s="137" t="n">
        <x:v>63.565162658691406</x:v>
      </x:c>
      <x:c r="I547" s="137" t="n">
        <x:v>445.3383625827792</x:v>
      </x:c>
      <x:c r="J547" s="137" t="n">
        <x:v>1322.2944040620744</x:v>
      </x:c>
      <x:c r="K547" s="136" t="str">
        <x:v>map-25</x:v>
      </x:c>
      <x:c r="L547" s="136" t="str">
        <x:v>Antietam | Skirmish | Dunker Church||Spawn | CSA Spawnpoint_DC_Base_CSA_30thVA [map-25/009]</x:v>
      </x:c>
      <x:c r="M547" s="35"/>
      <x:c r="N547" s="35"/>
      <x:c r="O547" s="35"/>
      <x:c r="P547" s="35"/>
      <x:c r="Q547" s="35"/>
      <x:c r="R547" s="35"/>
      <x:c r="S547" s="35"/>
      <x:c r="T547" s="35"/>
      <x:c r="U547" s="35"/>
      <x:c r="V547" s="35"/>
      <x:c r="W547" s="35"/>
      <x:c r="X547" s="35"/>
      <x:c r="Y547" s="35"/>
      <x:c r="Z547" s="35"/>
      <x:c r="AA547" s="35"/>
    </x:row>
    <x:row r="548">
      <x:c r="A548" s="136" t="str">
        <x:v>Antietam | Skirmish | Dunker Church</x:v>
      </x:c>
      <x:c r="B548" s="136" t="str">
        <x:v>Artillery | CSA Spawnpoint_DC_CSA_Arty_Base [map-25/010]</x:v>
      </x:c>
      <x:c r="C548" s="136" t="str">
        <x:v>battery</x:v>
      </x:c>
      <x:c r="D548" s="136" t="str">
        <x:v>CSA</x:v>
      </x:c>
      <x:c r="E548" s="136" t="str">
        <x:v>Spawnpoint_DC_CSA_Arty_Base</x:v>
      </x:c>
      <x:c r="F548" s="137" t="n">
        <x:v>366.78643798828125</x:v>
      </x:c>
      <x:c r="G548" s="137" t="n">
        <x:v>2516.995361328125</x:v>
      </x:c>
      <x:c r="H548" s="137" t="n">
        <x:v>62.96120071411133</x:v>
      </x:c>
      <x:c r="I548" s="137" t="n">
        <x:v>410.44700167874123</x:v>
      </x:c>
      <x:c r="J548" s="137" t="n">
        <x:v>1313.3520110781108</x:v>
      </x:c>
      <x:c r="K548" s="136" t="str">
        <x:v>map-25</x:v>
      </x:c>
      <x:c r="L548" s="136" t="str">
        <x:v>Antietam | Skirmish | Dunker Church||Artillery | CSA Spawnpoint_DC_CSA_Arty_Base [map-25/010]</x:v>
      </x:c>
      <x:c r="M548" s="35"/>
      <x:c r="N548" s="35"/>
      <x:c r="O548" s="35"/>
      <x:c r="P548" s="35"/>
      <x:c r="Q548" s="35"/>
      <x:c r="R548" s="35"/>
      <x:c r="S548" s="35"/>
      <x:c r="T548" s="35"/>
      <x:c r="U548" s="35"/>
      <x:c r="V548" s="35"/>
      <x:c r="W548" s="35"/>
      <x:c r="X548" s="35"/>
      <x:c r="Y548" s="35"/>
      <x:c r="Z548" s="35"/>
      <x:c r="AA548" s="35"/>
    </x:row>
    <x:row r="549">
      <x:c r="A549" s="136" t="str">
        <x:v>Antietam | Skirmish | Dunker Church</x:v>
      </x:c>
      <x:c r="B549" s="136" t="str">
        <x:v>Spawn | USA Spawnpoint_DC_Base_USA_72ndPA [map-25/011]</x:v>
      </x:c>
      <x:c r="C549" s="136" t="str">
        <x:v>spawn</x:v>
      </x:c>
      <x:c r="D549" s="136" t="str">
        <x:v>USA</x:v>
      </x:c>
      <x:c r="E549" s="136" t="str">
        <x:v>Spawnpoint_DC_Base_USA_72ndPA</x:v>
      </x:c>
      <x:c r="F549" s="137" t="n">
        <x:v>937.619140625</x:v>
      </x:c>
      <x:c r="G549" s="137" t="n">
        <x:v>2233.2900390625</x:v>
      </x:c>
      <x:c r="H549" s="137" t="n">
        <x:v>63.05644989013672</x:v>
      </x:c>
      <x:c r="I549" s="137" t="n">
        <x:v>1347.4733869001757</x:v>
      </x:c>
      <x:c r="J549" s="137" t="n">
        <x:v>836.7166455854658</x:v>
      </x:c>
      <x:c r="K549" s="136" t="str">
        <x:v>map-25</x:v>
      </x:c>
      <x:c r="L549" s="136" t="str">
        <x:v>Antietam | Skirmish | Dunker Church||Spawn | USA Spawnpoint_DC_Base_USA_72ndPA [map-25/011]</x:v>
      </x:c>
      <x:c r="M549" s="35"/>
      <x:c r="N549" s="35"/>
      <x:c r="O549" s="35"/>
      <x:c r="P549" s="35"/>
      <x:c r="Q549" s="35"/>
      <x:c r="R549" s="35"/>
      <x:c r="S549" s="35"/>
      <x:c r="T549" s="35"/>
      <x:c r="U549" s="35"/>
      <x:c r="V549" s="35"/>
      <x:c r="W549" s="35"/>
      <x:c r="X549" s="35"/>
      <x:c r="Y549" s="35"/>
      <x:c r="Z549" s="35"/>
      <x:c r="AA549" s="35"/>
    </x:row>
    <x:row r="550">
      <x:c r="A550" s="136" t="str">
        <x:v>Antietam | Skirmish | Dunker Church</x:v>
      </x:c>
      <x:c r="B550" s="136" t="str">
        <x:v>Spawn | USA Spawnpoint_DC_Base_USA_28thPA [map-25/012]</x:v>
      </x:c>
      <x:c r="C550" s="136" t="str">
        <x:v>spawn</x:v>
      </x:c>
      <x:c r="D550" s="136" t="str">
        <x:v>USA</x:v>
      </x:c>
      <x:c r="E550" s="136" t="str">
        <x:v>Spawnpoint_DC_Base_USA_28thPA</x:v>
      </x:c>
      <x:c r="F550" s="137" t="n">
        <x:v>936.897216796875</x:v>
      </x:c>
      <x:c r="G550" s="137" t="n">
        <x:v>2224.038818359375</x:v>
      </x:c>
      <x:c r="H550" s="137" t="n">
        <x:v>63.16217803955078</x:v>
      </x:c>
      <x:c r="I550" s="137" t="n">
        <x:v>1359.0000234359627</x:v>
      </x:c>
      <x:c r="J550" s="137" t="n">
        <x:v>846.7766231628918</x:v>
      </x:c>
      <x:c r="K550" s="136" t="str">
        <x:v>map-25</x:v>
      </x:c>
      <x:c r="L550" s="136" t="str">
        <x:v>Antietam | Skirmish | Dunker Church||Spawn | USA Spawnpoint_DC_Base_USA_28thPA [map-25/012]</x:v>
      </x:c>
      <x:c r="M550" s="35"/>
      <x:c r="N550" s="35"/>
      <x:c r="O550" s="35"/>
      <x:c r="P550" s="35"/>
      <x:c r="Q550" s="35"/>
      <x:c r="R550" s="35"/>
      <x:c r="S550" s="35"/>
      <x:c r="T550" s="35"/>
      <x:c r="U550" s="35"/>
      <x:c r="V550" s="35"/>
      <x:c r="W550" s="35"/>
      <x:c r="X550" s="35"/>
      <x:c r="Y550" s="35"/>
      <x:c r="Z550" s="35"/>
      <x:c r="AA550" s="35"/>
    </x:row>
    <x:row r="551">
      <x:c r="A551" s="136" t="str">
        <x:v>Antietam | Skirmish | Dunker Church</x:v>
      </x:c>
      <x:c r="B551" s="136" t="str">
        <x:v>Spawn | CSA Spawnpoint_DC_Defend_CSA_30thVA-2 [map-25/013]</x:v>
      </x:c>
      <x:c r="C551" s="136" t="str">
        <x:v>spawn</x:v>
      </x:c>
      <x:c r="D551" s="136" t="str">
        <x:v>CSA</x:v>
      </x:c>
      <x:c r="E551" s="136" t="str">
        <x:v>Spawnpoint_DC_Defend_CSA_30thVA-2</x:v>
      </x:c>
      <x:c r="F551" s="137" t="n">
        <x:v>561.1224975585938</x:v>
      </x:c>
      <x:c r="G551" s="137" t="n">
        <x:v>2352.672607421875</x:v>
      </x:c>
      <x:c r="H551" s="137" t="n">
        <x:v>62.64239501953125</x:v>
      </x:c>
      <x:c r="I551" s="137" t="n">
        <x:v>819.0507976655165</x:v>
      </x:c>
      <x:c r="J551" s="137" t="n">
        <x:v>1217.744744629311</x:v>
      </x:c>
      <x:c r="K551" s="136" t="str">
        <x:v>map-25</x:v>
      </x:c>
      <x:c r="L551" s="136" t="str">
        <x:v>Antietam | Skirmish | Dunker Church||Spawn | CSA Spawnpoint_DC_Defend_CSA_30thVA-2 [map-25/013]</x:v>
      </x:c>
      <x:c r="M551" s="35"/>
      <x:c r="N551" s="35"/>
      <x:c r="O551" s="35"/>
      <x:c r="P551" s="35"/>
      <x:c r="Q551" s="35"/>
      <x:c r="R551" s="35"/>
      <x:c r="S551" s="35"/>
      <x:c r="T551" s="35"/>
      <x:c r="U551" s="35"/>
      <x:c r="V551" s="35"/>
      <x:c r="W551" s="35"/>
      <x:c r="X551" s="35"/>
      <x:c r="Y551" s="35"/>
      <x:c r="Z551" s="35"/>
      <x:c r="AA551" s="35"/>
    </x:row>
    <x:row r="552">
      <x:c r="A552" s="136" t="str">
        <x:v>Antietam | Skirmish | Dunker Church</x:v>
      </x:c>
      <x:c r="B552" s="136" t="str">
        <x:v>Spawn | CSA Spawnpoint_DC_Base_CSA_2ndSC-2 [map-25/014]</x:v>
      </x:c>
      <x:c r="C552" s="136" t="str">
        <x:v>spawn</x:v>
      </x:c>
      <x:c r="D552" s="136" t="str">
        <x:v>CSA</x:v>
      </x:c>
      <x:c r="E552" s="136" t="str">
        <x:v>Spawnpoint_DC_Base_CSA_2ndSC-2</x:v>
      </x:c>
      <x:c r="F552" s="137" t="n">
        <x:v>404.6886291503906</x:v>
      </x:c>
      <x:c r="G552" s="137" t="n">
        <x:v>2489.59375</x:v>
      </x:c>
      <x:c r="H552" s="137" t="n">
        <x:v>64.90035247802734</x:v>
      </x:c>
      <x:c r="I552" s="137" t="n">
        <x:v>483.99196848104555</x:v>
      </x:c>
      <x:c r="J552" s="137" t="n">
        <x:v>1290.1322649564768</x:v>
      </x:c>
      <x:c r="K552" s="136" t="str">
        <x:v>map-25</x:v>
      </x:c>
      <x:c r="L552" s="136" t="str">
        <x:v>Antietam | Skirmish | Dunker Church||Spawn | CSA Spawnpoint_DC_Base_CSA_2ndSC-2 [map-25/014]</x:v>
      </x:c>
      <x:c r="M552" s="35"/>
      <x:c r="N552" s="35"/>
      <x:c r="O552" s="35"/>
      <x:c r="P552" s="35"/>
      <x:c r="Q552" s="35"/>
      <x:c r="R552" s="35"/>
      <x:c r="S552" s="35"/>
      <x:c r="T552" s="35"/>
      <x:c r="U552" s="35"/>
      <x:c r="V552" s="35"/>
      <x:c r="W552" s="35"/>
      <x:c r="X552" s="35"/>
      <x:c r="Y552" s="35"/>
      <x:c r="Z552" s="35"/>
      <x:c r="AA552" s="35"/>
    </x:row>
    <x:row r="553">
      <x:c r="A553" s="136" t="str">
        <x:v>Antietam | Skirmish | Dunker Church</x:v>
      </x:c>
      <x:c r="B553" s="136" t="str">
        <x:v>Spawn | CSA Spawnpoint_DC_Base_CSA_2ndSC [map-25/015]</x:v>
      </x:c>
      <x:c r="C553" s="136" t="str">
        <x:v>spawn</x:v>
      </x:c>
      <x:c r="D553" s="136" t="str">
        <x:v>CSA</x:v>
      </x:c>
      <x:c r="E553" s="136" t="str">
        <x:v>Spawnpoint_DC_Base_CSA_2ndSC</x:v>
      </x:c>
      <x:c r="F553" s="137" t="n">
        <x:v>377.8740234375</x:v>
      </x:c>
      <x:c r="G553" s="137" t="n">
        <x:v>2503.805419921875</x:v>
      </x:c>
      <x:c r="H553" s="137" t="n">
        <x:v>63.201446533203125</x:v>
      </x:c>
      <x:c r="I553" s="137" t="n">
        <x:v>438.80528674932583</x:v>
      </x:c>
      <x:c r="J553" s="137" t="n">
        <x:v>1311.6513225467693</x:v>
      </x:c>
      <x:c r="K553" s="136" t="str">
        <x:v>map-25</x:v>
      </x:c>
      <x:c r="L553" s="136" t="str">
        <x:v>Antietam | Skirmish | Dunker Church||Spawn | CSA Spawnpoint_DC_Base_CSA_2ndSC [map-25/015]</x:v>
      </x:c>
      <x:c r="M553" s="35"/>
      <x:c r="N553" s="35"/>
      <x:c r="O553" s="35"/>
      <x:c r="P553" s="35"/>
      <x:c r="Q553" s="35"/>
      <x:c r="R553" s="35"/>
      <x:c r="S553" s="35"/>
      <x:c r="T553" s="35"/>
      <x:c r="U553" s="35"/>
      <x:c r="V553" s="35"/>
      <x:c r="W553" s="35"/>
      <x:c r="X553" s="35"/>
      <x:c r="Y553" s="35"/>
      <x:c r="Z553" s="35"/>
      <x:c r="AA553" s="35"/>
    </x:row>
    <x:row r="554">
      <x:c r="A554" s="136" t="str">
        <x:v>Antietam | Skirmish | Dunker Church</x:v>
      </x:c>
      <x:c r="B554" s="136" t="str">
        <x:v>Artillery | USA Spawnpoint_DC_USA_Arty_Edgell_Forward [map-25/016]</x:v>
      </x:c>
      <x:c r="C554" s="136" t="str">
        <x:v>battery</x:v>
      </x:c>
      <x:c r="D554" s="136" t="str">
        <x:v>USA</x:v>
      </x:c>
      <x:c r="E554" s="136" t="str">
        <x:v>Spawnpoint_DC_USA_Arty_Edgell_Forward</x:v>
      </x:c>
      <x:c r="F554" s="137" t="n">
        <x:v>968.9454956054688</x:v>
      </x:c>
      <x:c r="G554" s="137" t="n">
        <x:v>2313.384521484375</x:v>
      </x:c>
      <x:c r="H554" s="137" t="n">
        <x:v>64.01547241210938</x:v>
      </x:c>
      <x:c r="I554" s="137" t="n">
        <x:v>1272.3563269996691</x:v>
      </x:c>
      <x:c r="J554" s="137" t="n">
        <x:v>716.4173319832415</x:v>
      </x:c>
      <x:c r="K554" s="136" t="str">
        <x:v>map-25</x:v>
      </x:c>
      <x:c r="L554" s="136" t="str">
        <x:v>Antietam | Skirmish | Dunker Church||Artillery | USA Spawnpoint_DC_USA_Arty_Edgell_Forward [map-25/016]</x:v>
      </x:c>
      <x:c r="M554" s="35"/>
      <x:c r="N554" s="35"/>
      <x:c r="O554" s="35"/>
      <x:c r="P554" s="35"/>
      <x:c r="Q554" s="35"/>
      <x:c r="R554" s="35"/>
      <x:c r="S554" s="35"/>
      <x:c r="T554" s="35"/>
      <x:c r="U554" s="35"/>
      <x:c r="V554" s="35"/>
      <x:c r="W554" s="35"/>
      <x:c r="X554" s="35"/>
      <x:c r="Y554" s="35"/>
      <x:c r="Z554" s="35"/>
      <x:c r="AA554" s="35"/>
    </x:row>
    <x:row r="555">
      <x:c r="A555" s="136" t="str">
        <x:v>Antietam | Skirmish | Dunker Church</x:v>
      </x:c>
      <x:c r="B555" s="136" t="str">
        <x:v>Artillery | USA Spawnpoint_DC_USA_Arty_Tompkins_Forward [map-25/017]</x:v>
      </x:c>
      <x:c r="C555" s="136" t="str">
        <x:v>battery</x:v>
      </x:c>
      <x:c r="D555" s="136" t="str">
        <x:v>USA</x:v>
      </x:c>
      <x:c r="E555" s="136" t="str">
        <x:v>Spawnpoint_DC_USA_Arty_Tompkins_Forward</x:v>
      </x:c>
      <x:c r="F555" s="137" t="n">
        <x:v>760.2962646484375</x:v>
      </x:c>
      <x:c r="G555" s="137" t="n">
        <x:v>2174.486572265625</x:v>
      </x:c>
      <x:c r="H555" s="137" t="n">
        <x:v>59.87028121948242</x:v>
      </x:c>
      <x:c r="I555" s="137" t="n">
        <x:v>1250.7530592761116</x:v>
      </x:c>
      <x:c r="J555" s="137" t="n">
        <x:v>1129.3747653445914</x:v>
      </x:c>
      <x:c r="K555" s="136" t="str">
        <x:v>map-25</x:v>
      </x:c>
      <x:c r="L555" s="136" t="str">
        <x:v>Antietam | Skirmish | Dunker Church||Artillery | USA Spawnpoint_DC_USA_Arty_Tompkins_Forward [map-25/017]</x:v>
      </x:c>
      <x:c r="M555" s="35"/>
      <x:c r="N555" s="35"/>
      <x:c r="O555" s="35"/>
      <x:c r="P555" s="35"/>
      <x:c r="Q555" s="35"/>
      <x:c r="R555" s="35"/>
      <x:c r="S555" s="35"/>
      <x:c r="T555" s="35"/>
      <x:c r="U555" s="35"/>
      <x:c r="V555" s="35"/>
      <x:c r="W555" s="35"/>
      <x:c r="X555" s="35"/>
      <x:c r="Y555" s="35"/>
      <x:c r="Z555" s="35"/>
      <x:c r="AA555" s="35"/>
    </x:row>
    <x:row r="556">
      <x:c r="A556" s="136" t="str">
        <x:v>Antietam | Skirmish | Dunker Church</x:v>
      </x:c>
      <x:c r="B556" s="136" t="str">
        <x:v>Spawn | USA Spawnpoint_DC_Base_USA_28thPA-2 [map-25/018]</x:v>
      </x:c>
      <x:c r="C556" s="136" t="str">
        <x:v>spawn</x:v>
      </x:c>
      <x:c r="D556" s="136" t="str">
        <x:v>USA</x:v>
      </x:c>
      <x:c r="E556" s="136" t="str">
        <x:v>Spawnpoint_DC_Base_USA_28thPA-2</x:v>
      </x:c>
      <x:c r="F556" s="137" t="n">
        <x:v>958.675048828125</x:v>
      </x:c>
      <x:c r="G556" s="137" t="n">
        <x:v>2221.421875</x:v>
      </x:c>
      <x:c r="H556" s="137" t="n">
        <x:v>61.911991119384766</x:v>
      </x:c>
      <x:c r="I556" s="137" t="n">
        <x:v>1383.893076584344</x:v>
      </x:c>
      <x:c r="J556" s="137" t="n">
        <x:v>820.5163343779576</x:v>
      </x:c>
      <x:c r="K556" s="136" t="str">
        <x:v>map-25</x:v>
      </x:c>
      <x:c r="L556" s="136" t="str">
        <x:v>Antietam | Skirmish | Dunker Church||Spawn | USA Spawnpoint_DC_Base_USA_28thPA-2 [map-25/018]</x:v>
      </x:c>
      <x:c r="M556" s="35"/>
      <x:c r="N556" s="35"/>
      <x:c r="O556" s="35"/>
      <x:c r="P556" s="35"/>
      <x:c r="Q556" s="35"/>
      <x:c r="R556" s="35"/>
      <x:c r="S556" s="35"/>
      <x:c r="T556" s="35"/>
      <x:c r="U556" s="35"/>
      <x:c r="V556" s="35"/>
      <x:c r="W556" s="35"/>
      <x:c r="X556" s="35"/>
      <x:c r="Y556" s="35"/>
      <x:c r="Z556" s="35"/>
      <x:c r="AA556" s="35"/>
    </x:row>
    <x:row r="557">
      <x:c r="A557" s="136" t="str">
        <x:v>Antietam | Skirmish | Dunker Church</x:v>
      </x:c>
      <x:c r="B557" s="136" t="str">
        <x:v>Gun | 10-pounder Parrott · Entity-1075 [map-25/019]</x:v>
      </x:c>
      <x:c r="C557" s="136" t="str">
        <x:v>gun_spawn</x:v>
      </x:c>
      <x:c r="D557" s="136" t="str"/>
      <x:c r="E557" s="136" t="str">
        <x:v>10-pounder Parrott · Entity-1075</x:v>
      </x:c>
      <x:c r="F557" s="137" t="n">
        <x:v>949.4340209960938</x:v>
      </x:c>
      <x:c r="G557" s="137" t="n">
        <x:v>2293.580078125</x:v>
      </x:c>
      <x:c r="H557" s="137" t="n">
        <x:v>64.06321716308594</x:v>
      </x:c>
      <x:c r="I557" s="137" t="n">
        <x:v>1279.3515422878097</x:v>
      </x:c>
      <x:c r="J557" s="137" t="n">
        <x:v>761.7415835142962</x:v>
      </x:c>
      <x:c r="K557" s="136" t="str">
        <x:v>map-25</x:v>
      </x:c>
      <x:c r="L557" s="136" t="str">
        <x:v>Antietam | Skirmish | Dunker Church||Gun | 10-pounder Parrott · Entity-1075 [map-25/019]</x:v>
      </x:c>
      <x:c r="M557" s="35"/>
      <x:c r="N557" s="35"/>
      <x:c r="O557" s="35"/>
      <x:c r="P557" s="35"/>
      <x:c r="Q557" s="35"/>
      <x:c r="R557" s="35"/>
      <x:c r="S557" s="35"/>
      <x:c r="T557" s="35"/>
      <x:c r="U557" s="35"/>
      <x:c r="V557" s="35"/>
      <x:c r="W557" s="35"/>
      <x:c r="X557" s="35"/>
      <x:c r="Y557" s="35"/>
      <x:c r="Z557" s="35"/>
      <x:c r="AA557" s="35"/>
    </x:row>
    <x:row r="558">
      <x:c r="A558" s="136" t="str">
        <x:v>Antietam | Skirmish | Dunker Church</x:v>
      </x:c>
      <x:c r="B558" s="136" t="str">
        <x:v>Gun | 10-pounder Parrott · Entity-1076 [map-25/020]</x:v>
      </x:c>
      <x:c r="C558" s="136" t="str">
        <x:v>gun_spawn</x:v>
      </x:c>
      <x:c r="D558" s="136" t="str"/>
      <x:c r="E558" s="136" t="str">
        <x:v>10-pounder Parrott · Entity-1076</x:v>
      </x:c>
      <x:c r="F558" s="137" t="n">
        <x:v>949.7969970703125</x:v>
      </x:c>
      <x:c r="G558" s="137" t="n">
        <x:v>2284.77001953125</x:v>
      </x:c>
      <x:c r="H558" s="137" t="n">
        <x:v>63.7692985534668</x:v>
      </x:c>
      <x:c r="I558" s="137" t="n">
        <x:v>1291.3622763290496</x:v>
      </x:c>
      <x:c r="J558" s="137" t="n">
        <x:v>769.9309197777594</x:v>
      </x:c>
      <x:c r="K558" s="136" t="str">
        <x:v>map-25</x:v>
      </x:c>
      <x:c r="L558" s="136" t="str">
        <x:v>Antietam | Skirmish | Dunker Church||Gun | 10-pounder Parrott · Entity-1076 [map-25/020]</x:v>
      </x:c>
      <x:c r="M558" s="35"/>
      <x:c r="N558" s="35"/>
      <x:c r="O558" s="35"/>
      <x:c r="P558" s="35"/>
      <x:c r="Q558" s="35"/>
      <x:c r="R558" s="35"/>
      <x:c r="S558" s="35"/>
      <x:c r="T558" s="35"/>
      <x:c r="U558" s="35"/>
      <x:c r="V558" s="35"/>
      <x:c r="W558" s="35"/>
      <x:c r="X558" s="35"/>
      <x:c r="Y558" s="35"/>
      <x:c r="Z558" s="35"/>
      <x:c r="AA558" s="35"/>
    </x:row>
    <x:row r="559">
      <x:c r="A559" s="136" t="str">
        <x:v>Antietam | Skirmish | Dunker Church</x:v>
      </x:c>
      <x:c r="B559" s="136" t="str">
        <x:v>Gun | 3-inch Ordnance · Entity-1087 [map-25/021]</x:v>
      </x:c>
      <x:c r="C559" s="136" t="str">
        <x:v>gun_spawn</x:v>
      </x:c>
      <x:c r="D559" s="136" t="str"/>
      <x:c r="E559" s="136" t="str">
        <x:v>3-inch Ordnance · Entity-1087</x:v>
      </x:c>
      <x:c r="F559" s="137" t="n">
        <x:v>717.655029296875</x:v>
      </x:c>
      <x:c r="G559" s="137" t="n">
        <x:v>2170.72998046875</x:v>
      </x:c>
      <x:c r="H559" s="137" t="n">
        <x:v>60.636512756347656</x:v>
      </x:c>
      <x:c r="I559" s="137" t="n">
        <x:v>1213.7590204910168</x:v>
      </x:c>
      <x:c r="J559" s="137" t="n">
        <x:v>1189.5320618096373</x:v>
      </x:c>
      <x:c r="K559" s="136" t="str">
        <x:v>map-25</x:v>
      </x:c>
      <x:c r="L559" s="136" t="str">
        <x:v>Antietam | Skirmish | Dunker Church||Gun | 3-inch Ordnance · Entity-1087 [map-25/021]</x:v>
      </x:c>
      <x:c r="M559" s="35"/>
      <x:c r="N559" s="35"/>
      <x:c r="O559" s="35"/>
      <x:c r="P559" s="35"/>
      <x:c r="Q559" s="35"/>
      <x:c r="R559" s="35"/>
      <x:c r="S559" s="35"/>
      <x:c r="T559" s="35"/>
      <x:c r="U559" s="35"/>
      <x:c r="V559" s="35"/>
      <x:c r="W559" s="35"/>
      <x:c r="X559" s="35"/>
      <x:c r="Y559" s="35"/>
      <x:c r="Z559" s="35"/>
      <x:c r="AA559" s="35"/>
    </x:row>
    <x:row r="560">
      <x:c r="A560" s="136" t="str">
        <x:v>Antietam | Skirmish | Dunker Church</x:v>
      </x:c>
      <x:c r="B560" s="136" t="str">
        <x:v>Gun | 3-inch Ordnance · Entity-1088 [map-25/022]</x:v>
      </x:c>
      <x:c r="C560" s="136" t="str">
        <x:v>gun_spawn</x:v>
      </x:c>
      <x:c r="D560" s="136" t="str"/>
      <x:c r="E560" s="136" t="str">
        <x:v>3-inch Ordnance · Entity-1088</x:v>
      </x:c>
      <x:c r="F560" s="137" t="n">
        <x:v>714.22900390625</x:v>
      </x:c>
      <x:c r="G560" s="137" t="n">
        <x:v>2162.6201171875</x:v>
      </x:c>
      <x:c r="H560" s="137" t="n">
        <x:v>60.7342643737793</x:v>
      </x:c>
      <x:c r="I560" s="137" t="n">
        <x:v>1221.1148268612715</x:v>
      </x:c>
      <x:c r="J560" s="137" t="n">
        <x:v>1202.0492832118387</x:v>
      </x:c>
      <x:c r="K560" s="136" t="str">
        <x:v>map-25</x:v>
      </x:c>
      <x:c r="L560" s="136" t="str">
        <x:v>Antietam | Skirmish | Dunker Church||Gun | 3-inch Ordnance · Entity-1088 [map-25/022]</x:v>
      </x:c>
      <x:c r="M560" s="35"/>
      <x:c r="N560" s="35"/>
      <x:c r="O560" s="35"/>
      <x:c r="P560" s="35"/>
      <x:c r="Q560" s="35"/>
      <x:c r="R560" s="35"/>
      <x:c r="S560" s="35"/>
      <x:c r="T560" s="35"/>
      <x:c r="U560" s="35"/>
      <x:c r="V560" s="35"/>
      <x:c r="W560" s="35"/>
      <x:c r="X560" s="35"/>
      <x:c r="Y560" s="35"/>
      <x:c r="Z560" s="35"/>
      <x:c r="AA560" s="35"/>
    </x:row>
    <x:row r="561">
      <x:c r="A561" s="136" t="str">
        <x:v>Antietam | Skirmish | Dunker Church</x:v>
      </x:c>
      <x:c r="B561" s="136" t="str">
        <x:v>Gun | 12-pounder Napoleon (USA) · Entity-1080 [map-25/023]</x:v>
      </x:c>
      <x:c r="C561" s="136" t="str">
        <x:v>gun_spawn</x:v>
      </x:c>
      <x:c r="D561" s="136" t="str"/>
      <x:c r="E561" s="136" t="str">
        <x:v>12-pounder Napoleon (USA) · Entity-1080</x:v>
      </x:c>
      <x:c r="F561" s="137" t="n">
        <x:v>947.5819702148438</x:v>
      </x:c>
      <x:c r="G561" s="137" t="n">
        <x:v>2328.27001953125</x:v>
      </x:c>
      <x:c r="H561" s="137" t="n">
        <x:v>62.22357940673828</x:v>
      </x:c>
      <x:c r="I561" s="137" t="n">
        <x:v>1231.642725077312</x:v>
      </x:c>
      <x:c r="J561" s="137" t="n">
        <x:v>730.0556060759911</x:v>
      </x:c>
      <x:c r="K561" s="136" t="str">
        <x:v>map-25</x:v>
      </x:c>
      <x:c r="L561" s="136" t="str">
        <x:v>Antietam | Skirmish | Dunker Church||Gun | 12-pounder Napoleon (USA) · Entity-1080 [map-25/023]</x:v>
      </x:c>
      <x:c r="M561" s="35"/>
      <x:c r="N561" s="35"/>
      <x:c r="O561" s="35"/>
      <x:c r="P561" s="35"/>
      <x:c r="Q561" s="35"/>
      <x:c r="R561" s="35"/>
      <x:c r="S561" s="35"/>
      <x:c r="T561" s="35"/>
      <x:c r="U561" s="35"/>
      <x:c r="V561" s="35"/>
      <x:c r="W561" s="35"/>
      <x:c r="X561" s="35"/>
      <x:c r="Y561" s="35"/>
      <x:c r="Z561" s="35"/>
      <x:c r="AA561" s="35"/>
    </x:row>
    <x:row r="562">
      <x:c r="A562" s="136" t="str">
        <x:v>Antietam | Skirmish | Dunker Church</x:v>
      </x:c>
      <x:c r="B562" s="136" t="str">
        <x:v>Gun | 12-pounder Napoleon (USA) · Entity-1079 [map-25/024]</x:v>
      </x:c>
      <x:c r="C562" s="136" t="str">
        <x:v>gun_spawn</x:v>
      </x:c>
      <x:c r="D562" s="136" t="str"/>
      <x:c r="E562" s="136" t="str">
        <x:v>12-pounder Napoleon (USA) · Entity-1079</x:v>
      </x:c>
      <x:c r="F562" s="137" t="n">
        <x:v>948.5029907226562</x:v>
      </x:c>
      <x:c r="G562" s="137" t="n">
        <x:v>2309.1201171875</x:v>
      </x:c>
      <x:c r="H562" s="137" t="n">
        <x:v>63.83388137817383</x:v>
      </x:c>
      <x:c r="I562" s="137" t="n">
        <x:v>1257.8796869741122</x:v>
      </x:c>
      <x:c r="J562" s="137" t="n">
        <x:v>747.681448196569</x:v>
      </x:c>
      <x:c r="K562" s="136" t="str">
        <x:v>map-25</x:v>
      </x:c>
      <x:c r="L562" s="136" t="str">
        <x:v>Antietam | Skirmish | Dunker Church||Gun | 12-pounder Napoleon (USA) · Entity-1079 [map-25/024]</x:v>
      </x:c>
      <x:c r="M562" s="35"/>
      <x:c r="N562" s="35"/>
      <x:c r="O562" s="35"/>
      <x:c r="P562" s="35"/>
      <x:c r="Q562" s="35"/>
      <x:c r="R562" s="35"/>
      <x:c r="S562" s="35"/>
      <x:c r="T562" s="35"/>
      <x:c r="U562" s="35"/>
      <x:c r="V562" s="35"/>
      <x:c r="W562" s="35"/>
      <x:c r="X562" s="35"/>
      <x:c r="Y562" s="35"/>
      <x:c r="Z562" s="35"/>
      <x:c r="AA562" s="35"/>
    </x:row>
    <x:row r="563">
      <x:c r="A563" s="136" t="str">
        <x:v>Antietam | Skirmish | Dunker Church</x:v>
      </x:c>
      <x:c r="B563" s="136" t="str">
        <x:v>Gun | 12-pounder Napoleon (USA) · Entity-1090 [map-25/025]</x:v>
      </x:c>
      <x:c r="C563" s="136" t="str">
        <x:v>gun_spawn</x:v>
      </x:c>
      <x:c r="D563" s="136" t="str"/>
      <x:c r="E563" s="136" t="str">
        <x:v>12-pounder Napoleon (USA) · Entity-1090</x:v>
      </x:c>
      <x:c r="F563" s="137" t="n">
        <x:v>726.9349975585938</x:v>
      </x:c>
      <x:c r="G563" s="137" t="n">
        <x:v>2194.0400390625</x:v>
      </x:c>
      <x:c r="H563" s="137" t="n">
        <x:v>59.30119323730469</x:v>
      </x:c>
      <x:c r="I563" s="137" t="n">
        <x:v>1192.0579550155471</x:v>
      </x:c>
      <x:c r="J563" s="137" t="n">
        <x:v>1154.3052902170548</x:v>
      </x:c>
      <x:c r="K563" s="136" t="str">
        <x:v>map-25</x:v>
      </x:c>
      <x:c r="L563" s="136" t="str">
        <x:v>Antietam | Skirmish | Dunker Church||Gun | 12-pounder Napoleon (USA) · Entity-1090 [map-25/025]</x:v>
      </x:c>
      <x:c r="M563" s="35"/>
      <x:c r="N563" s="35"/>
      <x:c r="O563" s="35"/>
      <x:c r="P563" s="35"/>
      <x:c r="Q563" s="35"/>
      <x:c r="R563" s="35"/>
      <x:c r="S563" s="35"/>
      <x:c r="T563" s="35"/>
      <x:c r="U563" s="35"/>
      <x:c r="V563" s="35"/>
      <x:c r="W563" s="35"/>
      <x:c r="X563" s="35"/>
      <x:c r="Y563" s="35"/>
      <x:c r="Z563" s="35"/>
      <x:c r="AA563" s="35"/>
    </x:row>
    <x:row r="564">
      <x:c r="A564" s="136" t="str">
        <x:v>Antietam | Skirmish | Dunker Church</x:v>
      </x:c>
      <x:c r="B564" s="136" t="str">
        <x:v>Gun | 12-pounder Napoleon (CSA) · Entity-1099 [map-25/026]</x:v>
      </x:c>
      <x:c r="C564" s="136" t="str">
        <x:v>gun_spawn</x:v>
      </x:c>
      <x:c r="D564" s="136" t="str"/>
      <x:c r="E564" s="136" t="str">
        <x:v>12-pounder Napoleon (CSA) · Entity-1099</x:v>
      </x:c>
      <x:c r="F564" s="137" t="n">
        <x:v>618.2150268554688</x:v>
      </x:c>
      <x:c r="G564" s="137" t="n">
        <x:v>2401.510009765625</x:v>
      </x:c>
      <x:c r="H564" s="137" t="n">
        <x:v>62.80305099487305</x:v>
      </x:c>
      <x:c r="I564" s="137" t="n">
        <x:v>810.6355279181391</x:v>
      </x:c>
      <x:c r="J564" s="137" t="n">
        <x:v>1094.088906397887</x:v>
      </x:c>
      <x:c r="K564" s="136" t="str">
        <x:v>map-25</x:v>
      </x:c>
      <x:c r="L564" s="136" t="str">
        <x:v>Antietam | Skirmish | Dunker Church||Gun | 12-pounder Napoleon (CSA) · Entity-1099 [map-25/026]</x:v>
      </x:c>
      <x:c r="M564" s="35"/>
      <x:c r="N564" s="35"/>
      <x:c r="O564" s="35"/>
      <x:c r="P564" s="35"/>
      <x:c r="Q564" s="35"/>
      <x:c r="R564" s="35"/>
      <x:c r="S564" s="35"/>
      <x:c r="T564" s="35"/>
      <x:c r="U564" s="35"/>
      <x:c r="V564" s="35"/>
      <x:c r="W564" s="35"/>
      <x:c r="X564" s="35"/>
      <x:c r="Y564" s="35"/>
      <x:c r="Z564" s="35"/>
      <x:c r="AA564" s="35"/>
    </x:row>
    <x:row r="565">
      <x:c r="A565" s="136" t="str">
        <x:v>Antietam | Skirmish | Dunker Church</x:v>
      </x:c>
      <x:c r="B565" s="136" t="str">
        <x:v>Gun | 12-pounder Napoleon (USA) · Entity-1092 [map-25/027]</x:v>
      </x:c>
      <x:c r="C565" s="136" t="str">
        <x:v>gun_spawn</x:v>
      </x:c>
      <x:c r="D565" s="136" t="str"/>
      <x:c r="E565" s="136" t="str">
        <x:v>12-pounder Napoleon (USA) · Entity-1092</x:v>
      </x:c>
      <x:c r="F565" s="137" t="n">
        <x:v>730.7760009765625</x:v>
      </x:c>
      <x:c r="G565" s="137" t="n">
        <x:v>2202.909912109375</x:v>
      </x:c>
      <x:c r="H565" s="137" t="n">
        <x:v>58.87051773071289</x:v>
      </x:c>
      <x:c r="I565" s="137" t="n">
        <x:v>1184.1052218541115</x:v>
      </x:c>
      <x:c r="J565" s="137" t="n">
        <x:v>1140.4906815136894</x:v>
      </x:c>
      <x:c r="K565" s="136" t="str">
        <x:v>map-25</x:v>
      </x:c>
      <x:c r="L565" s="136" t="str">
        <x:v>Antietam | Skirmish | Dunker Church||Gun | 12-pounder Napoleon (USA) · Entity-1092 [map-25/027]</x:v>
      </x:c>
      <x:c r="M565" s="35"/>
      <x:c r="N565" s="35"/>
      <x:c r="O565" s="35"/>
      <x:c r="P565" s="35"/>
      <x:c r="Q565" s="35"/>
      <x:c r="R565" s="35"/>
      <x:c r="S565" s="35"/>
      <x:c r="T565" s="35"/>
      <x:c r="U565" s="35"/>
      <x:c r="V565" s="35"/>
      <x:c r="W565" s="35"/>
      <x:c r="X565" s="35"/>
      <x:c r="Y565" s="35"/>
      <x:c r="Z565" s="35"/>
      <x:c r="AA565" s="35"/>
    </x:row>
    <x:row r="566">
      <x:c r="A566" s="136" t="str">
        <x:v>Antietam | Skirmish | Dunker Church</x:v>
      </x:c>
      <x:c r="B566" s="136" t="str">
        <x:v>Gun | 12-pounder Napoleon (CSA) · Entity-1101 [map-25/028]</x:v>
      </x:c>
      <x:c r="C566" s="136" t="str">
        <x:v>gun_spawn</x:v>
      </x:c>
      <x:c r="D566" s="136" t="str"/>
      <x:c r="E566" s="136" t="str">
        <x:v>12-pounder Napoleon (CSA) · Entity-1101</x:v>
      </x:c>
      <x:c r="F566" s="137" t="n">
        <x:v>616.9660034179688</x:v>
      </x:c>
      <x:c r="G566" s="137" t="n">
        <x:v>2409.14990234375</x:v>
      </x:c>
      <x:c r="H566" s="137" t="n">
        <x:v>62.50717544555664</x:v>
      </x:c>
      <x:c r="I566" s="137" t="n">
        <x:v>799.3006784550579</x:v>
      </x:c>
      <x:c r="J566" s="137" t="n">
        <x:v>1088.2243246244536</x:v>
      </x:c>
      <x:c r="K566" s="136" t="str">
        <x:v>map-25</x:v>
      </x:c>
      <x:c r="L566" s="136" t="str">
        <x:v>Antietam | Skirmish | Dunker Church||Gun | 12-pounder Napoleon (CSA) · Entity-1101 [map-25/028]</x:v>
      </x:c>
      <x:c r="M566" s="35"/>
      <x:c r="N566" s="35"/>
      <x:c r="O566" s="35"/>
      <x:c r="P566" s="35"/>
      <x:c r="Q566" s="35"/>
      <x:c r="R566" s="35"/>
      <x:c r="S566" s="35"/>
      <x:c r="T566" s="35"/>
      <x:c r="U566" s="35"/>
      <x:c r="V566" s="35"/>
      <x:c r="W566" s="35"/>
      <x:c r="X566" s="35"/>
      <x:c r="Y566" s="35"/>
      <x:c r="Z566" s="35"/>
      <x:c r="AA566" s="35"/>
    </x:row>
    <x:row r="567">
      <x:c r="A567" s="136" t="str">
        <x:v>Antietam | Skirmish | Dunker Church</x:v>
      </x:c>
      <x:c r="B567" s="136" t="str">
        <x:v>Gun | 3-inch Ordnance · Entity-1089 [map-25/029]</x:v>
      </x:c>
      <x:c r="C567" s="136" t="str">
        <x:v>gun_spawn</x:v>
      </x:c>
      <x:c r="D567" s="136" t="str"/>
      <x:c r="E567" s="136" t="str">
        <x:v>3-inch Ordnance · Entity-1089</x:v>
      </x:c>
      <x:c r="F567" s="137" t="n">
        <x:v>720.447998046875</x:v>
      </x:c>
      <x:c r="G567" s="137" t="n">
        <x:v>2177.590087890625</x:v>
      </x:c>
      <x:c r="H567" s="137" t="n">
        <x:v>60.281028747558594</x:v>
      </x:c>
      <x:c r="I567" s="137" t="n">
        <x:v>1207.4333436278482</x:v>
      </x:c>
      <x:c r="J567" s="137" t="n">
        <x:v>1179.0829387650901</x:v>
      </x:c>
      <x:c r="K567" s="136" t="str">
        <x:v>map-25</x:v>
      </x:c>
      <x:c r="L567" s="136" t="str">
        <x:v>Antietam | Skirmish | Dunker Church||Gun | 3-inch Ordnance · Entity-1089 [map-25/029]</x:v>
      </x:c>
      <x:c r="M567" s="35"/>
      <x:c r="N567" s="35"/>
      <x:c r="O567" s="35"/>
      <x:c r="P567" s="35"/>
      <x:c r="Q567" s="35"/>
      <x:c r="R567" s="35"/>
      <x:c r="S567" s="35"/>
      <x:c r="T567" s="35"/>
      <x:c r="U567" s="35"/>
      <x:c r="V567" s="35"/>
      <x:c r="W567" s="35"/>
      <x:c r="X567" s="35"/>
      <x:c r="Y567" s="35"/>
      <x:c r="Z567" s="35"/>
      <x:c r="AA567" s="35"/>
    </x:row>
    <x:row r="568">
      <x:c r="A568" s="136" t="str">
        <x:v>Antietam | Skirmish | Dunker Church</x:v>
      </x:c>
      <x:c r="B568" s="136" t="str">
        <x:v>Gun | 12-pounder Napoleon (USA) · Entity-1091 [map-25/030]</x:v>
      </x:c>
      <x:c r="C568" s="136" t="str">
        <x:v>gun_spawn</x:v>
      </x:c>
      <x:c r="D568" s="136" t="str"/>
      <x:c r="E568" s="136" t="str">
        <x:v>12-pounder Napoleon (USA) · Entity-1091</x:v>
      </x:c>
      <x:c r="F568" s="137" t="n">
        <x:v>723.4429931640625</x:v>
      </x:c>
      <x:c r="G568" s="137" t="n">
        <x:v>2185.199951171875</x:v>
      </x:c>
      <x:c r="H568" s="137" t="n">
        <x:v>59.85044860839844</x:v>
      </x:c>
      <x:c r="I568" s="137" t="n">
        <x:v>1200.3147384191013</x:v>
      </x:c>
      <x:c r="J568" s="137" t="n">
        <x:v>1167.6284844919608</x:v>
      </x:c>
      <x:c r="K568" s="136" t="str">
        <x:v>map-25</x:v>
      </x:c>
      <x:c r="L568" s="136" t="str">
        <x:v>Antietam | Skirmish | Dunker Church||Gun | 12-pounder Napoleon (USA) · Entity-1091 [map-25/030]</x:v>
      </x:c>
      <x:c r="M568" s="35"/>
      <x:c r="N568" s="35"/>
      <x:c r="O568" s="35"/>
      <x:c r="P568" s="35"/>
      <x:c r="Q568" s="35"/>
      <x:c r="R568" s="35"/>
      <x:c r="S568" s="35"/>
      <x:c r="T568" s="35"/>
      <x:c r="U568" s="35"/>
      <x:c r="V568" s="35"/>
      <x:c r="W568" s="35"/>
      <x:c r="X568" s="35"/>
      <x:c r="Y568" s="35"/>
      <x:c r="Z568" s="35"/>
      <x:c r="AA568" s="35"/>
    </x:row>
    <x:row r="569">
      <x:c r="A569" s="136" t="str">
        <x:v>Antietam | Skirmish | Dunker Church</x:v>
      </x:c>
      <x:c r="B569" s="136" t="str">
        <x:v>Gun | 10-pounder Parrott · Entity-1077 [map-25/031]</x:v>
      </x:c>
      <x:c r="C569" s="136" t="str">
        <x:v>gun_spawn</x:v>
      </x:c>
      <x:c r="D569" s="136" t="str"/>
      <x:c r="E569" s="136" t="str">
        <x:v>10-pounder Parrott · Entity-1077</x:v>
      </x:c>
      <x:c r="F569" s="137" t="n">
        <x:v>949.0349731445312</x:v>
      </x:c>
      <x:c r="G569" s="137" t="n">
        <x:v>2300.969970703125</x:v>
      </x:c>
      <x:c r="H569" s="137" t="n">
        <x:v>64.06134796142578</x:v>
      </x:c>
      <x:c r="I569" s="137" t="n">
        <x:v>1269.1838388727228</x:v>
      </x:c>
      <x:c r="J569" s="137" t="n">
        <x:v>754.9975893121137</x:v>
      </x:c>
      <x:c r="K569" s="136" t="str">
        <x:v>map-25</x:v>
      </x:c>
      <x:c r="L569" s="136" t="str">
        <x:v>Antietam | Skirmish | Dunker Church||Gun | 10-pounder Parrott · Entity-1077 [map-25/031]</x:v>
      </x:c>
      <x:c r="M569" s="35"/>
      <x:c r="N569" s="35"/>
      <x:c r="O569" s="35"/>
      <x:c r="P569" s="35"/>
      <x:c r="Q569" s="35"/>
      <x:c r="R569" s="35"/>
      <x:c r="S569" s="35"/>
      <x:c r="T569" s="35"/>
      <x:c r="U569" s="35"/>
      <x:c r="V569" s="35"/>
      <x:c r="W569" s="35"/>
      <x:c r="X569" s="35"/>
      <x:c r="Y569" s="35"/>
      <x:c r="Z569" s="35"/>
      <x:c r="AA569" s="35"/>
    </x:row>
    <x:row r="570">
      <x:c r="A570" s="136" t="str">
        <x:v>Antietam | Skirmish | Dunker Church</x:v>
      </x:c>
      <x:c r="B570" s="136" t="str">
        <x:v>Gun | 3-inch Ordnance · Entity-1100 [map-25/032]</x:v>
      </x:c>
      <x:c r="C570" s="136" t="str">
        <x:v>gun_spawn</x:v>
      </x:c>
      <x:c r="D570" s="136" t="str"/>
      <x:c r="E570" s="136" t="str">
        <x:v>3-inch Ordnance · Entity-1100</x:v>
      </x:c>
      <x:c r="F570" s="137" t="n">
        <x:v>615.4119873046875</x:v>
      </x:c>
      <x:c r="G570" s="137" t="n">
        <x:v>2416</x:v>
      </x:c>
      <x:c r="H570" s="137" t="n">
        <x:v>62.02656936645508</x:v>
      </x:c>
      <x:c r="I570" s="137" t="n">
        <x:v>788.7103903616636</x:v>
      </x:c>
      <x:c r="J570" s="137" t="n">
        <x:v>1083.5408121025832</x:v>
      </x:c>
      <x:c r="K570" s="136" t="str">
        <x:v>map-25</x:v>
      </x:c>
      <x:c r="L570" s="136" t="str">
        <x:v>Antietam | Skirmish | Dunker Church||Gun | 3-inch Ordnance · Entity-1100 [map-25/032]</x:v>
      </x:c>
      <x:c r="M570" s="35"/>
      <x:c r="N570" s="35"/>
      <x:c r="O570" s="35"/>
      <x:c r="P570" s="35"/>
      <x:c r="Q570" s="35"/>
      <x:c r="R570" s="35"/>
      <x:c r="S570" s="35"/>
      <x:c r="T570" s="35"/>
      <x:c r="U570" s="35"/>
      <x:c r="V570" s="35"/>
      <x:c r="W570" s="35"/>
      <x:c r="X570" s="35"/>
      <x:c r="Y570" s="35"/>
      <x:c r="Z570" s="35"/>
      <x:c r="AA570" s="35"/>
    </x:row>
    <x:row r="571">
      <x:c r="A571" s="136" t="str">
        <x:v>Antietam | Skirmish | Dunker Church</x:v>
      </x:c>
      <x:c r="B571" s="136" t="str">
        <x:v>Gun | 12-pounder Napoleon (USA) · Entity-1078 [map-25/033]</x:v>
      </x:c>
      <x:c r="C571" s="136" t="str">
        <x:v>gun_spawn</x:v>
      </x:c>
      <x:c r="D571" s="136" t="str"/>
      <x:c r="E571" s="136" t="str">
        <x:v>12-pounder Napoleon (USA) · Entity-1078</x:v>
      </x:c>
      <x:c r="F571" s="137" t="n">
        <x:v>947.8889770507812</x:v>
      </x:c>
      <x:c r="G571" s="137" t="n">
        <x:v>2318.610107421875</x:v>
      </x:c>
      <x:c r="H571" s="137" t="n">
        <x:v>63.23688507080078</x:v>
      </x:c>
      <x:c r="I571" s="137" t="n">
        <x:v>1244.7225262088086</x:v>
      </x:c>
      <x:c r="J571" s="137" t="n">
        <x:v>739.1553878347682</x:v>
      </x:c>
      <x:c r="K571" s="136" t="str">
        <x:v>map-25</x:v>
      </x:c>
      <x:c r="L571" s="136" t="str">
        <x:v>Antietam | Skirmish | Dunker Church||Gun | 12-pounder Napoleon (USA) · Entity-1078 [map-25/033]</x:v>
      </x:c>
      <x:c r="M571" s="35"/>
      <x:c r="N571" s="35"/>
      <x:c r="O571" s="35"/>
      <x:c r="P571" s="35"/>
      <x:c r="Q571" s="35"/>
      <x:c r="R571" s="35"/>
      <x:c r="S571" s="35"/>
      <x:c r="T571" s="35"/>
      <x:c r="U571" s="35"/>
      <x:c r="V571" s="35"/>
      <x:c r="W571" s="35"/>
      <x:c r="X571" s="35"/>
      <x:c r="Y571" s="35"/>
      <x:c r="Z571" s="35"/>
      <x:c r="AA571" s="35"/>
    </x:row>
    <x:row r="572">
      <x:c r="A572" s="136" t="str">
        <x:v>Antietam | Skirmish | Burnside Bridge</x:v>
      </x:c>
      <x:c r="B572" s="136" t="str">
        <x:v>Spawn | CSA Spawnpoint_B_Defend_CSA_2ndGA-2 [map-26/001]</x:v>
      </x:c>
      <x:c r="C572" s="136" t="str">
        <x:v>spawn</x:v>
      </x:c>
      <x:c r="D572" s="136" t="str">
        <x:v>CSA</x:v>
      </x:c>
      <x:c r="E572" s="136" t="str">
        <x:v>Spawnpoint_B_Defend_CSA_2ndGA-2</x:v>
      </x:c>
      <x:c r="F572" s="137" t="n">
        <x:v>1136.2408447265625</x:v>
      </x:c>
      <x:c r="G572" s="137" t="n">
        <x:v>764.5289306640625</x:v>
      </x:c>
      <x:c r="H572" s="137" t="n">
        <x:v>29.74883270263672</x:v>
      </x:c>
      <x:c r="I572" s="137" t="n">
        <x:v>644.1966456236221</x:v>
      </x:c>
      <x:c r="J572" s="137" t="n">
        <x:v>557.4669363865963</x:v>
      </x:c>
      <x:c r="K572" s="136" t="str">
        <x:v>map-26</x:v>
      </x:c>
      <x:c r="L572" s="136" t="str">
        <x:v>Antietam | Skirmish | Burnside Bridge||Spawn | CSA Spawnpoint_B_Defend_CSA_2ndGA-2 [map-26/001]</x:v>
      </x:c>
      <x:c r="M572" s="35"/>
      <x:c r="N572" s="35"/>
      <x:c r="O572" s="35"/>
      <x:c r="P572" s="35"/>
      <x:c r="Q572" s="35"/>
      <x:c r="R572" s="35"/>
      <x:c r="S572" s="35"/>
      <x:c r="T572" s="35"/>
      <x:c r="U572" s="35"/>
      <x:c r="V572" s="35"/>
      <x:c r="W572" s="35"/>
      <x:c r="X572" s="35"/>
      <x:c r="Y572" s="35"/>
      <x:c r="Z572" s="35"/>
      <x:c r="AA572" s="35"/>
    </x:row>
    <x:row r="573">
      <x:c r="A573" s="136" t="str">
        <x:v>Antietam | Skirmish | Burnside Bridge</x:v>
      </x:c>
      <x:c r="B573" s="136" t="str">
        <x:v>Spawn | CSA Spawnpoint_B_Defend_CSA_2ndGA [map-26/002]</x:v>
      </x:c>
      <x:c r="C573" s="136" t="str">
        <x:v>spawn</x:v>
      </x:c>
      <x:c r="D573" s="136" t="str">
        <x:v>CSA</x:v>
      </x:c>
      <x:c r="E573" s="136" t="str">
        <x:v>Spawnpoint_B_Defend_CSA_2ndGA</x:v>
      </x:c>
      <x:c r="F573" s="137" t="n">
        <x:v>1149.010009765625</x:v>
      </x:c>
      <x:c r="G573" s="137" t="n">
        <x:v>766.4118041992188</x:v>
      </x:c>
      <x:c r="H573" s="137" t="n">
        <x:v>29.753202438354492</x:v>
      </x:c>
      <x:c r="I573" s="137" t="n">
        <x:v>664.4220262482156</x:v>
      </x:c>
      <x:c r="J573" s="137" t="n">
        <x:v>520.8364104185255</x:v>
      </x:c>
      <x:c r="K573" s="136" t="str">
        <x:v>map-26</x:v>
      </x:c>
      <x:c r="L573" s="136" t="str">
        <x:v>Antietam | Skirmish | Burnside Bridge||Spawn | CSA Spawnpoint_B_Defend_CSA_2ndGA [map-26/002]</x:v>
      </x:c>
      <x:c r="M573" s="35"/>
      <x:c r="N573" s="35"/>
      <x:c r="O573" s="35"/>
      <x:c r="P573" s="35"/>
      <x:c r="Q573" s="35"/>
      <x:c r="R573" s="35"/>
      <x:c r="S573" s="35"/>
      <x:c r="T573" s="35"/>
      <x:c r="U573" s="35"/>
      <x:c r="V573" s="35"/>
      <x:c r="W573" s="35"/>
      <x:c r="X573" s="35"/>
      <x:c r="Y573" s="35"/>
      <x:c r="Z573" s="35"/>
      <x:c r="AA573" s="35"/>
    </x:row>
    <x:row r="574">
      <x:c r="A574" s="136" t="str">
        <x:v>Antietam | Skirmish | Burnside Bridge</x:v>
      </x:c>
      <x:c r="B574" s="136" t="str">
        <x:v>Artillery | USA Spawnpoint_B_USA_Arty_Clark_Forward [map-26/003]</x:v>
      </x:c>
      <x:c r="C574" s="136" t="str">
        <x:v>battery</x:v>
      </x:c>
      <x:c r="D574" s="136" t="str">
        <x:v>USA</x:v>
      </x:c>
      <x:c r="E574" s="136" t="str">
        <x:v>Spawnpoint_B_USA_Arty_Clark_Forward</x:v>
      </x:c>
      <x:c r="F574" s="137" t="n">
        <x:v>1314.3294677734375</x:v>
      </x:c>
      <x:c r="G574" s="137" t="n">
        <x:v>498.0813293457031</x:v>
      </x:c>
      <x:c r="H574" s="137" t="n">
        <x:v>34.27684783935547</x:v>
      </x:c>
      <x:c r="I574" s="137" t="n">
        <x:v>1681.3960086196448</x:v>
      </x:c>
      <x:c r="J574" s="137" t="n">
        <x:v>620.0606892584151</x:v>
      </x:c>
      <x:c r="K574" s="136" t="str">
        <x:v>map-26</x:v>
      </x:c>
      <x:c r="L574" s="136" t="str">
        <x:v>Antietam | Skirmish | Burnside Bridge||Artillery | USA Spawnpoint_B_USA_Arty_Clark_Forward [map-26/003]</x:v>
      </x:c>
      <x:c r="M574" s="35"/>
      <x:c r="N574" s="35"/>
      <x:c r="O574" s="35"/>
      <x:c r="P574" s="35"/>
      <x:c r="Q574" s="35"/>
      <x:c r="R574" s="35"/>
      <x:c r="S574" s="35"/>
      <x:c r="T574" s="35"/>
      <x:c r="U574" s="35"/>
      <x:c r="V574" s="35"/>
      <x:c r="W574" s="35"/>
      <x:c r="X574" s="35"/>
      <x:c r="Y574" s="35"/>
      <x:c r="Z574" s="35"/>
      <x:c r="AA574" s="35"/>
    </x:row>
    <x:row r="575">
      <x:c r="A575" s="136" t="str">
        <x:v>Antietam | Skirmish | Burnside Bridge</x:v>
      </x:c>
      <x:c r="B575" s="136" t="str">
        <x:v>Artillery | USA Spawnpoint_B_USA_Arty_Base [map-26/004]</x:v>
      </x:c>
      <x:c r="C575" s="136" t="str">
        <x:v>battery</x:v>
      </x:c>
      <x:c r="D575" s="136" t="str">
        <x:v>USA</x:v>
      </x:c>
      <x:c r="E575" s="136" t="str">
        <x:v>Spawnpoint_B_USA_Arty_Base</x:v>
      </x:c>
      <x:c r="F575" s="137" t="n">
        <x:v>1105.1895751953125</x:v>
      </x:c>
      <x:c r="G575" s="137" t="n">
        <x:v>386.56378173828125</x:v>
      </x:c>
      <x:c r="H575" s="137" t="n">
        <x:v>37.4991455078125</x:v>
      </x:c>
      <x:c r="I575" s="137" t="n">
        <x:v>1558.2680196784002</x:v>
      </x:c>
      <x:c r="J575" s="137" t="n">
        <x:v>1378.0797900740329</x:v>
      </x:c>
      <x:c r="K575" s="136" t="str">
        <x:v>map-26</x:v>
      </x:c>
      <x:c r="L575" s="136" t="str">
        <x:v>Antietam | Skirmish | Burnside Bridge||Artillery | USA Spawnpoint_B_USA_Arty_Base [map-26/004]</x:v>
      </x:c>
      <x:c r="M575" s="35"/>
      <x:c r="N575" s="35"/>
      <x:c r="O575" s="35"/>
      <x:c r="P575" s="35"/>
      <x:c r="Q575" s="35"/>
      <x:c r="R575" s="35"/>
      <x:c r="S575" s="35"/>
      <x:c r="T575" s="35"/>
      <x:c r="U575" s="35"/>
      <x:c r="V575" s="35"/>
      <x:c r="W575" s="35"/>
      <x:c r="X575" s="35"/>
      <x:c r="Y575" s="35"/>
      <x:c r="Z575" s="35"/>
      <x:c r="AA575" s="35"/>
    </x:row>
    <x:row r="576">
      <x:c r="A576" s="136" t="str">
        <x:v>Antietam | Skirmish | Burnside Bridge</x:v>
      </x:c>
      <x:c r="B576" s="136" t="str">
        <x:v>Objective | Victory_Burnside [map-26/005]</x:v>
      </x:c>
      <x:c r="C576" s="136" t="str">
        <x:v>objective</x:v>
      </x:c>
      <x:c r="D576" s="136" t="str"/>
      <x:c r="E576" s="136" t="str">
        <x:v>Victory_Burnside</x:v>
      </x:c>
      <x:c r="F576" s="137" t="n">
        <x:v>1184.2708740234375</x:v>
      </x:c>
      <x:c r="G576" s="137" t="n">
        <x:v>720.5264892578125</x:v>
      </x:c>
      <x:c r="H576" s="137" t="n">
        <x:v>16.350000381469727</x:v>
      </x:c>
      <x:c r="I576" s="137" t="n">
        <x:v>852.0597045301537</x:v>
      </x:c>
      <x:c r="J576" s="137" t="n">
        <x:v>519.7694984829143</x:v>
      </x:c>
      <x:c r="K576" s="136" t="str">
        <x:v>map-26</x:v>
      </x:c>
      <x:c r="L576" s="136" t="str">
        <x:v>Antietam | Skirmish | Burnside Bridge||Objective | Victory_Burnside [map-26/005]</x:v>
      </x:c>
      <x:c r="M576" s="35"/>
      <x:c r="N576" s="35"/>
      <x:c r="O576" s="35"/>
      <x:c r="P576" s="35"/>
      <x:c r="Q576" s="35"/>
      <x:c r="R576" s="35"/>
      <x:c r="S576" s="35"/>
      <x:c r="T576" s="35"/>
      <x:c r="U576" s="35"/>
      <x:c r="V576" s="35"/>
      <x:c r="W576" s="35"/>
      <x:c r="X576" s="35"/>
      <x:c r="Y576" s="35"/>
      <x:c r="Z576" s="35"/>
      <x:c r="AA576" s="35"/>
    </x:row>
    <x:row r="577">
      <x:c r="A577" s="136" t="str">
        <x:v>Antietam | Skirmish | Burnside Bridge</x:v>
      </x:c>
      <x:c r="B577" s="136" t="str">
        <x:v>Spawn | USA Spawnpoint_B_Base_USA_2ndMD-2 [map-26/006]</x:v>
      </x:c>
      <x:c r="C577" s="136" t="str">
        <x:v>spawn</x:v>
      </x:c>
      <x:c r="D577" s="136" t="str">
        <x:v>USA</x:v>
      </x:c>
      <x:c r="E577" s="136" t="str">
        <x:v>Spawnpoint_B_Base_USA_2ndMD-2</x:v>
      </x:c>
      <x:c r="F577" s="137" t="n">
        <x:v>1089.0135498046875</x:v>
      </x:c>
      <x:c r="G577" s="137" t="n">
        <x:v>423.6601257324219</x:v>
      </x:c>
      <x:c r="H577" s="137" t="n">
        <x:v>31.76472282409668</x:v>
      </x:c>
      <x:c r="I577" s="137" t="n">
        <x:v>1430.7927392537374</x:v>
      </x:c>
      <x:c r="J577" s="137" t="n">
        <x:v>1347.1313661437937</x:v>
      </x:c>
      <x:c r="K577" s="136" t="str">
        <x:v>map-26</x:v>
      </x:c>
      <x:c r="L577" s="136" t="str">
        <x:v>Antietam | Skirmish | Burnside Bridge||Spawn | USA Spawnpoint_B_Base_USA_2ndMD-2 [map-26/006]</x:v>
      </x:c>
      <x:c r="M577" s="35"/>
      <x:c r="N577" s="35"/>
      <x:c r="O577" s="35"/>
      <x:c r="P577" s="35"/>
      <x:c r="Q577" s="35"/>
      <x:c r="R577" s="35"/>
      <x:c r="S577" s="35"/>
      <x:c r="T577" s="35"/>
      <x:c r="U577" s="35"/>
      <x:c r="V577" s="35"/>
      <x:c r="W577" s="35"/>
      <x:c r="X577" s="35"/>
      <x:c r="Y577" s="35"/>
      <x:c r="Z577" s="35"/>
      <x:c r="AA577" s="35"/>
    </x:row>
    <x:row r="578">
      <x:c r="A578" s="136" t="str">
        <x:v>Antietam | Skirmish | Burnside Bridge</x:v>
      </x:c>
      <x:c r="B578" s="136" t="str">
        <x:v>Spawn | USA Spawnpoint_B_Base_USA_51stNY [map-26/007]</x:v>
      </x:c>
      <x:c r="C578" s="136" t="str">
        <x:v>spawn</x:v>
      </x:c>
      <x:c r="D578" s="136" t="str">
        <x:v>USA</x:v>
      </x:c>
      <x:c r="E578" s="136" t="str">
        <x:v>Spawnpoint_B_Base_USA_51stNY</x:v>
      </x:c>
      <x:c r="F578" s="137" t="n">
        <x:v>1082.5054931640625</x:v>
      </x:c>
      <x:c r="G578" s="137" t="n">
        <x:v>440.9161682128906</x:v>
      </x:c>
      <x:c r="H578" s="137" t="n">
        <x:v>29.216867446899414</x:v>
      </x:c>
      <x:c r="I578" s="137" t="n">
        <x:v>1373.4920516093352</x:v>
      </x:c>
      <x:c r="J578" s="137" t="n">
        <x:v>1330.112752366211</x:v>
      </x:c>
      <x:c r="K578" s="136" t="str">
        <x:v>map-26</x:v>
      </x:c>
      <x:c r="L578" s="136" t="str">
        <x:v>Antietam | Skirmish | Burnside Bridge||Spawn | USA Spawnpoint_B_Base_USA_51stNY [map-26/007]</x:v>
      </x:c>
      <x:c r="M578" s="35"/>
      <x:c r="N578" s="35"/>
      <x:c r="O578" s="35"/>
      <x:c r="P578" s="35"/>
      <x:c r="Q578" s="35"/>
      <x:c r="R578" s="35"/>
      <x:c r="S578" s="35"/>
      <x:c r="T578" s="35"/>
      <x:c r="U578" s="35"/>
      <x:c r="V578" s="35"/>
      <x:c r="W578" s="35"/>
      <x:c r="X578" s="35"/>
      <x:c r="Y578" s="35"/>
      <x:c r="Z578" s="35"/>
      <x:c r="AA578" s="35"/>
    </x:row>
    <x:row r="579">
      <x:c r="A579" s="136" t="str">
        <x:v>Antietam | Skirmish | Burnside Bridge</x:v>
      </x:c>
      <x:c r="B579" s="136" t="str">
        <x:v>Spawn | CSA Spawnpoint_B_Defend_CSA_20thGA [map-26/008]</x:v>
      </x:c>
      <x:c r="C579" s="136" t="str">
        <x:v>spawn</x:v>
      </x:c>
      <x:c r="D579" s="136" t="str">
        <x:v>CSA</x:v>
      </x:c>
      <x:c r="E579" s="136" t="str">
        <x:v>Spawnpoint_B_Defend_CSA_20thGA</x:v>
      </x:c>
      <x:c r="F579" s="137" t="n">
        <x:v>1160.75634765625</x:v>
      </x:c>
      <x:c r="G579" s="137" t="n">
        <x:v>778.2313842773438</x:v>
      </x:c>
      <x:c r="H579" s="137" t="n">
        <x:v>30.359987258911133</x:v>
      </x:c>
      <x:c r="I579" s="137" t="n">
        <x:v>657.0037474660622</x:v>
      </x:c>
      <x:c r="J579" s="137" t="n">
        <x:v>467.37660430519054</x:v>
      </x:c>
      <x:c r="K579" s="136" t="str">
        <x:v>map-26</x:v>
      </x:c>
      <x:c r="L579" s="136" t="str">
        <x:v>Antietam | Skirmish | Burnside Bridge||Spawn | CSA Spawnpoint_B_Defend_CSA_20thGA [map-26/008]</x:v>
      </x:c>
      <x:c r="M579" s="35"/>
      <x:c r="N579" s="35"/>
      <x:c r="O579" s="35"/>
      <x:c r="P579" s="35"/>
      <x:c r="Q579" s="35"/>
      <x:c r="R579" s="35"/>
      <x:c r="S579" s="35"/>
      <x:c r="T579" s="35"/>
      <x:c r="U579" s="35"/>
      <x:c r="V579" s="35"/>
      <x:c r="W579" s="35"/>
      <x:c r="X579" s="35"/>
      <x:c r="Y579" s="35"/>
      <x:c r="Z579" s="35"/>
      <x:c r="AA579" s="35"/>
    </x:row>
    <x:row r="580">
      <x:c r="A580" s="136" t="str">
        <x:v>Antietam | Skirmish | Burnside Bridge</x:v>
      </x:c>
      <x:c r="B580" s="136" t="str">
        <x:v>Spawn | USA Spawnpoint_B_Base_USA_2ndMD [map-26/009]</x:v>
      </x:c>
      <x:c r="C580" s="136" t="str">
        <x:v>spawn</x:v>
      </x:c>
      <x:c r="D580" s="136" t="str">
        <x:v>USA</x:v>
      </x:c>
      <x:c r="E580" s="136" t="str">
        <x:v>Spawnpoint_B_Base_USA_2ndMD</x:v>
      </x:c>
      <x:c r="F580" s="137" t="n">
        <x:v>1096.427001953125</x:v>
      </x:c>
      <x:c r="G580" s="137" t="n">
        <x:v>406.2579040527344</x:v>
      </x:c>
      <x:c r="H580" s="137" t="n">
        <x:v>34.460235595703125</x:v>
      </x:c>
      <x:c r="I580" s="137" t="n">
        <x:v>1490.2490267972805</x:v>
      </x:c>
      <x:c r="J580" s="137" t="n">
        <x:v>1362.1006542051305</x:v>
      </x:c>
      <x:c r="K580" s="136" t="str">
        <x:v>map-26</x:v>
      </x:c>
      <x:c r="L580" s="136" t="str">
        <x:v>Antietam | Skirmish | Burnside Bridge||Spawn | USA Spawnpoint_B_Base_USA_2ndMD [map-26/009]</x:v>
      </x:c>
      <x:c r="M580" s="35"/>
      <x:c r="N580" s="35"/>
      <x:c r="O580" s="35"/>
      <x:c r="P580" s="35"/>
      <x:c r="Q580" s="35"/>
      <x:c r="R580" s="35"/>
      <x:c r="S580" s="35"/>
      <x:c r="T580" s="35"/>
      <x:c r="U580" s="35"/>
      <x:c r="V580" s="35"/>
      <x:c r="W580" s="35"/>
      <x:c r="X580" s="35"/>
      <x:c r="Y580" s="35"/>
      <x:c r="Z580" s="35"/>
      <x:c r="AA580" s="35"/>
    </x:row>
    <x:row r="581">
      <x:c r="A581" s="136" t="str">
        <x:v>Antietam | Skirmish | Burnside Bridge</x:v>
      </x:c>
      <x:c r="B581" s="136" t="str">
        <x:v>Spawn | CSA Spawnpoint_B_Defend_CSA_20thGA-2 [map-26/010]</x:v>
      </x:c>
      <x:c r="C581" s="136" t="str">
        <x:v>spawn</x:v>
      </x:c>
      <x:c r="D581" s="136" t="str">
        <x:v>CSA</x:v>
      </x:c>
      <x:c r="E581" s="136" t="str">
        <x:v>Spawnpoint_B_Defend_CSA_20thGA-2</x:v>
      </x:c>
      <x:c r="F581" s="137" t="n">
        <x:v>1172.0738525390625</x:v>
      </x:c>
      <x:c r="G581" s="137" t="n">
        <x:v>789.3222045898438</x:v>
      </x:c>
      <x:c r="H581" s="137" t="n">
        <x:v>30.321550369262695</x:v>
      </x:c>
      <x:c r="I581" s="137" t="n">
        <x:v>650.6231400690814</x:v>
      </x:c>
      <x:c r="J581" s="137" t="n">
        <x:v>416.4508746707839</x:v>
      </x:c>
      <x:c r="K581" s="136" t="str">
        <x:v>map-26</x:v>
      </x:c>
      <x:c r="L581" s="136" t="str">
        <x:v>Antietam | Skirmish | Burnside Bridge||Spawn | CSA Spawnpoint_B_Defend_CSA_20thGA-2 [map-26/010]</x:v>
      </x:c>
      <x:c r="M581" s="35"/>
      <x:c r="N581" s="35"/>
      <x:c r="O581" s="35"/>
      <x:c r="P581" s="35"/>
      <x:c r="Q581" s="35"/>
      <x:c r="R581" s="35"/>
      <x:c r="S581" s="35"/>
      <x:c r="T581" s="35"/>
      <x:c r="U581" s="35"/>
      <x:c r="V581" s="35"/>
      <x:c r="W581" s="35"/>
      <x:c r="X581" s="35"/>
      <x:c r="Y581" s="35"/>
      <x:c r="Z581" s="35"/>
      <x:c r="AA581" s="35"/>
    </x:row>
    <x:row r="582">
      <x:c r="A582" s="136" t="str">
        <x:v>Antietam | Skirmish | Burnside Bridge</x:v>
      </x:c>
      <x:c r="B582" s="136" t="str">
        <x:v>Spawn | USA Spawnpoint_B_Base_USA_51stNY-2 [map-26/011]</x:v>
      </x:c>
      <x:c r="C582" s="136" t="str">
        <x:v>spawn</x:v>
      </x:c>
      <x:c r="D582" s="136" t="str">
        <x:v>USA</x:v>
      </x:c>
      <x:c r="E582" s="136" t="str">
        <x:v>Spawnpoint_B_Base_USA_51stNY-2</x:v>
      </x:c>
      <x:c r="F582" s="137" t="n">
        <x:v>1075.9591064453125</x:v>
      </x:c>
      <x:c r="G582" s="137" t="n">
        <x:v>459.2827453613281</x:v>
      </x:c>
      <x:c r="H582" s="137" t="n">
        <x:v>26.439346313476562</x:v>
      </x:c>
      <x:c r="I582" s="137" t="n">
        <x:v>1313.2511385214557</x:v>
      </x:c>
      <x:c r="J582" s="137" t="n">
        <x:v>1311.0172675720169</x:v>
      </x:c>
      <x:c r="K582" s="136" t="str">
        <x:v>map-26</x:v>
      </x:c>
      <x:c r="L582" s="136" t="str">
        <x:v>Antietam | Skirmish | Burnside Bridge||Spawn | USA Spawnpoint_B_Base_USA_51stNY-2 [map-26/011]</x:v>
      </x:c>
      <x:c r="M582" s="35"/>
      <x:c r="N582" s="35"/>
      <x:c r="O582" s="35"/>
      <x:c r="P582" s="35"/>
      <x:c r="Q582" s="35"/>
      <x:c r="R582" s="35"/>
      <x:c r="S582" s="35"/>
      <x:c r="T582" s="35"/>
      <x:c r="U582" s="35"/>
      <x:c r="V582" s="35"/>
      <x:c r="W582" s="35"/>
      <x:c r="X582" s="35"/>
      <x:c r="Y582" s="35"/>
      <x:c r="Z582" s="35"/>
      <x:c r="AA582" s="35"/>
    </x:row>
    <x:row r="583">
      <x:c r="A583" s="136" t="str">
        <x:v>Antietam | Skirmish | Burnside Bridge</x:v>
      </x:c>
      <x:c r="B583" s="136" t="str">
        <x:v>Gun | 3-inch Ordnance · Entity-1042 [map-26/012]</x:v>
      </x:c>
      <x:c r="C583" s="136" t="str">
        <x:v>gun_spawn</x:v>
      </x:c>
      <x:c r="D583" s="136" t="str"/>
      <x:c r="E583" s="136" t="str">
        <x:v>3-inch Ordnance · Entity-1042</x:v>
      </x:c>
      <x:c r="F583" s="137" t="n">
        <x:v>1288.56005859375</x:v>
      </x:c>
      <x:c r="G583" s="137" t="n">
        <x:v>527.7219848632812</x:v>
      </x:c>
      <x:c r="H583" s="137" t="n">
        <x:v>30.404403686523438</x:v>
      </x:c>
      <x:c r="I583" s="137" t="n">
        <x:v>1554.3102352190826</x:v>
      </x:c>
      <x:c r="J583" s="137" t="n">
        <x:v>628.4682129692399</x:v>
      </x:c>
      <x:c r="K583" s="136" t="str">
        <x:v>map-26</x:v>
      </x:c>
      <x:c r="L583" s="136" t="str">
        <x:v>Antietam | Skirmish | Burnside Bridge||Gun | 3-inch Ordnance · Entity-1042 [map-26/012]</x:v>
      </x:c>
      <x:c r="M583" s="35"/>
      <x:c r="N583" s="35"/>
      <x:c r="O583" s="35"/>
      <x:c r="P583" s="35"/>
      <x:c r="Q583" s="35"/>
      <x:c r="R583" s="35"/>
      <x:c r="S583" s="35"/>
      <x:c r="T583" s="35"/>
      <x:c r="U583" s="35"/>
      <x:c r="V583" s="35"/>
      <x:c r="W583" s="35"/>
      <x:c r="X583" s="35"/>
      <x:c r="Y583" s="35"/>
      <x:c r="Z583" s="35"/>
      <x:c r="AA583" s="35"/>
    </x:row>
    <x:row r="584">
      <x:c r="A584" s="136" t="str">
        <x:v>Antietam | Skirmish | Burnside Bridge</x:v>
      </x:c>
      <x:c r="B584" s="136" t="str">
        <x:v>Gun | 12-pounder Napoleon (USA) · Entity-1038 [map-26/013]</x:v>
      </x:c>
      <x:c r="C584" s="136" t="str">
        <x:v>gun_spawn</x:v>
      </x:c>
      <x:c r="D584" s="136" t="str"/>
      <x:c r="E584" s="136" t="str">
        <x:v>12-pounder Napoleon (USA) · Entity-1038</x:v>
      </x:c>
      <x:c r="F584" s="137" t="n">
        <x:v>1302.969970703125</x:v>
      </x:c>
      <x:c r="G584" s="137" t="n">
        <x:v>535.375</x:v>
      </x:c>
      <x:c r="H584" s="137" t="n">
        <x:v>30.244373321533203</x:v>
      </x:c>
      <x:c r="I584" s="137" t="n">
        <x:v>1562.8728909486242</x:v>
      </x:c>
      <x:c r="J584" s="137" t="n">
        <x:v>576.300090750876</x:v>
      </x:c>
      <x:c r="K584" s="136" t="str">
        <x:v>map-26</x:v>
      </x:c>
      <x:c r="L584" s="136" t="str">
        <x:v>Antietam | Skirmish | Burnside Bridge||Gun | 12-pounder Napoleon (USA) · Entity-1038 [map-26/013]</x:v>
      </x:c>
      <x:c r="M584" s="35"/>
      <x:c r="N584" s="35"/>
      <x:c r="O584" s="35"/>
      <x:c r="P584" s="35"/>
      <x:c r="Q584" s="35"/>
      <x:c r="R584" s="35"/>
      <x:c r="S584" s="35"/>
      <x:c r="T584" s="35"/>
      <x:c r="U584" s="35"/>
      <x:c r="V584" s="35"/>
      <x:c r="W584" s="35"/>
      <x:c r="X584" s="35"/>
      <x:c r="Y584" s="35"/>
      <x:c r="Z584" s="35"/>
      <x:c r="AA584" s="35"/>
    </x:row>
    <x:row r="585">
      <x:c r="A585" s="136" t="str">
        <x:v>Antietam | Skirmish | Burnside Bridge</x:v>
      </x:c>
      <x:c r="B585" s="136" t="str">
        <x:v>Gun | 3-inch Ordnance · Entity-1041 [map-26/014]</x:v>
      </x:c>
      <x:c r="C585" s="136" t="str">
        <x:v>gun_spawn</x:v>
      </x:c>
      <x:c r="D585" s="136" t="str"/>
      <x:c r="E585" s="136" t="str">
        <x:v>3-inch Ordnance · Entity-1041</x:v>
      </x:c>
      <x:c r="F585" s="137" t="n">
        <x:v>1280.6300048828125</x:v>
      </x:c>
      <x:c r="G585" s="137" t="n">
        <x:v>522.510009765625</x:v>
      </x:c>
      <x:c r="H585" s="137" t="n">
        <x:v>30.782629013061523</x:v>
      </x:c>
      <x:c r="I585" s="137" t="n">
        <x:v>1552.178779161836</x:v>
      </x:c>
      <x:c r="J585" s="137" t="n">
        <x:v>659.1372661864299</x:v>
      </x:c>
      <x:c r="K585" s="136" t="str">
        <x:v>map-26</x:v>
      </x:c>
      <x:c r="L585" s="136" t="str">
        <x:v>Antietam | Skirmish | Burnside Bridge||Gun | 3-inch Ordnance · Entity-1041 [map-26/014]</x:v>
      </x:c>
      <x:c r="M585" s="35"/>
      <x:c r="N585" s="35"/>
      <x:c r="O585" s="35"/>
      <x:c r="P585" s="35"/>
      <x:c r="Q585" s="35"/>
      <x:c r="R585" s="35"/>
      <x:c r="S585" s="35"/>
      <x:c r="T585" s="35"/>
      <x:c r="U585" s="35"/>
      <x:c r="V585" s="35"/>
      <x:c r="W585" s="35"/>
      <x:c r="X585" s="35"/>
      <x:c r="Y585" s="35"/>
      <x:c r="Z585" s="35"/>
      <x:c r="AA585" s="35"/>
    </x:row>
    <x:row r="586">
      <x:c r="A586" s="136" t="str">
        <x:v>Antietam | Skirmish | Burnside Bridge</x:v>
      </x:c>
      <x:c r="B586" s="136" t="str">
        <x:v>Gun | 12-pounder Napoleon (USA) · Entity-1040 [map-26/015]</x:v>
      </x:c>
      <x:c r="C586" s="136" t="str">
        <x:v>gun_spawn</x:v>
      </x:c>
      <x:c r="D586" s="136" t="str"/>
      <x:c r="E586" s="136" t="str">
        <x:v>12-pounder Napoleon (USA) · Entity-1040</x:v>
      </x:c>
      <x:c r="F586" s="137" t="n">
        <x:v>1295.4100341796875</x:v>
      </x:c>
      <x:c r="G586" s="137" t="n">
        <x:v>530.9439697265625</x:v>
      </x:c>
      <x:c r="H586" s="137" t="n">
        <x:v>30.396127700805664</x:v>
      </x:c>
      <x:c r="I586" s="137" t="n">
        <x:v>1559.4538007578972</x:v>
      </x:c>
      <x:c r="J586" s="137" t="n">
        <x:v>604.4843005504999</x:v>
      </x:c>
      <x:c r="K586" s="136" t="str">
        <x:v>map-26</x:v>
      </x:c>
      <x:c r="L586" s="136" t="str">
        <x:v>Antietam | Skirmish | Burnside Bridge||Gun | 12-pounder Napoleon (USA) · Entity-1040 [map-26/015]</x:v>
      </x:c>
      <x:c r="M586" s="35"/>
      <x:c r="N586" s="35"/>
      <x:c r="O586" s="35"/>
      <x:c r="P586" s="35"/>
      <x:c r="Q586" s="35"/>
      <x:c r="R586" s="35"/>
      <x:c r="S586" s="35"/>
      <x:c r="T586" s="35"/>
      <x:c r="U586" s="35"/>
      <x:c r="V586" s="35"/>
      <x:c r="W586" s="35"/>
      <x:c r="X586" s="35"/>
      <x:c r="Y586" s="35"/>
      <x:c r="Z586" s="35"/>
      <x:c r="AA586" s="35"/>
    </x:row>
    <x:row r="587">
      <x:c r="A587" s="136" t="str">
        <x:v>Antietam | Skirmish | Cooke's Countercharge</x:v>
      </x:c>
      <x:c r="B587" s="136" t="str">
        <x:v>Artillery | USA Spawnpoint_CC_USA_Arty_Base [map-27/001]</x:v>
      </x:c>
      <x:c r="C587" s="136" t="str">
        <x:v>battery</x:v>
      </x:c>
      <x:c r="D587" s="136" t="str">
        <x:v>USA</x:v>
      </x:c>
      <x:c r="E587" s="136" t="str">
        <x:v>Spawnpoint_CC_USA_Arty_Base</x:v>
      </x:c>
      <x:c r="F587" s="137" t="n">
        <x:v>1163.872802734375</x:v>
      </x:c>
      <x:c r="G587" s="137" t="n">
        <x:v>2336.329833984375</x:v>
      </x:c>
      <x:c r="H587" s="137" t="n">
        <x:v>62.23592758178711</x:v>
      </x:c>
      <x:c r="I587" s="137" t="n">
        <x:v>1330.523615963311</x:v>
      </x:c>
      <x:c r="J587" s="137" t="n">
        <x:v>285.5517246357118</x:v>
      </x:c>
      <x:c r="K587" s="136" t="str">
        <x:v>map-27</x:v>
      </x:c>
      <x:c r="L587" s="136" t="str">
        <x:v>Antietam | Skirmish | Cooke's Countercharge||Artillery | USA Spawnpoint_CC_USA_Arty_Base [map-27/001]</x:v>
      </x:c>
      <x:c r="M587" s="35"/>
      <x:c r="N587" s="35"/>
      <x:c r="O587" s="35"/>
      <x:c r="P587" s="35"/>
      <x:c r="Q587" s="35"/>
      <x:c r="R587" s="35"/>
      <x:c r="S587" s="35"/>
      <x:c r="T587" s="35"/>
      <x:c r="U587" s="35"/>
      <x:c r="V587" s="35"/>
      <x:c r="W587" s="35"/>
      <x:c r="X587" s="35"/>
      <x:c r="Y587" s="35"/>
      <x:c r="Z587" s="35"/>
      <x:c r="AA587" s="35"/>
    </x:row>
    <x:row r="588">
      <x:c r="A588" s="136" t="str">
        <x:v>Antietam | Skirmish | Cooke's Countercharge</x:v>
      </x:c>
      <x:c r="B588" s="136" t="str">
        <x:v>Spawn | USA Spawnpoint_CC_Base_USA_28thPA [map-27/002]</x:v>
      </x:c>
      <x:c r="C588" s="136" t="str">
        <x:v>spawn</x:v>
      </x:c>
      <x:c r="D588" s="136" t="str">
        <x:v>USA</x:v>
      </x:c>
      <x:c r="E588" s="136" t="str">
        <x:v>Spawnpoint_CC_Base_USA_28thPA</x:v>
      </x:c>
      <x:c r="F588" s="137" t="n">
        <x:v>1143.4058837890625</x:v>
      </x:c>
      <x:c r="G588" s="137" t="n">
        <x:v>2331.6171875</x:v>
      </x:c>
      <x:c r="H588" s="137" t="n">
        <x:v>63.31379699707031</x:v>
      </x:c>
      <x:c r="I588" s="137" t="n">
        <x:v>1309.3901603065854</x:v>
      </x:c>
      <x:c r="J588" s="137" t="n">
        <x:v>332.4326878599515</x:v>
      </x:c>
      <x:c r="K588" s="136" t="str">
        <x:v>map-27</x:v>
      </x:c>
      <x:c r="L588" s="136" t="str">
        <x:v>Antietam | Skirmish | Cooke's Countercharge||Spawn | USA Spawnpoint_CC_Base_USA_28thPA [map-27/002]</x:v>
      </x:c>
      <x:c r="M588" s="35"/>
      <x:c r="N588" s="35"/>
      <x:c r="O588" s="35"/>
      <x:c r="P588" s="35"/>
      <x:c r="Q588" s="35"/>
      <x:c r="R588" s="35"/>
      <x:c r="S588" s="35"/>
      <x:c r="T588" s="35"/>
      <x:c r="U588" s="35"/>
      <x:c r="V588" s="35"/>
      <x:c r="W588" s="35"/>
      <x:c r="X588" s="35"/>
      <x:c r="Y588" s="35"/>
      <x:c r="Z588" s="35"/>
      <x:c r="AA588" s="35"/>
    </x:row>
    <x:row r="589">
      <x:c r="A589" s="136" t="str">
        <x:v>Antietam | Skirmish | Cooke's Countercharge</x:v>
      </x:c>
      <x:c r="B589" s="136" t="str">
        <x:v>Spawn | USA Spawnpoint_CC_Base_USA_28thPA-2 [map-27/003]</x:v>
      </x:c>
      <x:c r="C589" s="136" t="str">
        <x:v>spawn</x:v>
      </x:c>
      <x:c r="D589" s="136" t="str">
        <x:v>USA</x:v>
      </x:c>
      <x:c r="E589" s="136" t="str">
        <x:v>Spawnpoint_CC_Base_USA_28thPA-2</x:v>
      </x:c>
      <x:c r="F589" s="137" t="n">
        <x:v>1124.97998046875</x:v>
      </x:c>
      <x:c r="G589" s="137" t="n">
        <x:v>2327.573486328125</x:v>
      </x:c>
      <x:c r="H589" s="137" t="n">
        <x:v>64.1359634399414</x:v>
      </x:c>
      <x:c r="I589" s="137" t="n">
        <x:v>1289.9772469779148</x:v>
      </x:c>
      <x:c r="J589" s="137" t="n">
        <x:v>374.34457362344887</x:v>
      </x:c>
      <x:c r="K589" s="136" t="str">
        <x:v>map-27</x:v>
      </x:c>
      <x:c r="L589" s="136" t="str">
        <x:v>Antietam | Skirmish | Cooke's Countercharge||Spawn | USA Spawnpoint_CC_Base_USA_28thPA-2 [map-27/003]</x:v>
      </x:c>
      <x:c r="M589" s="35"/>
      <x:c r="N589" s="35"/>
      <x:c r="O589" s="35"/>
      <x:c r="P589" s="35"/>
      <x:c r="Q589" s="35"/>
      <x:c r="R589" s="35"/>
      <x:c r="S589" s="35"/>
      <x:c r="T589" s="35"/>
      <x:c r="U589" s="35"/>
      <x:c r="V589" s="35"/>
      <x:c r="W589" s="35"/>
      <x:c r="X589" s="35"/>
      <x:c r="Y589" s="35"/>
      <x:c r="Z589" s="35"/>
      <x:c r="AA589" s="35"/>
    </x:row>
    <x:row r="590">
      <x:c r="A590" s="136" t="str">
        <x:v>Antietam | Skirmish | Cooke's Countercharge</x:v>
      </x:c>
      <x:c r="B590" s="136" t="str">
        <x:v>Artillery | USA Spawnpoint_CC_USA_Arty_Owen_Forward [map-27/004]</x:v>
      </x:c>
      <x:c r="C590" s="136" t="str">
        <x:v>battery</x:v>
      </x:c>
      <x:c r="D590" s="136" t="str">
        <x:v>USA</x:v>
      </x:c>
      <x:c r="E590" s="136" t="str">
        <x:v>Spawnpoint_CC_USA_Arty_Owen_Forward</x:v>
      </x:c>
      <x:c r="F590" s="137" t="n">
        <x:v>784.4188842773438</x:v>
      </x:c>
      <x:c r="G590" s="137" t="n">
        <x:v>2186.745849609375</x:v>
      </x:c>
      <x:c r="H590" s="137" t="n">
        <x:v>60.619659423828125</x:v>
      </x:c>
      <x:c r="I590" s="137" t="n">
        <x:v>1059.6870437575442</x:v>
      </x:c>
      <x:c r="J590" s="137" t="n">
        <x:v>1246.630284283404</x:v>
      </x:c>
      <x:c r="K590" s="136" t="str">
        <x:v>map-27</x:v>
      </x:c>
      <x:c r="L590" s="136" t="str">
        <x:v>Antietam | Skirmish | Cooke's Countercharge||Artillery | USA Spawnpoint_CC_USA_Arty_Owen_Forward [map-27/004]</x:v>
      </x:c>
      <x:c r="M590" s="35"/>
      <x:c r="N590" s="35"/>
      <x:c r="O590" s="35"/>
      <x:c r="P590" s="35"/>
      <x:c r="Q590" s="35"/>
      <x:c r="R590" s="35"/>
      <x:c r="S590" s="35"/>
      <x:c r="T590" s="35"/>
      <x:c r="U590" s="35"/>
      <x:c r="V590" s="35"/>
      <x:c r="W590" s="35"/>
      <x:c r="X590" s="35"/>
      <x:c r="Y590" s="35"/>
      <x:c r="Z590" s="35"/>
      <x:c r="AA590" s="35"/>
    </x:row>
    <x:row r="591">
      <x:c r="A591" s="136" t="str">
        <x:v>Antietam | Skirmish | Cooke's Countercharge</x:v>
      </x:c>
      <x:c r="B591" s="136" t="str">
        <x:v>Spawn | USA Spawnpoint_CC_Base_USA_52ndNY [map-27/005]</x:v>
      </x:c>
      <x:c r="C591" s="136" t="str">
        <x:v>spawn</x:v>
      </x:c>
      <x:c r="D591" s="136" t="str">
        <x:v>USA</x:v>
      </x:c>
      <x:c r="E591" s="136" t="str">
        <x:v>Spawnpoint_CC_Base_USA_52ndNY</x:v>
      </x:c>
      <x:c r="F591" s="137" t="n">
        <x:v>1106.66357421875</x:v>
      </x:c>
      <x:c r="G591" s="137" t="n">
        <x:v>2323.944091796875</x:v>
      </x:c>
      <x:c r="H591" s="137" t="n">
        <x:v>64.47199249267578</x:v>
      </x:c>
      <x:c r="I591" s="137" t="n">
        <x:v>1269.9207822619012</x:v>
      </x:c>
      <x:c r="J591" s="137" t="n">
        <x:v>415.4308032275138</x:v>
      </x:c>
      <x:c r="K591" s="136" t="str">
        <x:v>map-27</x:v>
      </x:c>
      <x:c r="L591" s="136" t="str">
        <x:v>Antietam | Skirmish | Cooke's Countercharge||Spawn | USA Spawnpoint_CC_Base_USA_52ndNY [map-27/005]</x:v>
      </x:c>
      <x:c r="M591" s="35"/>
      <x:c r="N591" s="35"/>
      <x:c r="O591" s="35"/>
      <x:c r="P591" s="35"/>
      <x:c r="Q591" s="35"/>
      <x:c r="R591" s="35"/>
      <x:c r="S591" s="35"/>
      <x:c r="T591" s="35"/>
      <x:c r="U591" s="35"/>
      <x:c r="V591" s="35"/>
      <x:c r="W591" s="35"/>
      <x:c r="X591" s="35"/>
      <x:c r="Y591" s="35"/>
      <x:c r="Z591" s="35"/>
      <x:c r="AA591" s="35"/>
    </x:row>
    <x:row r="592">
      <x:c r="A592" s="136" t="str">
        <x:v>Antietam | Skirmish | Cooke's Countercharge</x:v>
      </x:c>
      <x:c r="B592" s="136" t="str">
        <x:v>Spawn | USA Spawnpoint_CC_Base_USA_52ndNY-2 [map-27/006]</x:v>
      </x:c>
      <x:c r="C592" s="136" t="str">
        <x:v>spawn</x:v>
      </x:c>
      <x:c r="D592" s="136" t="str">
        <x:v>USA</x:v>
      </x:c>
      <x:c r="E592" s="136" t="str">
        <x:v>Spawnpoint_CC_Base_USA_52ndNY-2</x:v>
      </x:c>
      <x:c r="F592" s="137" t="n">
        <x:v>1086.945556640625</x:v>
      </x:c>
      <x:c r="G592" s="137" t="n">
        <x:v>2321.26123046875</x:v>
      </x:c>
      <x:c r="H592" s="137" t="n">
        <x:v>64.20315551757812</x:v>
      </x:c>
      <x:c r="I592" s="137" t="n">
        <x:v>1245.948909731592</x:v>
      </x:c>
      <x:c r="J592" s="137" t="n">
        <x:v>457.85232359936134</x:v>
      </x:c>
      <x:c r="K592" s="136" t="str">
        <x:v>map-27</x:v>
      </x:c>
      <x:c r="L592" s="136" t="str">
        <x:v>Antietam | Skirmish | Cooke's Countercharge||Spawn | USA Spawnpoint_CC_Base_USA_52ndNY-2 [map-27/006]</x:v>
      </x:c>
      <x:c r="M592" s="35"/>
      <x:c r="N592" s="35"/>
      <x:c r="O592" s="35"/>
      <x:c r="P592" s="35"/>
      <x:c r="Q592" s="35"/>
      <x:c r="R592" s="35"/>
      <x:c r="S592" s="35"/>
      <x:c r="T592" s="35"/>
      <x:c r="U592" s="35"/>
      <x:c r="V592" s="35"/>
      <x:c r="W592" s="35"/>
      <x:c r="X592" s="35"/>
      <x:c r="Y592" s="35"/>
      <x:c r="Z592" s="35"/>
      <x:c r="AA592" s="35"/>
    </x:row>
    <x:row r="593">
      <x:c r="A593" s="136" t="str">
        <x:v>Antietam | Skirmish | Cooke's Countercharge</x:v>
      </x:c>
      <x:c r="B593" s="136" t="str">
        <x:v>Spawn | USA Spawnpoint_CC_Defend_USA_52ndNY-2 [map-27/007]</x:v>
      </x:c>
      <x:c r="C593" s="136" t="str">
        <x:v>spawn</x:v>
      </x:c>
      <x:c r="D593" s="136" t="str">
        <x:v>USA</x:v>
      </x:c>
      <x:c r="E593" s="136" t="str">
        <x:v>Spawnpoint_CC_Defend_USA_52ndNY-2</x:v>
      </x:c>
      <x:c r="F593" s="137" t="n">
        <x:v>889.3031005859375</x:v>
      </x:c>
      <x:c r="G593" s="137" t="n">
        <x:v>2222.312255859375</x:v>
      </x:c>
      <x:c r="H593" s="137" t="n">
        <x:v>61.29064178466797</x:v>
      </x:c>
      <x:c r="I593" s="137" t="n">
        <x:v>1145.787749303154</x:v>
      </x:c>
      <x:c r="J593" s="137" t="n">
        <x:v>989.5192957768426</x:v>
      </x:c>
      <x:c r="K593" s="136" t="str">
        <x:v>map-27</x:v>
      </x:c>
      <x:c r="L593" s="136" t="str">
        <x:v>Antietam | Skirmish | Cooke's Countercharge||Spawn | USA Spawnpoint_CC_Defend_USA_52ndNY-2 [map-27/007]</x:v>
      </x:c>
      <x:c r="M593" s="35"/>
      <x:c r="N593" s="35"/>
      <x:c r="O593" s="35"/>
      <x:c r="P593" s="35"/>
      <x:c r="Q593" s="35"/>
      <x:c r="R593" s="35"/>
      <x:c r="S593" s="35"/>
      <x:c r="T593" s="35"/>
      <x:c r="U593" s="35"/>
      <x:c r="V593" s="35"/>
      <x:c r="W593" s="35"/>
      <x:c r="X593" s="35"/>
      <x:c r="Y593" s="35"/>
      <x:c r="Z593" s="35"/>
      <x:c r="AA593" s="35"/>
    </x:row>
    <x:row r="594">
      <x:c r="A594" s="136" t="str">
        <x:v>Antietam | Skirmish | Cooke's Countercharge</x:v>
      </x:c>
      <x:c r="B594" s="136" t="str">
        <x:v>Spawn | USA Spawnpoint_CC_Defend_USA_52ndNY [map-27/008]</x:v>
      </x:c>
      <x:c r="C594" s="136" t="str">
        <x:v>spawn</x:v>
      </x:c>
      <x:c r="D594" s="136" t="str">
        <x:v>USA</x:v>
      </x:c>
      <x:c r="E594" s="136" t="str">
        <x:v>Spawnpoint_CC_Defend_USA_52ndNY</x:v>
      </x:c>
      <x:c r="F594" s="137" t="n">
        <x:v>890.06982421875</x:v>
      </x:c>
      <x:c r="G594" s="137" t="n">
        <x:v>2236.1591796875</x:v>
      </x:c>
      <x:c r="H594" s="137" t="n">
        <x:v>61.84067153930664</x:v>
      </x:c>
      <x:c r="I594" s="137" t="n">
        <x:v>1119.9966593233887</x:v>
      </x:c>
      <x:c r="J594" s="137" t="n">
        <x:v>967.5665307230421</x:v>
      </x:c>
      <x:c r="K594" s="136" t="str">
        <x:v>map-27</x:v>
      </x:c>
      <x:c r="L594" s="136" t="str">
        <x:v>Antietam | Skirmish | Cooke's Countercharge||Spawn | USA Spawnpoint_CC_Defend_USA_52ndNY [map-27/008]</x:v>
      </x:c>
      <x:c r="M594" s="35"/>
      <x:c r="N594" s="35"/>
      <x:c r="O594" s="35"/>
      <x:c r="P594" s="35"/>
      <x:c r="Q594" s="35"/>
      <x:c r="R594" s="35"/>
      <x:c r="S594" s="35"/>
      <x:c r="T594" s="35"/>
      <x:c r="U594" s="35"/>
      <x:c r="V594" s="35"/>
      <x:c r="W594" s="35"/>
      <x:c r="X594" s="35"/>
      <x:c r="Y594" s="35"/>
      <x:c r="Z594" s="35"/>
      <x:c r="AA594" s="35"/>
    </x:row>
    <x:row r="595">
      <x:c r="A595" s="136" t="str">
        <x:v>Antietam | Skirmish | Cooke's Countercharge</x:v>
      </x:c>
      <x:c r="B595" s="136" t="str">
        <x:v>Spawn | USA Spawnpoint_CC_Defend_USA_28thPA-2 [map-27/009]</x:v>
      </x:c>
      <x:c r="C595" s="136" t="str">
        <x:v>spawn</x:v>
      </x:c>
      <x:c r="D595" s="136" t="str">
        <x:v>USA</x:v>
      </x:c>
      <x:c r="E595" s="136" t="str">
        <x:v>Spawnpoint_CC_Defend_USA_28thPA-2</x:v>
      </x:c>
      <x:c r="F595" s="137" t="n">
        <x:v>887.4893188476562</x:v>
      </x:c>
      <x:c r="G595" s="137" t="n">
        <x:v>2189.55810546875</x:v>
      </x:c>
      <x:c r="H595" s="137" t="n">
        <x:v>61.471641540527344</x:v>
      </x:c>
      <x:c r="I595" s="137" t="n">
        <x:v>1206.7949747027042</x:v>
      </x:c>
      <x:c r="J595" s="137" t="n">
        <x:v>1041.44764569107</x:v>
      </x:c>
      <x:c r="K595" s="136" t="str">
        <x:v>map-27</x:v>
      </x:c>
      <x:c r="L595" s="136" t="str">
        <x:v>Antietam | Skirmish | Cooke's Countercharge||Spawn | USA Spawnpoint_CC_Defend_USA_28thPA-2 [map-27/009]</x:v>
      </x:c>
      <x:c r="M595" s="35"/>
      <x:c r="N595" s="35"/>
      <x:c r="O595" s="35"/>
      <x:c r="P595" s="35"/>
      <x:c r="Q595" s="35"/>
      <x:c r="R595" s="35"/>
      <x:c r="S595" s="35"/>
      <x:c r="T595" s="35"/>
      <x:c r="U595" s="35"/>
      <x:c r="V595" s="35"/>
      <x:c r="W595" s="35"/>
      <x:c r="X595" s="35"/>
      <x:c r="Y595" s="35"/>
      <x:c r="Z595" s="35"/>
      <x:c r="AA595" s="35"/>
    </x:row>
    <x:row r="596">
      <x:c r="A596" s="136" t="str">
        <x:v>Antietam | Skirmish | Cooke's Countercharge</x:v>
      </x:c>
      <x:c r="B596" s="136" t="str">
        <x:v>Spawn | CSA Spawnpoint_CC_Base_CSA_3rdAR-2 [map-27/010]</x:v>
      </x:c>
      <x:c r="C596" s="136" t="str">
        <x:v>spawn</x:v>
      </x:c>
      <x:c r="D596" s="136" t="str">
        <x:v>CSA</x:v>
      </x:c>
      <x:c r="E596" s="136" t="str">
        <x:v>Spawnpoint_CC_Base_CSA_3rdAR-2</x:v>
      </x:c>
      <x:c r="F596" s="137" t="n">
        <x:v>521.0208740234375</x:v>
      </x:c>
      <x:c r="G596" s="137" t="n">
        <x:v>2183.47607421875</x:v>
      </x:c>
      <x:c r="H596" s="137" t="n">
        <x:v>62.47867202758789</x:v>
      </x:c>
      <x:c r="I596" s="137" t="n">
        <x:v>676.1337768311603</x:v>
      </x:c>
      <x:c r="J596" s="137" t="n">
        <x:v>1765.1906038915333</x:v>
      </x:c>
      <x:c r="K596" s="136" t="str">
        <x:v>map-27</x:v>
      </x:c>
      <x:c r="L596" s="136" t="str">
        <x:v>Antietam | Skirmish | Cooke's Countercharge||Spawn | CSA Spawnpoint_CC_Base_CSA_3rdAR-2 [map-27/010]</x:v>
      </x:c>
      <x:c r="M596" s="35"/>
      <x:c r="N596" s="35"/>
      <x:c r="O596" s="35"/>
      <x:c r="P596" s="35"/>
      <x:c r="Q596" s="35"/>
      <x:c r="R596" s="35"/>
      <x:c r="S596" s="35"/>
      <x:c r="T596" s="35"/>
      <x:c r="U596" s="35"/>
      <x:c r="V596" s="35"/>
      <x:c r="W596" s="35"/>
      <x:c r="X596" s="35"/>
      <x:c r="Y596" s="35"/>
      <x:c r="Z596" s="35"/>
      <x:c r="AA596" s="35"/>
    </x:row>
    <x:row r="597">
      <x:c r="A597" s="136" t="str">
        <x:v>Antietam | Skirmish | Cooke's Countercharge</x:v>
      </x:c>
      <x:c r="B597" s="136" t="str">
        <x:v>Objective | Victory_Cookes_Counterattack [map-27/011]</x:v>
      </x:c>
      <x:c r="C597" s="136" t="str">
        <x:v>objective</x:v>
      </x:c>
      <x:c r="D597" s="136" t="str"/>
      <x:c r="E597" s="136" t="str">
        <x:v>Victory_Cookes_Counterattack</x:v>
      </x:c>
      <x:c r="F597" s="137" t="n">
        <x:v>869.1925659179688</x:v>
      </x:c>
      <x:c r="G597" s="137" t="n">
        <x:v>2160.582275390625</x:v>
      </x:c>
      <x:c r="H597" s="137" t="n">
        <x:v>62.69647979736328</x:v>
      </x:c>
      <x:c r="I597" s="137" t="n">
        <x:v>1236.0550971634957</x:v>
      </x:c>
      <x:c r="J597" s="137" t="n">
        <x:v>1119.9421982670108</x:v>
      </x:c>
      <x:c r="K597" s="136" t="str">
        <x:v>map-27</x:v>
      </x:c>
      <x:c r="L597" s="136" t="str">
        <x:v>Antietam | Skirmish | Cooke's Countercharge||Objective | Victory_Cookes_Counterattack [map-27/011]</x:v>
      </x:c>
      <x:c r="M597" s="35"/>
      <x:c r="N597" s="35"/>
      <x:c r="O597" s="35"/>
      <x:c r="P597" s="35"/>
      <x:c r="Q597" s="35"/>
      <x:c r="R597" s="35"/>
      <x:c r="S597" s="35"/>
      <x:c r="T597" s="35"/>
      <x:c r="U597" s="35"/>
      <x:c r="V597" s="35"/>
      <x:c r="W597" s="35"/>
      <x:c r="X597" s="35"/>
      <x:c r="Y597" s="35"/>
      <x:c r="Z597" s="35"/>
      <x:c r="AA597" s="35"/>
    </x:row>
    <x:row r="598">
      <x:c r="A598" s="136" t="str">
        <x:v>Antietam | Skirmish | Cooke's Countercharge</x:v>
      </x:c>
      <x:c r="B598" s="136" t="str">
        <x:v>Spawn | CSA Spawnpoint_CC_Base_CSA_27thNC-2 [map-27/012]</x:v>
      </x:c>
      <x:c r="C598" s="136" t="str">
        <x:v>spawn</x:v>
      </x:c>
      <x:c r="D598" s="136" t="str">
        <x:v>CSA</x:v>
      </x:c>
      <x:c r="E598" s="136" t="str">
        <x:v>Spawnpoint_CC_Base_CSA_27thNC-2</x:v>
      </x:c>
      <x:c r="F598" s="137" t="n">
        <x:v>522.1159057617188</x:v>
      </x:c>
      <x:c r="G598" s="137" t="n">
        <x:v>2172.4833984375</x:v>
      </x:c>
      <x:c r="H598" s="137" t="n">
        <x:v>62.64303207397461</x:v>
      </x:c>
      <x:c r="I598" s="137" t="n">
        <x:v>699.1306102640144</x:v>
      </x:c>
      <x:c r="J598" s="137" t="n">
        <x:v>1779.2953677172372</x:v>
      </x:c>
      <x:c r="K598" s="136" t="str">
        <x:v>map-27</x:v>
      </x:c>
      <x:c r="L598" s="136" t="str">
        <x:v>Antietam | Skirmish | Cooke's Countercharge||Spawn | CSA Spawnpoint_CC_Base_CSA_27thNC-2 [map-27/012]</x:v>
      </x:c>
      <x:c r="M598" s="35"/>
      <x:c r="N598" s="35"/>
      <x:c r="O598" s="35"/>
      <x:c r="P598" s="35"/>
      <x:c r="Q598" s="35"/>
      <x:c r="R598" s="35"/>
      <x:c r="S598" s="35"/>
      <x:c r="T598" s="35"/>
      <x:c r="U598" s="35"/>
      <x:c r="V598" s="35"/>
      <x:c r="W598" s="35"/>
      <x:c r="X598" s="35"/>
      <x:c r="Y598" s="35"/>
      <x:c r="Z598" s="35"/>
      <x:c r="AA598" s="35"/>
    </x:row>
    <x:row r="599">
      <x:c r="A599" s="136" t="str">
        <x:v>Antietam | Skirmish | Cooke's Countercharge</x:v>
      </x:c>
      <x:c r="B599" s="136" t="str">
        <x:v>Spawn | USA Spawnpoint_CC_Defend_USA_28thPA [map-27/013]</x:v>
      </x:c>
      <x:c r="C599" s="136" t="str">
        <x:v>spawn</x:v>
      </x:c>
      <x:c r="D599" s="136" t="str">
        <x:v>USA</x:v>
      </x:c>
      <x:c r="E599" s="136" t="str">
        <x:v>Spawnpoint_CC_Defend_USA_28thPA</x:v>
      </x:c>
      <x:c r="F599" s="137" t="n">
        <x:v>888.306396484375</x:v>
      </x:c>
      <x:c r="G599" s="137" t="n">
        <x:v>2204.31494140625</x:v>
      </x:c>
      <x:c r="H599" s="137" t="n">
        <x:v>61.29578399658203</x:v>
      </x:c>
      <x:c r="I599" s="137" t="n">
        <x:v>1179.3090518463305</x:v>
      </x:c>
      <x:c r="J599" s="137" t="n">
        <x:v>1018.0523724761508</x:v>
      </x:c>
      <x:c r="K599" s="136" t="str">
        <x:v>map-27</x:v>
      </x:c>
      <x:c r="L599" s="136" t="str">
        <x:v>Antietam | Skirmish | Cooke's Countercharge||Spawn | USA Spawnpoint_CC_Defend_USA_28thPA [map-27/013]</x:v>
      </x:c>
      <x:c r="M599" s="35"/>
      <x:c r="N599" s="35"/>
      <x:c r="O599" s="35"/>
      <x:c r="P599" s="35"/>
      <x:c r="Q599" s="35"/>
      <x:c r="R599" s="35"/>
      <x:c r="S599" s="35"/>
      <x:c r="T599" s="35"/>
      <x:c r="U599" s="35"/>
      <x:c r="V599" s="35"/>
      <x:c r="W599" s="35"/>
      <x:c r="X599" s="35"/>
      <x:c r="Y599" s="35"/>
      <x:c r="Z599" s="35"/>
      <x:c r="AA599" s="35"/>
    </x:row>
    <x:row r="600">
      <x:c r="A600" s="136" t="str">
        <x:v>Antietam | Skirmish | Cooke's Countercharge</x:v>
      </x:c>
      <x:c r="B600" s="136" t="str">
        <x:v>Spawn | CSA Spawnpoint_CC_Base_CSA_3rdAR [map-27/014]</x:v>
      </x:c>
      <x:c r="C600" s="136" t="str">
        <x:v>spawn</x:v>
      </x:c>
      <x:c r="D600" s="136" t="str">
        <x:v>CSA</x:v>
      </x:c>
      <x:c r="E600" s="136" t="str">
        <x:v>Spawnpoint_CC_Base_CSA_3rdAR</x:v>
      </x:c>
      <x:c r="F600" s="137" t="n">
        <x:v>502.89056396484375</x:v>
      </x:c>
      <x:c r="G600" s="137" t="n">
        <x:v>2182.04736328125</x:v>
      </x:c>
      <x:c r="H600" s="137" t="n">
        <x:v>61.44497299194336</x:v>
      </x:c>
      <x:c r="I600" s="137" t="n">
        <x:v>652.0734462639999</x:v>
      </x:c>
      <x:c r="J600" s="137" t="n">
        <x:v>1802.6625975792601</x:v>
      </x:c>
      <x:c r="K600" s="136" t="str">
        <x:v>map-27</x:v>
      </x:c>
      <x:c r="L600" s="136" t="str">
        <x:v>Antietam | Skirmish | Cooke's Countercharge||Spawn | CSA Spawnpoint_CC_Base_CSA_3rdAR [map-27/014]</x:v>
      </x:c>
      <x:c r="M600" s="35"/>
      <x:c r="N600" s="35"/>
      <x:c r="O600" s="35"/>
      <x:c r="P600" s="35"/>
      <x:c r="Q600" s="35"/>
      <x:c r="R600" s="35"/>
      <x:c r="S600" s="35"/>
      <x:c r="T600" s="35"/>
      <x:c r="U600" s="35"/>
      <x:c r="V600" s="35"/>
      <x:c r="W600" s="35"/>
      <x:c r="X600" s="35"/>
      <x:c r="Y600" s="35"/>
      <x:c r="Z600" s="35"/>
      <x:c r="AA600" s="35"/>
    </x:row>
    <x:row r="601">
      <x:c r="A601" s="136" t="str">
        <x:v>Antietam | Skirmish | Cooke's Countercharge</x:v>
      </x:c>
      <x:c r="B601" s="136" t="str">
        <x:v>Spawn | CSA Spawnpoint_CC_Base_CSA_27thNC [map-27/015]</x:v>
      </x:c>
      <x:c r="C601" s="136" t="str">
        <x:v>spawn</x:v>
      </x:c>
      <x:c r="D601" s="136" t="str">
        <x:v>CSA</x:v>
      </x:c>
      <x:c r="E601" s="136" t="str">
        <x:v>Spawnpoint_CC_Base_CSA_27thNC</x:v>
      </x:c>
      <x:c r="F601" s="137" t="n">
        <x:v>503.59112548828125</x:v>
      </x:c>
      <x:c r="G601" s="137" t="n">
        <x:v>2171.026611328125</x:v>
      </x:c>
      <x:c r="H601" s="137" t="n">
        <x:v>61.555381774902344</x:v>
      </x:c>
      <x:c r="I601" s="137" t="n">
        <x:v>674.5409358906692</x:v>
      </x:c>
      <x:c r="J601" s="137" t="n">
        <x:v>1817.5782128095327</x:v>
      </x:c>
      <x:c r="K601" s="136" t="str">
        <x:v>map-27</x:v>
      </x:c>
      <x:c r="L601" s="136" t="str">
        <x:v>Antietam | Skirmish | Cooke's Countercharge||Spawn | CSA Spawnpoint_CC_Base_CSA_27thNC [map-27/015]</x:v>
      </x:c>
      <x:c r="M601" s="35"/>
      <x:c r="N601" s="35"/>
      <x:c r="O601" s="35"/>
      <x:c r="P601" s="35"/>
      <x:c r="Q601" s="35"/>
      <x:c r="R601" s="35"/>
      <x:c r="S601" s="35"/>
      <x:c r="T601" s="35"/>
      <x:c r="U601" s="35"/>
      <x:c r="V601" s="35"/>
      <x:c r="W601" s="35"/>
      <x:c r="X601" s="35"/>
      <x:c r="Y601" s="35"/>
      <x:c r="Z601" s="35"/>
      <x:c r="AA601" s="35"/>
    </x:row>
    <x:row r="602">
      <x:c r="A602" s="136" t="str">
        <x:v>Antietam | Skirmish | Cooke's Countercharge</x:v>
      </x:c>
      <x:c r="B602" s="136" t="str">
        <x:v>Gun | 3-inch Ordnance · Entity-1065 [map-27/016]</x:v>
      </x:c>
      <x:c r="C602" s="136" t="str">
        <x:v>gun_spawn</x:v>
      </x:c>
      <x:c r="D602" s="136" t="str"/>
      <x:c r="E602" s="136" t="str">
        <x:v>3-inch Ordnance · Entity-1065</x:v>
      </x:c>
      <x:c r="F602" s="137" t="n">
        <x:v>740.8800048828125</x:v>
      </x:c>
      <x:c r="G602" s="137" t="n">
        <x:v>2184.679931640625</x:v>
      </x:c>
      <x:c r="H602" s="137" t="n">
        <x:v>59.11819839477539</x:v>
      </x:c>
      <x:c r="I602" s="137" t="n">
        <x:v>999.2531587197732</x:v>
      </x:c>
      <x:c r="J602" s="137" t="n">
        <x:v>1334.600373356758</x:v>
      </x:c>
      <x:c r="K602" s="136" t="str">
        <x:v>map-27</x:v>
      </x:c>
      <x:c r="L602" s="136" t="str">
        <x:v>Antietam | Skirmish | Cooke's Countercharge||Gun | 3-inch Ordnance · Entity-1065 [map-27/016]</x:v>
      </x:c>
      <x:c r="M602" s="35"/>
      <x:c r="N602" s="35"/>
      <x:c r="O602" s="35"/>
      <x:c r="P602" s="35"/>
      <x:c r="Q602" s="35"/>
      <x:c r="R602" s="35"/>
      <x:c r="S602" s="35"/>
      <x:c r="T602" s="35"/>
      <x:c r="U602" s="35"/>
      <x:c r="V602" s="35"/>
      <x:c r="W602" s="35"/>
      <x:c r="X602" s="35"/>
      <x:c r="Y602" s="35"/>
      <x:c r="Z602" s="35"/>
      <x:c r="AA602" s="35"/>
    </x:row>
    <x:row r="603">
      <x:c r="A603" s="136" t="str">
        <x:v>Antietam | Skirmish | Cooke's Countercharge</x:v>
      </x:c>
      <x:c r="B603" s="136" t="str">
        <x:v>Gun | 12-pounder Napoleon (USA) · Entity-1067 [map-27/017]</x:v>
      </x:c>
      <x:c r="C603" s="136" t="str">
        <x:v>gun_spawn</x:v>
      </x:c>
      <x:c r="D603" s="136" t="str"/>
      <x:c r="E603" s="136" t="str">
        <x:v>12-pounder Napoleon (USA) · Entity-1067</x:v>
      </x:c>
      <x:c r="F603" s="137" t="n">
        <x:v>741.8720092773438</x:v>
      </x:c>
      <x:c r="G603" s="137" t="n">
        <x:v>2193.199951171875</x:v>
      </x:c>
      <x:c r="H603" s="137" t="n">
        <x:v>58.809200286865234</x:v>
      </x:c>
      <x:c r="I603" s="137" t="n">
        <x:v>984.154003963992</x:v>
      </x:c>
      <x:c r="J603" s="137" t="n">
        <x:v>1320.0781551798293</x:v>
      </x:c>
      <x:c r="K603" s="136" t="str">
        <x:v>map-27</x:v>
      </x:c>
      <x:c r="L603" s="136" t="str">
        <x:v>Antietam | Skirmish | Cooke's Countercharge||Gun | 12-pounder Napoleon (USA) · Entity-1067 [map-27/017]</x:v>
      </x:c>
      <x:c r="M603" s="35"/>
      <x:c r="N603" s="35"/>
      <x:c r="O603" s="35"/>
      <x:c r="P603" s="35"/>
      <x:c r="Q603" s="35"/>
      <x:c r="R603" s="35"/>
      <x:c r="S603" s="35"/>
      <x:c r="T603" s="35"/>
      <x:c r="U603" s="35"/>
      <x:c r="V603" s="35"/>
      <x:c r="W603" s="35"/>
      <x:c r="X603" s="35"/>
      <x:c r="Y603" s="35"/>
      <x:c r="Z603" s="35"/>
      <x:c r="AA603" s="35"/>
    </x:row>
    <x:row r="604">
      <x:c r="A604" s="136" t="str">
        <x:v>Antietam | Skirmish | Cooke's Countercharge</x:v>
      </x:c>
      <x:c r="B604" s="136" t="str">
        <x:v>Gun | 3-inch Ordnance · Entity-1064 [map-27/018]</x:v>
      </x:c>
      <x:c r="C604" s="136" t="str">
        <x:v>gun_spawn</x:v>
      </x:c>
      <x:c r="D604" s="136" t="str"/>
      <x:c r="E604" s="136" t="str">
        <x:v>3-inch Ordnance · Entity-1064</x:v>
      </x:c>
      <x:c r="F604" s="137" t="n">
        <x:v>740.0770263671875</x:v>
      </x:c>
      <x:c r="G604" s="137" t="n">
        <x:v>2170.489990234375</x:v>
      </x:c>
      <x:c r="H604" s="137" t="n">
        <x:v>59.51494598388672</x:v>
      </x:c>
      <x:c r="I604" s="137" t="n">
        <x:v>1025.6575960753592</x:v>
      </x:c>
      <x:c r="J604" s="137" t="n">
        <x:v>1357.130621551892</x:v>
      </x:c>
      <x:c r="K604" s="136" t="str">
        <x:v>map-27</x:v>
      </x:c>
      <x:c r="L604" s="136" t="str">
        <x:v>Antietam | Skirmish | Cooke's Countercharge||Gun | 3-inch Ordnance · Entity-1064 [map-27/018]</x:v>
      </x:c>
      <x:c r="M604" s="35"/>
      <x:c r="N604" s="35"/>
      <x:c r="O604" s="35"/>
      <x:c r="P604" s="35"/>
      <x:c r="Q604" s="35"/>
      <x:c r="R604" s="35"/>
      <x:c r="S604" s="35"/>
      <x:c r="T604" s="35"/>
      <x:c r="U604" s="35"/>
      <x:c r="V604" s="35"/>
      <x:c r="W604" s="35"/>
      <x:c r="X604" s="35"/>
      <x:c r="Y604" s="35"/>
      <x:c r="Z604" s="35"/>
      <x:c r="AA604" s="35"/>
    </x:row>
    <x:row r="605">
      <x:c r="A605" s="136" t="str">
        <x:v>Antietam | Skirmish | Cooke's Countercharge</x:v>
      </x:c>
      <x:c r="B605" s="136" t="str">
        <x:v>Gun | 12-pounder Napoleon (USA) · Entity-1068 [map-27/019]</x:v>
      </x:c>
      <x:c r="C605" s="136" t="str">
        <x:v>gun_spawn</x:v>
      </x:c>
      <x:c r="D605" s="136" t="str"/>
      <x:c r="E605" s="136" t="str">
        <x:v>12-pounder Napoleon (USA) · Entity-1068</x:v>
      </x:c>
      <x:c r="F605" s="137" t="n">
        <x:v>744.1240234375</x:v>
      </x:c>
      <x:c r="G605" s="137" t="n">
        <x:v>2211.639892578125</x:v>
      </x:c>
      <x:c r="H605" s="137" t="n">
        <x:v>59.03349304199219</x:v>
      </x:c>
      <x:c r="I605" s="137" t="n">
        <x:v>951.6302416289424</x:v>
      </x:c>
      <x:c r="J605" s="137" t="n">
        <x:v>1288.4427967104218</x:v>
      </x:c>
      <x:c r="K605" s="136" t="str">
        <x:v>map-27</x:v>
      </x:c>
      <x:c r="L605" s="136" t="str">
        <x:v>Antietam | Skirmish | Cooke's Countercharge||Gun | 12-pounder Napoleon (USA) · Entity-1068 [map-27/019]</x:v>
      </x:c>
      <x:c r="M605" s="35"/>
      <x:c r="N605" s="35"/>
      <x:c r="O605" s="35"/>
      <x:c r="P605" s="35"/>
      <x:c r="Q605" s="35"/>
      <x:c r="R605" s="35"/>
      <x:c r="S605" s="35"/>
      <x:c r="T605" s="35"/>
      <x:c r="U605" s="35"/>
      <x:c r="V605" s="35"/>
      <x:c r="W605" s="35"/>
      <x:c r="X605" s="35"/>
      <x:c r="Y605" s="35"/>
      <x:c r="Z605" s="35"/>
      <x:c r="AA605" s="35"/>
    </x:row>
    <x:row r="606">
      <x:c r="A606" s="136" t="str">
        <x:v>Antietam | Skirmish | Cooke's Countercharge</x:v>
      </x:c>
      <x:c r="B606" s="136" t="str">
        <x:v>Gun | 12-pounder Napoleon (USA) · Entity-1066 [map-27/020]</x:v>
      </x:c>
      <x:c r="C606" s="136" t="str">
        <x:v>gun_spawn</x:v>
      </x:c>
      <x:c r="D606" s="136" t="str"/>
      <x:c r="E606" s="136" t="str">
        <x:v>12-pounder Napoleon (USA) · Entity-1066</x:v>
      </x:c>
      <x:c r="F606" s="137" t="n">
        <x:v>742.7509765625</x:v>
      </x:c>
      <x:c r="G606" s="137" t="n">
        <x:v>2202.330078125</x:v>
      </x:c>
      <x:c r="H606" s="137" t="n">
        <x:v>58.68889617919922</x:v>
      </x:c>
      <x:c r="I606" s="137" t="n">
        <x:v>967.7011325150024</x:v>
      </x:c>
      <x:c r="J606" s="137" t="n">
        <x:v>1304.875035131918</x:v>
      </x:c>
      <x:c r="K606" s="136" t="str">
        <x:v>map-27</x:v>
      </x:c>
      <x:c r="L606" s="136" t="str">
        <x:v>Antietam | Skirmish | Cooke's Countercharge||Gun | 12-pounder Napoleon (USA) · Entity-1066 [map-27/020]</x:v>
      </x:c>
      <x:c r="M606" s="35"/>
      <x:c r="N606" s="35"/>
      <x:c r="O606" s="35"/>
      <x:c r="P606" s="35"/>
      <x:c r="Q606" s="35"/>
      <x:c r="R606" s="35"/>
      <x:c r="S606" s="35"/>
      <x:c r="T606" s="35"/>
      <x:c r="U606" s="35"/>
      <x:c r="V606" s="35"/>
      <x:c r="W606" s="35"/>
      <x:c r="X606" s="35"/>
      <x:c r="Y606" s="35"/>
      <x:c r="Z606" s="35"/>
      <x:c r="AA606" s="35"/>
    </x:row>
    <x:row r="607">
      <x:c r="A607" s="136" t="str">
        <x:v>Antietam | Skirmish | Cooke's Countercharge</x:v>
      </x:c>
      <x:c r="B607" s="136" t="str">
        <x:v>Gun | 3-inch Ordnance · Entity-1063 [map-27/021]</x:v>
      </x:c>
      <x:c r="C607" s="136" t="str">
        <x:v>gun_spawn</x:v>
      </x:c>
      <x:c r="D607" s="136" t="str"/>
      <x:c r="E607" s="136" t="str">
        <x:v>3-inch Ordnance · Entity-1063</x:v>
      </x:c>
      <x:c r="F607" s="137" t="n">
        <x:v>740.7459716796875</x:v>
      </x:c>
      <x:c r="G607" s="137" t="n">
        <x:v>2177.8701171875</x:v>
      </x:c>
      <x:c r="H607" s="137" t="n">
        <x:v>59.35786819458008</x:v>
      </x:c>
      <x:c r="I607" s="137" t="n">
        <x:v>1012.2967945749448</x:v>
      </x:c>
      <x:c r="J607" s="137" t="n">
        <x:v>1344.9225651584547</x:v>
      </x:c>
      <x:c r="K607" s="136" t="str">
        <x:v>map-27</x:v>
      </x:c>
      <x:c r="L607" s="136" t="str">
        <x:v>Antietam | Skirmish | Cooke's Countercharge||Gun | 3-inch Ordnance · Entity-1063 [map-27/021]</x:v>
      </x:c>
      <x:c r="M607" s="35"/>
      <x:c r="N607" s="35"/>
      <x:c r="O607" s="35"/>
      <x:c r="P607" s="35"/>
      <x:c r="Q607" s="35"/>
      <x:c r="R607" s="35"/>
      <x:c r="S607" s="35"/>
      <x:c r="T607" s="35"/>
      <x:c r="U607" s="35"/>
      <x:c r="V607" s="35"/>
      <x:c r="W607" s="35"/>
      <x:c r="X607" s="35"/>
      <x:c r="Y607" s="35"/>
      <x:c r="Z607" s="35"/>
      <x:c r="AA607" s="35"/>
    </x:row>
    <x:row r="608">
      <x:c r="A608" s="136" t="str">
        <x:v>Antietam | Skirmish | Otto &amp; Sherrick Farm</x:v>
      </x:c>
      <x:c r="B608" s="136" t="str">
        <x:v>Spawn | CSA Spawnpoint_OS_Defend_CSA_1stGA [map-28/001]</x:v>
      </x:c>
      <x:c r="C608" s="136" t="str">
        <x:v>spawn</x:v>
      </x:c>
      <x:c r="D608" s="136" t="str">
        <x:v>CSA</x:v>
      </x:c>
      <x:c r="E608" s="136" t="str">
        <x:v>Spawnpoint_OS_Defend_CSA_1stGA</x:v>
      </x:c>
      <x:c r="F608" s="137" t="n">
        <x:v>1251.8358154296875</x:v>
      </x:c>
      <x:c r="G608" s="137" t="n">
        <x:v>1145.314208984375</x:v>
      </x:c>
      <x:c r="H608" s="137" t="n">
        <x:v>24.044910430908203</x:v>
      </x:c>
      <x:c r="I608" s="137" t="n">
        <x:v>1017.7035451038704</x:v>
      </x:c>
      <x:c r="J608" s="137" t="n">
        <x:v>811.3186353734027</x:v>
      </x:c>
      <x:c r="K608" s="136" t="str">
        <x:v>map-28</x:v>
      </x:c>
      <x:c r="L608" s="136" t="str">
        <x:v>Antietam | Skirmish | Otto &amp; Sherrick Farm||Spawn | CSA Spawnpoint_OS_Defend_CSA_1stGA [map-28/001]</x:v>
      </x:c>
      <x:c r="M608" s="35"/>
      <x:c r="N608" s="35"/>
      <x:c r="O608" s="35"/>
      <x:c r="P608" s="35"/>
      <x:c r="Q608" s="35"/>
      <x:c r="R608" s="35"/>
      <x:c r="S608" s="35"/>
      <x:c r="T608" s="35"/>
      <x:c r="U608" s="35"/>
      <x:c r="V608" s="35"/>
      <x:c r="W608" s="35"/>
      <x:c r="X608" s="35"/>
      <x:c r="Y608" s="35"/>
      <x:c r="Z608" s="35"/>
      <x:c r="AA608" s="35"/>
    </x:row>
    <x:row r="609">
      <x:c r="A609" s="136" t="str">
        <x:v>Antietam | Skirmish | Otto &amp; Sherrick Farm</x:v>
      </x:c>
      <x:c r="B609" s="136" t="str">
        <x:v>Spawn | CSA Spawnpoint_OS_Defend_CSA_Palm [map-28/002]</x:v>
      </x:c>
      <x:c r="C609" s="136" t="str">
        <x:v>spawn</x:v>
      </x:c>
      <x:c r="D609" s="136" t="str">
        <x:v>CSA</x:v>
      </x:c>
      <x:c r="E609" s="136" t="str">
        <x:v>Spawnpoint_OS_Defend_CSA_Palm</x:v>
      </x:c>
      <x:c r="F609" s="137" t="n">
        <x:v>1246.9454345703125</x:v>
      </x:c>
      <x:c r="G609" s="137" t="n">
        <x:v>1158.44873046875</x:v>
      </x:c>
      <x:c r="H609" s="137" t="n">
        <x:v>24.577625274658203</x:v>
      </x:c>
      <x:c r="I609" s="137" t="n">
        <x:v>972.6691386213561</x:v>
      </x:c>
      <x:c r="J609" s="137" t="n">
        <x:v>797.7338700337331</x:v>
      </x:c>
      <x:c r="K609" s="136" t="str">
        <x:v>map-28</x:v>
      </x:c>
      <x:c r="L609" s="136" t="str">
        <x:v>Antietam | Skirmish | Otto &amp; Sherrick Farm||Spawn | CSA Spawnpoint_OS_Defend_CSA_Palm [map-28/002]</x:v>
      </x:c>
      <x:c r="M609" s="35"/>
      <x:c r="N609" s="35"/>
      <x:c r="O609" s="35"/>
      <x:c r="P609" s="35"/>
      <x:c r="Q609" s="35"/>
      <x:c r="R609" s="35"/>
      <x:c r="S609" s="35"/>
      <x:c r="T609" s="35"/>
      <x:c r="U609" s="35"/>
      <x:c r="V609" s="35"/>
      <x:c r="W609" s="35"/>
      <x:c r="X609" s="35"/>
      <x:c r="Y609" s="35"/>
      <x:c r="Z609" s="35"/>
      <x:c r="AA609" s="35"/>
    </x:row>
    <x:row r="610">
      <x:c r="A610" s="136" t="str">
        <x:v>Antietam | Skirmish | Otto &amp; Sherrick Farm</x:v>
      </x:c>
      <x:c r="B610" s="136" t="str">
        <x:v>Spawn | CSA Spawnpoint_OS_Defend_CSA_Palm-2 [map-28/003]</x:v>
      </x:c>
      <x:c r="C610" s="136" t="str">
        <x:v>spawn</x:v>
      </x:c>
      <x:c r="D610" s="136" t="str">
        <x:v>CSA</x:v>
      </x:c>
      <x:c r="E610" s="136" t="str">
        <x:v>Spawnpoint_OS_Defend_CSA_Palm-2</x:v>
      </x:c>
      <x:c r="F610" s="137" t="n">
        <x:v>1260.9495849609375</x:v>
      </x:c>
      <x:c r="G610" s="137" t="n">
        <x:v>1153.014404296875</x:v>
      </x:c>
      <x:c r="H610" s="137" t="n">
        <x:v>24.061986923217773</x:v>
      </x:c>
      <x:c r="I610" s="137" t="n">
        <x:v>1015.6172810497054</x:v>
      </x:c>
      <x:c r="J610" s="137" t="n">
        <x:v>771.3292703652347</x:v>
      </x:c>
      <x:c r="K610" s="136" t="str">
        <x:v>map-28</x:v>
      </x:c>
      <x:c r="L610" s="136" t="str">
        <x:v>Antietam | Skirmish | Otto &amp; Sherrick Farm||Spawn | CSA Spawnpoint_OS_Defend_CSA_Palm-2 [map-28/003]</x:v>
      </x:c>
      <x:c r="M610" s="35"/>
      <x:c r="N610" s="35"/>
      <x:c r="O610" s="35"/>
      <x:c r="P610" s="35"/>
      <x:c r="Q610" s="35"/>
      <x:c r="R610" s="35"/>
      <x:c r="S610" s="35"/>
      <x:c r="T610" s="35"/>
      <x:c r="U610" s="35"/>
      <x:c r="V610" s="35"/>
      <x:c r="W610" s="35"/>
      <x:c r="X610" s="35"/>
      <x:c r="Y610" s="35"/>
      <x:c r="Z610" s="35"/>
      <x:c r="AA610" s="35"/>
    </x:row>
    <x:row r="611">
      <x:c r="A611" s="136" t="str">
        <x:v>Antietam | Skirmish | Otto &amp; Sherrick Farm</x:v>
      </x:c>
      <x:c r="B611" s="136" t="str">
        <x:v>Spawn | CSA Spawnpoint_OS_Base_CSA_Palm [map-28/004]</x:v>
      </x:c>
      <x:c r="C611" s="136" t="str">
        <x:v>spawn</x:v>
      </x:c>
      <x:c r="D611" s="136" t="str">
        <x:v>CSA</x:v>
      </x:c>
      <x:c r="E611" s="136" t="str">
        <x:v>Spawnpoint_OS_Base_CSA_Palm</x:v>
      </x:c>
      <x:c r="F611" s="137" t="n">
        <x:v>1253.6002197265625</x:v>
      </x:c>
      <x:c r="G611" s="137" t="n">
        <x:v>1277.015380859375</x:v>
      </x:c>
      <x:c r="H611" s="137" t="n">
        <x:v>43.169044494628906</x:v>
      </x:c>
      <x:c r="I611" s="137" t="n">
        <x:v>669.2409606408912</x:v>
      </x:c>
      <x:c r="J611" s="137" t="n">
        <x:v>539.3100073695144</x:v>
      </x:c>
      <x:c r="K611" s="136" t="str">
        <x:v>map-28</x:v>
      </x:c>
      <x:c r="L611" s="136" t="str">
        <x:v>Antietam | Skirmish | Otto &amp; Sherrick Farm||Spawn | CSA Spawnpoint_OS_Base_CSA_Palm [map-28/004]</x:v>
      </x:c>
      <x:c r="M611" s="35"/>
      <x:c r="N611" s="35"/>
      <x:c r="O611" s="35"/>
      <x:c r="P611" s="35"/>
      <x:c r="Q611" s="35"/>
      <x:c r="R611" s="35"/>
      <x:c r="S611" s="35"/>
      <x:c r="T611" s="35"/>
      <x:c r="U611" s="35"/>
      <x:c r="V611" s="35"/>
      <x:c r="W611" s="35"/>
      <x:c r="X611" s="35"/>
      <x:c r="Y611" s="35"/>
      <x:c r="Z611" s="35"/>
      <x:c r="AA611" s="35"/>
    </x:row>
    <x:row r="612">
      <x:c r="A612" s="136" t="str">
        <x:v>Antietam | Skirmish | Otto &amp; Sherrick Farm</x:v>
      </x:c>
      <x:c r="B612" s="136" t="str">
        <x:v>Artillery | CSA Spawnpoint_OS_CSA_Arty_Maurin_Forward-2 [map-28/005]</x:v>
      </x:c>
      <x:c r="C612" s="136" t="str">
        <x:v>battery</x:v>
      </x:c>
      <x:c r="D612" s="136" t="str">
        <x:v>CSA</x:v>
      </x:c>
      <x:c r="E612" s="136" t="str">
        <x:v>Spawnpoint_OS_CSA_Arty_Maurin_Forward-2</x:v>
      </x:c>
      <x:c r="F612" s="137" t="n">
        <x:v>1139.11572265625</x:v>
      </x:c>
      <x:c r="G612" s="137" t="n">
        <x:v>1243.421142578125</x:v>
      </x:c>
      <x:c r="H612" s="137" t="n">
        <x:v>44.69841384887695</x:v>
      </x:c>
      <x:c r="I612" s="137" t="n">
        <x:v>526.6895329210403</x:v>
      </x:c>
      <x:c r="J612" s="137" t="n">
        <x:v>913.5132437093852</x:v>
      </x:c>
      <x:c r="K612" s="136" t="str">
        <x:v>map-28</x:v>
      </x:c>
      <x:c r="L612" s="136" t="str">
        <x:v>Antietam | Skirmish | Otto &amp; Sherrick Farm||Artillery | CSA Spawnpoint_OS_CSA_Arty_Maurin_Forward-2 [map-28/005]</x:v>
      </x:c>
      <x:c r="M612" s="35"/>
      <x:c r="N612" s="35"/>
      <x:c r="O612" s="35"/>
      <x:c r="P612" s="35"/>
      <x:c r="Q612" s="35"/>
      <x:c r="R612" s="35"/>
      <x:c r="S612" s="35"/>
      <x:c r="T612" s="35"/>
      <x:c r="U612" s="35"/>
      <x:c r="V612" s="35"/>
      <x:c r="W612" s="35"/>
      <x:c r="X612" s="35"/>
      <x:c r="Y612" s="35"/>
      <x:c r="Z612" s="35"/>
      <x:c r="AA612" s="35"/>
    </x:row>
    <x:row r="613">
      <x:c r="A613" s="136" t="str">
        <x:v>Antietam | Skirmish | Otto &amp; Sherrick Farm</x:v>
      </x:c>
      <x:c r="B613" s="136" t="str">
        <x:v>Objective | Victory_Otto_Sherrick [map-28/006]</x:v>
      </x:c>
      <x:c r="C613" s="136" t="str">
        <x:v>objective</x:v>
      </x:c>
      <x:c r="D613" s="136" t="str"/>
      <x:c r="E613" s="136" t="str">
        <x:v>Victory_Otto_Sherrick</x:v>
      </x:c>
      <x:c r="F613" s="137" t="n">
        <x:v>1241.3258056640625</x:v>
      </x:c>
      <x:c r="G613" s="137" t="n">
        <x:v>1146.0938720703125</x:v>
      </x:c>
      <x:c r="H613" s="137" t="n">
        <x:v>24.467418670654297</x:v>
      </x:c>
      <x:c r="I613" s="137" t="n">
        <x:v>994.2890236200345</x:v>
      </x:c>
      <x:c r="J613" s="137" t="n">
        <x:v>837.8300377546889</x:v>
      </x:c>
      <x:c r="K613" s="136" t="str">
        <x:v>map-28</x:v>
      </x:c>
      <x:c r="L613" s="136" t="str">
        <x:v>Antietam | Skirmish | Otto &amp; Sherrick Farm||Objective | Victory_Otto_Sherrick [map-28/006]</x:v>
      </x:c>
      <x:c r="M613" s="35"/>
      <x:c r="N613" s="35"/>
      <x:c r="O613" s="35"/>
      <x:c r="P613" s="35"/>
      <x:c r="Q613" s="35"/>
      <x:c r="R613" s="35"/>
      <x:c r="S613" s="35"/>
      <x:c r="T613" s="35"/>
      <x:c r="U613" s="35"/>
      <x:c r="V613" s="35"/>
      <x:c r="W613" s="35"/>
      <x:c r="X613" s="35"/>
      <x:c r="Y613" s="35"/>
      <x:c r="Z613" s="35"/>
      <x:c r="AA613" s="35"/>
    </x:row>
    <x:row r="614">
      <x:c r="A614" s="136" t="str">
        <x:v>Antietam | Skirmish | Otto &amp; Sherrick Farm</x:v>
      </x:c>
      <x:c r="B614" s="136" t="str">
        <x:v>Spawn | USA Spawnpoint_OS_Base_USA_17thMI-2 [map-28/007]</x:v>
      </x:c>
      <x:c r="C614" s="136" t="str">
        <x:v>spawn</x:v>
      </x:c>
      <x:c r="D614" s="136" t="str">
        <x:v>USA</x:v>
      </x:c>
      <x:c r="E614" s="136" t="str">
        <x:v>Spawnpoint_OS_Base_USA_17thMI-2</x:v>
      </x:c>
      <x:c r="F614" s="137" t="n">
        <x:v>1180.251220703125</x:v>
      </x:c>
      <x:c r="G614" s="137" t="n">
        <x:v>985.8974609375</x:v>
      </x:c>
      <x:c r="H614" s="137" t="n">
        <x:v>33.314029693603516</x:v>
      </x:c>
      <x:c r="I614" s="137" t="n">
        <x:v>1298.5485835641898</x:v>
      </x:c>
      <x:c r="J614" s="137" t="n">
        <x:v>1326.209722864795</x:v>
      </x:c>
      <x:c r="K614" s="136" t="str">
        <x:v>map-28</x:v>
      </x:c>
      <x:c r="L614" s="136" t="str">
        <x:v>Antietam | Skirmish | Otto &amp; Sherrick Farm||Spawn | USA Spawnpoint_OS_Base_USA_17thMI-2 [map-28/007]</x:v>
      </x:c>
      <x:c r="M614" s="35"/>
      <x:c r="N614" s="35"/>
      <x:c r="O614" s="35"/>
      <x:c r="P614" s="35"/>
      <x:c r="Q614" s="35"/>
      <x:c r="R614" s="35"/>
      <x:c r="S614" s="35"/>
      <x:c r="T614" s="35"/>
      <x:c r="U614" s="35"/>
      <x:c r="V614" s="35"/>
      <x:c r="W614" s="35"/>
      <x:c r="X614" s="35"/>
      <x:c r="Y614" s="35"/>
      <x:c r="Z614" s="35"/>
      <x:c r="AA614" s="35"/>
    </x:row>
    <x:row r="615">
      <x:c r="A615" s="136" t="str">
        <x:v>Antietam | Skirmish | Otto &amp; Sherrick Farm</x:v>
      </x:c>
      <x:c r="B615" s="136" t="str">
        <x:v>Artillery | USA Spawnpoint_OS_USA_Arty_Base [map-28/008]</x:v>
      </x:c>
      <x:c r="C615" s="136" t="str">
        <x:v>battery</x:v>
      </x:c>
      <x:c r="D615" s="136" t="str">
        <x:v>USA</x:v>
      </x:c>
      <x:c r="E615" s="136" t="str">
        <x:v>Spawnpoint_OS_USA_Arty_Base</x:v>
      </x:c>
      <x:c r="F615" s="137" t="n">
        <x:v>1167.9813232421875</x:v>
      </x:c>
      <x:c r="G615" s="137" t="n">
        <x:v>953.1052856445312</x:v>
      </x:c>
      <x:c r="H615" s="137" t="n">
        <x:v>34.0986213684082</x:v>
      </x:c>
      <x:c r="I615" s="137" t="n">
        <x:v>1361.3014297383934</x:v>
      </x:c>
      <x:c r="J615" s="137" t="n">
        <x:v>1425.5606490055695</x:v>
      </x:c>
      <x:c r="K615" s="136" t="str">
        <x:v>map-28</x:v>
      </x:c>
      <x:c r="L615" s="136" t="str">
        <x:v>Antietam | Skirmish | Otto &amp; Sherrick Farm||Artillery | USA Spawnpoint_OS_USA_Arty_Base [map-28/008]</x:v>
      </x:c>
      <x:c r="M615" s="35"/>
      <x:c r="N615" s="35"/>
      <x:c r="O615" s="35"/>
      <x:c r="P615" s="35"/>
      <x:c r="Q615" s="35"/>
      <x:c r="R615" s="35"/>
      <x:c r="S615" s="35"/>
      <x:c r="T615" s="35"/>
      <x:c r="U615" s="35"/>
      <x:c r="V615" s="35"/>
      <x:c r="W615" s="35"/>
      <x:c r="X615" s="35"/>
      <x:c r="Y615" s="35"/>
      <x:c r="Z615" s="35"/>
      <x:c r="AA615" s="35"/>
    </x:row>
    <x:row r="616">
      <x:c r="A616" s="136" t="str">
        <x:v>Antietam | Skirmish | Otto &amp; Sherrick Farm</x:v>
      </x:c>
      <x:c r="B616" s="136" t="str">
        <x:v>Spawn | USA Spawnpoint_OS_Base_USA_17thMI [map-28/009]</x:v>
      </x:c>
      <x:c r="C616" s="136" t="str">
        <x:v>spawn</x:v>
      </x:c>
      <x:c r="D616" s="136" t="str">
        <x:v>USA</x:v>
      </x:c>
      <x:c r="E616" s="136" t="str">
        <x:v>Spawnpoint_OS_Base_USA_17thMI</x:v>
      </x:c>
      <x:c r="F616" s="137" t="n">
        <x:v>1177.91845703125</x:v>
      </x:c>
      <x:c r="G616" s="137" t="n">
        <x:v>966.5689086914062</x:v>
      </x:c>
      <x:c r="H616" s="137" t="n">
        <x:v>33.02826690673828</x:v>
      </x:c>
      <x:c r="I616" s="137" t="n">
        <x:v>1345.4802963129816</x:v>
      </x:c>
      <x:c r="J616" s="137" t="n">
        <x:v>1371.6733070905573</x:v>
      </x:c>
      <x:c r="K616" s="136" t="str">
        <x:v>map-28</x:v>
      </x:c>
      <x:c r="L616" s="136" t="str">
        <x:v>Antietam | Skirmish | Otto &amp; Sherrick Farm||Spawn | USA Spawnpoint_OS_Base_USA_17thMI [map-28/009]</x:v>
      </x:c>
      <x:c r="M616" s="35"/>
      <x:c r="N616" s="35"/>
      <x:c r="O616" s="35"/>
      <x:c r="P616" s="35"/>
      <x:c r="Q616" s="35"/>
      <x:c r="R616" s="35"/>
      <x:c r="S616" s="35"/>
      <x:c r="T616" s="35"/>
      <x:c r="U616" s="35"/>
      <x:c r="V616" s="35"/>
      <x:c r="W616" s="35"/>
      <x:c r="X616" s="35"/>
      <x:c r="Y616" s="35"/>
      <x:c r="Z616" s="35"/>
      <x:c r="AA616" s="35"/>
    </x:row>
    <x:row r="617">
      <x:c r="A617" s="136" t="str">
        <x:v>Antietam | Skirmish | Otto &amp; Sherrick Farm</x:v>
      </x:c>
      <x:c r="B617" s="136" t="str">
        <x:v>Artillery | CSA Spawnpoint_OS_CSA_Arty_Base [map-28/010]</x:v>
      </x:c>
      <x:c r="C617" s="136" t="str">
        <x:v>battery</x:v>
      </x:c>
      <x:c r="D617" s="136" t="str">
        <x:v>CSA</x:v>
      </x:c>
      <x:c r="E617" s="136" t="str">
        <x:v>Spawnpoint_OS_CSA_Arty_Base</x:v>
      </x:c>
      <x:c r="F617" s="137" t="n">
        <x:v>1239.619873046875</x:v>
      </x:c>
      <x:c r="G617" s="137" t="n">
        <x:v>1290.5595703125</x:v>
      </x:c>
      <x:c r="H617" s="137" t="n">
        <x:v>46.473487854003906</x:v>
      </x:c>
      <x:c r="I617" s="137" t="n">
        <x:v>604.6630777922546</x:v>
      </x:c>
      <x:c r="J617" s="137" t="n">
        <x:v>549.1917177641609</x:v>
      </x:c>
      <x:c r="K617" s="136" t="str">
        <x:v>map-28</x:v>
      </x:c>
      <x:c r="L617" s="136" t="str">
        <x:v>Antietam | Skirmish | Otto &amp; Sherrick Farm||Artillery | CSA Spawnpoint_OS_CSA_Arty_Base [map-28/010]</x:v>
      </x:c>
      <x:c r="M617" s="35"/>
      <x:c r="N617" s="35"/>
      <x:c r="O617" s="35"/>
      <x:c r="P617" s="35"/>
      <x:c r="Q617" s="35"/>
      <x:c r="R617" s="35"/>
      <x:c r="S617" s="35"/>
      <x:c r="T617" s="35"/>
      <x:c r="U617" s="35"/>
      <x:c r="V617" s="35"/>
      <x:c r="W617" s="35"/>
      <x:c r="X617" s="35"/>
      <x:c r="Y617" s="35"/>
      <x:c r="Z617" s="35"/>
      <x:c r="AA617" s="35"/>
    </x:row>
    <x:row r="618">
      <x:c r="A618" s="136" t="str">
        <x:v>Antietam | Skirmish | Otto &amp; Sherrick Farm</x:v>
      </x:c>
      <x:c r="B618" s="136" t="str">
        <x:v>Spawn | CSA Spawnpoint_OS_Base_CSA_1stGA-2 [map-28/011]</x:v>
      </x:c>
      <x:c r="C618" s="136" t="str">
        <x:v>spawn</x:v>
      </x:c>
      <x:c r="D618" s="136" t="str">
        <x:v>CSA</x:v>
      </x:c>
      <x:c r="E618" s="136" t="str">
        <x:v>Spawnpoint_OS_Base_CSA_1stGA-2</x:v>
      </x:c>
      <x:c r="F618" s="137" t="n">
        <x:v>1220.6636962890625</x:v>
      </x:c>
      <x:c r="G618" s="137" t="n">
        <x:v>1275.227294921875</x:v>
      </x:c>
      <x:c r="H618" s="137" t="n">
        <x:v>43.674766540527344</x:v>
      </x:c>
      <x:c r="I618" s="137" t="n">
        <x:v>607.1747340803875</x:v>
      </x:c>
      <x:c r="J618" s="137" t="n">
        <x:v>630.9798887215351</x:v>
      </x:c>
      <x:c r="K618" s="136" t="str">
        <x:v>map-28</x:v>
      </x:c>
      <x:c r="L618" s="136" t="str">
        <x:v>Antietam | Skirmish | Otto &amp; Sherrick Farm||Spawn | CSA Spawnpoint_OS_Base_CSA_1stGA-2 [map-28/011]</x:v>
      </x:c>
      <x:c r="M618" s="35"/>
      <x:c r="N618" s="35"/>
      <x:c r="O618" s="35"/>
      <x:c r="P618" s="35"/>
      <x:c r="Q618" s="35"/>
      <x:c r="R618" s="35"/>
      <x:c r="S618" s="35"/>
      <x:c r="T618" s="35"/>
      <x:c r="U618" s="35"/>
      <x:c r="V618" s="35"/>
      <x:c r="W618" s="35"/>
      <x:c r="X618" s="35"/>
      <x:c r="Y618" s="35"/>
      <x:c r="Z618" s="35"/>
      <x:c r="AA618" s="35"/>
    </x:row>
    <x:row r="619">
      <x:c r="A619" s="136" t="str">
        <x:v>Antietam | Skirmish | Otto &amp; Sherrick Farm</x:v>
      </x:c>
      <x:c r="B619" s="136" t="str">
        <x:v>Spawn | CSA Spawnpoint_OS_Base_CSA_Palm-2 [map-28/012]</x:v>
      </x:c>
      <x:c r="C619" s="136" t="str">
        <x:v>spawn</x:v>
      </x:c>
      <x:c r="D619" s="136" t="str">
        <x:v>CSA</x:v>
      </x:c>
      <x:c r="E619" s="136" t="str">
        <x:v>Spawnpoint_OS_Base_CSA_Palm-2</x:v>
      </x:c>
      <x:c r="F619" s="137" t="n">
        <x:v>1268.0340576171875</x:v>
      </x:c>
      <x:c r="G619" s="137" t="n">
        <x:v>1274.39404296875</x:v>
      </x:c>
      <x:c r="H619" s="137" t="n">
        <x:v>41.967525482177734</x:v>
      </x:c>
      <x:c r="I619" s="137" t="n">
        <x:v>705.541917700776</x:v>
      </x:c>
      <x:c r="J619" s="137" t="n">
        <x:v>506.0477710949711</x:v>
      </x:c>
      <x:c r="K619" s="136" t="str">
        <x:v>map-28</x:v>
      </x:c>
      <x:c r="L619" s="136" t="str">
        <x:v>Antietam | Skirmish | Otto &amp; Sherrick Farm||Spawn | CSA Spawnpoint_OS_Base_CSA_Palm-2 [map-28/012]</x:v>
      </x:c>
      <x:c r="M619" s="35"/>
      <x:c r="N619" s="35"/>
      <x:c r="O619" s="35"/>
      <x:c r="P619" s="35"/>
      <x:c r="Q619" s="35"/>
      <x:c r="R619" s="35"/>
      <x:c r="S619" s="35"/>
      <x:c r="T619" s="35"/>
      <x:c r="U619" s="35"/>
      <x:c r="V619" s="35"/>
      <x:c r="W619" s="35"/>
      <x:c r="X619" s="35"/>
      <x:c r="Y619" s="35"/>
      <x:c r="Z619" s="35"/>
      <x:c r="AA619" s="35"/>
    </x:row>
    <x:row r="620">
      <x:c r="A620" s="136" t="str">
        <x:v>Antietam | Skirmish | Otto &amp; Sherrick Farm</x:v>
      </x:c>
      <x:c r="B620" s="136" t="str">
        <x:v>Artillery | CSA Spawnpoint_OS_CSA_Arty_Maurin_Forward [map-28/013]</x:v>
      </x:c>
      <x:c r="C620" s="136" t="str">
        <x:v>battery</x:v>
      </x:c>
      <x:c r="D620" s="136" t="str">
        <x:v>CSA</x:v>
      </x:c>
      <x:c r="E620" s="136" t="str">
        <x:v>Spawnpoint_OS_CSA_Arty_Maurin_Forward</x:v>
      </x:c>
      <x:c r="F620" s="137" t="n">
        <x:v>1330.523681640625</x:v>
      </x:c>
      <x:c r="G620" s="137" t="n">
        <x:v>1238.866455078125</x:v>
      </x:c>
      <x:c r="H620" s="137" t="n">
        <x:v>36.59868240356445</x:v>
      </x:c>
      <x:c r="I620" s="137" t="n">
        <x:v>927.3338045782385</x:v>
      </x:c>
      <x:c r="J620" s="137" t="n">
        <x:v>411.114553484761</x:v>
      </x:c>
      <x:c r="K620" s="136" t="str">
        <x:v>map-28</x:v>
      </x:c>
      <x:c r="L620" s="136" t="str">
        <x:v>Antietam | Skirmish | Otto &amp; Sherrick Farm||Artillery | CSA Spawnpoint_OS_CSA_Arty_Maurin_Forward [map-28/013]</x:v>
      </x:c>
      <x:c r="M620" s="35"/>
      <x:c r="N620" s="35"/>
      <x:c r="O620" s="35"/>
      <x:c r="P620" s="35"/>
      <x:c r="Q620" s="35"/>
      <x:c r="R620" s="35"/>
      <x:c r="S620" s="35"/>
      <x:c r="T620" s="35"/>
      <x:c r="U620" s="35"/>
      <x:c r="V620" s="35"/>
      <x:c r="W620" s="35"/>
      <x:c r="X620" s="35"/>
      <x:c r="Y620" s="35"/>
      <x:c r="Z620" s="35"/>
      <x:c r="AA620" s="35"/>
    </x:row>
    <x:row r="621">
      <x:c r="A621" s="136" t="str">
        <x:v>Antietam | Skirmish | Otto &amp; Sherrick Farm</x:v>
      </x:c>
      <x:c r="B621" s="136" t="str">
        <x:v>Spawn | USA Spawnpoint_OS_Base_USA_28thMA [map-28/014]</x:v>
      </x:c>
      <x:c r="C621" s="136" t="str">
        <x:v>spawn</x:v>
      </x:c>
      <x:c r="D621" s="136" t="str">
        <x:v>USA</x:v>
      </x:c>
      <x:c r="E621" s="136" t="str">
        <x:v>Spawnpoint_OS_Base_USA_28thMA</x:v>
      </x:c>
      <x:c r="F621" s="137" t="n">
        <x:v>1191.7855224609375</x:v>
      </x:c>
      <x:c r="G621" s="137" t="n">
        <x:v>964.6278076171875</x:v>
      </x:c>
      <x:c r="H621" s="137" t="n">
        <x:v>32.23834991455078</x:v>
      </x:c>
      <x:c r="I621" s="137" t="n">
        <x:v>1378.8126627488173</x:v>
      </x:c>
      <x:c r="J621" s="137" t="n">
        <x:v>1338.5455153861951</x:v>
      </x:c>
      <x:c r="K621" s="136" t="str">
        <x:v>map-28</x:v>
      </x:c>
      <x:c r="L621" s="136" t="str">
        <x:v>Antietam | Skirmish | Otto &amp; Sherrick Farm||Spawn | USA Spawnpoint_OS_Base_USA_28thMA [map-28/014]</x:v>
      </x:c>
      <x:c r="M621" s="35"/>
      <x:c r="N621" s="35"/>
      <x:c r="O621" s="35"/>
      <x:c r="P621" s="35"/>
      <x:c r="Q621" s="35"/>
      <x:c r="R621" s="35"/>
      <x:c r="S621" s="35"/>
      <x:c r="T621" s="35"/>
      <x:c r="U621" s="35"/>
      <x:c r="V621" s="35"/>
      <x:c r="W621" s="35"/>
      <x:c r="X621" s="35"/>
      <x:c r="Y621" s="35"/>
      <x:c r="Z621" s="35"/>
      <x:c r="AA621" s="35"/>
    </x:row>
    <x:row r="622">
      <x:c r="A622" s="136" t="str">
        <x:v>Antietam | Skirmish | Otto &amp; Sherrick Farm</x:v>
      </x:c>
      <x:c r="B622" s="136" t="str">
        <x:v>Spawn | USA Spawnpoint_OS_Base_USA_28thMA-2 [map-28/015]</x:v>
      </x:c>
      <x:c r="C622" s="136" t="str">
        <x:v>spawn</x:v>
      </x:c>
      <x:c r="D622" s="136" t="str">
        <x:v>USA</x:v>
      </x:c>
      <x:c r="E622" s="136" t="str">
        <x:v>Spawnpoint_OS_Base_USA_28thMA-2</x:v>
      </x:c>
      <x:c r="F622" s="137" t="n">
        <x:v>1194.2042236328125</x:v>
      </x:c>
      <x:c r="G622" s="137" t="n">
        <x:v>984.6799926757812</x:v>
      </x:c>
      <x:c r="H622" s="137" t="n">
        <x:v>32.69881820678711</x:v>
      </x:c>
      <x:c r="I622" s="137" t="n">
        <x:v>1330.1210582818057</x:v>
      </x:c>
      <x:c r="J622" s="137" t="n">
        <x:v>1291.3835771658178</x:v>
      </x:c>
      <x:c r="K622" s="136" t="str">
        <x:v>map-28</x:v>
      </x:c>
      <x:c r="L622" s="136" t="str">
        <x:v>Antietam | Skirmish | Otto &amp; Sherrick Farm||Spawn | USA Spawnpoint_OS_Base_USA_28thMA-2 [map-28/015]</x:v>
      </x:c>
      <x:c r="M622" s="35"/>
      <x:c r="N622" s="35"/>
      <x:c r="O622" s="35"/>
      <x:c r="P622" s="35"/>
      <x:c r="Q622" s="35"/>
      <x:c r="R622" s="35"/>
      <x:c r="S622" s="35"/>
      <x:c r="T622" s="35"/>
      <x:c r="U622" s="35"/>
      <x:c r="V622" s="35"/>
      <x:c r="W622" s="35"/>
      <x:c r="X622" s="35"/>
      <x:c r="Y622" s="35"/>
      <x:c r="Z622" s="35"/>
      <x:c r="AA622" s="35"/>
    </x:row>
    <x:row r="623">
      <x:c r="A623" s="136" t="str">
        <x:v>Antietam | Skirmish | Otto &amp; Sherrick Farm</x:v>
      </x:c>
      <x:c r="B623" s="136" t="str">
        <x:v>Spawn | CSA Spawnpoint_OS_Base_CSA_1stGA [map-28/016]</x:v>
      </x:c>
      <x:c r="C623" s="136" t="str">
        <x:v>spawn</x:v>
      </x:c>
      <x:c r="D623" s="136" t="str">
        <x:v>CSA</x:v>
      </x:c>
      <x:c r="E623" s="136" t="str">
        <x:v>Spawnpoint_OS_Base_CSA_1stGA</x:v>
      </x:c>
      <x:c r="F623" s="137" t="n">
        <x:v>1234.3670654296875</x:v>
      </x:c>
      <x:c r="G623" s="137" t="n">
        <x:v>1275.871337890625</x:v>
      </x:c>
      <x:c r="H623" s="137" t="n">
        <x:v>43.59760284423828</x:v>
      </x:c>
      <x:c r="I623" s="137" t="n">
        <x:v>633.2646597919237</x:v>
      </x:c>
      <x:c r="J623" s="137" t="n">
        <x:v>593.0430216701899</x:v>
      </x:c>
      <x:c r="K623" s="136" t="str">
        <x:v>map-28</x:v>
      </x:c>
      <x:c r="L623" s="136" t="str">
        <x:v>Antietam | Skirmish | Otto &amp; Sherrick Farm||Spawn | CSA Spawnpoint_OS_Base_CSA_1stGA [map-28/016]</x:v>
      </x:c>
      <x:c r="M623" s="35"/>
      <x:c r="N623" s="35"/>
      <x:c r="O623" s="35"/>
      <x:c r="P623" s="35"/>
      <x:c r="Q623" s="35"/>
      <x:c r="R623" s="35"/>
      <x:c r="S623" s="35"/>
      <x:c r="T623" s="35"/>
      <x:c r="U623" s="35"/>
      <x:c r="V623" s="35"/>
      <x:c r="W623" s="35"/>
      <x:c r="X623" s="35"/>
      <x:c r="Y623" s="35"/>
      <x:c r="Z623" s="35"/>
      <x:c r="AA623" s="35"/>
    </x:row>
    <x:row r="624">
      <x:c r="A624" s="136" t="str">
        <x:v>Antietam | Skirmish | Otto &amp; Sherrick Farm</x:v>
      </x:c>
      <x:c r="B624" s="136" t="str">
        <x:v>Spawn | CSA Spawnpoint_OS_Defend_CSA_1stGA-2 [map-28/017]</x:v>
      </x:c>
      <x:c r="C624" s="136" t="str">
        <x:v>spawn</x:v>
      </x:c>
      <x:c r="D624" s="136" t="str">
        <x:v>CSA</x:v>
      </x:c>
      <x:c r="E624" s="136" t="str">
        <x:v>Spawnpoint_OS_Defend_CSA_1stGA-2</x:v>
      </x:c>
      <x:c r="F624" s="137" t="n">
        <x:v>1264.8656005859375</x:v>
      </x:c>
      <x:c r="G624" s="137" t="n">
        <x:v>1140.576904296875</x:v>
      </x:c>
      <x:c r="H624" s="137" t="n">
        <x:v>23.96363067626953</x:v>
      </x:c>
      <x:c r="I624" s="137" t="n">
        <x:v>1056.8110064168695</x:v>
      </x:c>
      <x:c r="J624" s="137" t="n">
        <x:v>786.1039300859406</x:v>
      </x:c>
      <x:c r="K624" s="136" t="str">
        <x:v>map-28</x:v>
      </x:c>
      <x:c r="L624" s="136" t="str">
        <x:v>Antietam | Skirmish | Otto &amp; Sherrick Farm||Spawn | CSA Spawnpoint_OS_Defend_CSA_1stGA-2 [map-28/017]</x:v>
      </x:c>
      <x:c r="M624" s="35"/>
      <x:c r="N624" s="35"/>
      <x:c r="O624" s="35"/>
      <x:c r="P624" s="35"/>
      <x:c r="Q624" s="35"/>
      <x:c r="R624" s="35"/>
      <x:c r="S624" s="35"/>
      <x:c r="T624" s="35"/>
      <x:c r="U624" s="35"/>
      <x:c r="V624" s="35"/>
      <x:c r="W624" s="35"/>
      <x:c r="X624" s="35"/>
      <x:c r="Y624" s="35"/>
      <x:c r="Z624" s="35"/>
      <x:c r="AA624" s="35"/>
    </x:row>
    <x:row r="625">
      <x:c r="A625" s="136" t="str">
        <x:v>Antietam | Skirmish | Otto &amp; Sherrick Farm</x:v>
      </x:c>
      <x:c r="B625" s="136" t="str">
        <x:v>Artillery | USA Spawnpoint_OS_USA_Arty_Cook_Forward [map-28/018]</x:v>
      </x:c>
      <x:c r="C625" s="136" t="str">
        <x:v>battery</x:v>
      </x:c>
      <x:c r="D625" s="136" t="str">
        <x:v>USA</x:v>
      </x:c>
      <x:c r="E625" s="136" t="str">
        <x:v>Spawnpoint_OS_USA_Arty_Cook_Forward</x:v>
      </x:c>
      <x:c r="F625" s="137" t="n">
        <x:v>1096.7535400390625</x:v>
      </x:c>
      <x:c r="G625" s="137" t="n">
        <x:v>1002.6176147460938</x:v>
      </x:c>
      <x:c r="H625" s="137" t="n">
        <x:v>36.46738052368164</x:v>
      </x:c>
      <x:c r="I625" s="137" t="n">
        <x:v>1084.3932532890074</x:v>
      </x:c>
      <x:c r="J625" s="137" t="n">
        <x:v>1515.4688443551322</x:v>
      </x:c>
      <x:c r="K625" s="136" t="str">
        <x:v>map-28</x:v>
      </x:c>
      <x:c r="L625" s="136" t="str">
        <x:v>Antietam | Skirmish | Otto &amp; Sherrick Farm||Artillery | USA Spawnpoint_OS_USA_Arty_Cook_Forward [map-28/018]</x:v>
      </x:c>
      <x:c r="M625" s="35"/>
      <x:c r="N625" s="35"/>
      <x:c r="O625" s="35"/>
      <x:c r="P625" s="35"/>
      <x:c r="Q625" s="35"/>
      <x:c r="R625" s="35"/>
      <x:c r="S625" s="35"/>
      <x:c r="T625" s="35"/>
      <x:c r="U625" s="35"/>
      <x:c r="V625" s="35"/>
      <x:c r="W625" s="35"/>
      <x:c r="X625" s="35"/>
      <x:c r="Y625" s="35"/>
      <x:c r="Z625" s="35"/>
      <x:c r="AA625" s="35"/>
    </x:row>
    <x:row r="626">
      <x:c r="A626" s="136" t="str">
        <x:v>Antietam | Skirmish | Otto &amp; Sherrick Farm</x:v>
      </x:c>
      <x:c r="B626" s="136" t="str">
        <x:v>Gun | 3-inch Ordnance · Entity-1310 [map-28/019]</x:v>
      </x:c>
      <x:c r="C626" s="136" t="str">
        <x:v>gun_spawn</x:v>
      </x:c>
      <x:c r="D626" s="136" t="str"/>
      <x:c r="E626" s="136" t="str">
        <x:v>3-inch Ordnance · Entity-1310</x:v>
      </x:c>
      <x:c r="F626" s="137" t="n">
        <x:v>1095.6700439453125</x:v>
      </x:c>
      <x:c r="G626" s="137" t="n">
        <x:v>1021.3300170898438</x:v>
      </x:c>
      <x:c r="H626" s="137" t="n">
        <x:v>36.05778121948242</x:v>
      </x:c>
      <x:c r="I626" s="137" t="n">
        <x:v>1032.1751158406355</x:v>
      </x:c>
      <x:c r="J626" s="137" t="n">
        <x:v>1480.3875837465102</x:v>
      </x:c>
      <x:c r="K626" s="136" t="str">
        <x:v>map-28</x:v>
      </x:c>
      <x:c r="L626" s="136" t="str">
        <x:v>Antietam | Skirmish | Otto &amp; Sherrick Farm||Gun | 3-inch Ordnance · Entity-1310 [map-28/019]</x:v>
      </x:c>
      <x:c r="M626" s="35"/>
      <x:c r="N626" s="35"/>
      <x:c r="O626" s="35"/>
      <x:c r="P626" s="35"/>
      <x:c r="Q626" s="35"/>
      <x:c r="R626" s="35"/>
      <x:c r="S626" s="35"/>
      <x:c r="T626" s="35"/>
      <x:c r="U626" s="35"/>
      <x:c r="V626" s="35"/>
      <x:c r="W626" s="35"/>
      <x:c r="X626" s="35"/>
      <x:c r="Y626" s="35"/>
      <x:c r="Z626" s="35"/>
      <x:c r="AA626" s="35"/>
    </x:row>
    <x:row r="627">
      <x:c r="A627" s="136" t="str">
        <x:v>Antietam | Skirmish | Otto &amp; Sherrick Farm</x:v>
      </x:c>
      <x:c r="B627" s="136" t="str">
        <x:v>Gun | 3-inch Ordnance · Entity-1309 [map-28/020]</x:v>
      </x:c>
      <x:c r="C627" s="136" t="str">
        <x:v>gun_spawn</x:v>
      </x:c>
      <x:c r="D627" s="136" t="str"/>
      <x:c r="E627" s="136" t="str">
        <x:v>3-inch Ordnance · Entity-1309</x:v>
      </x:c>
      <x:c r="F627" s="137" t="n">
        <x:v>1087.6199951171875</x:v>
      </x:c>
      <x:c r="G627" s="137" t="n">
        <x:v>1022.8400268554688</x:v>
      </x:c>
      <x:c r="H627" s="137" t="n">
        <x:v>36.120548248291016</x:v>
      </x:c>
      <x:c r="I627" s="137" t="n">
        <x:v>1011.8009225741059</x:v>
      </x:c>
      <x:c r="J627" s="137" t="n">
        <x:v>1498.8411283477153</x:v>
      </x:c>
      <x:c r="K627" s="136" t="str">
        <x:v>map-28</x:v>
      </x:c>
      <x:c r="L627" s="136" t="str">
        <x:v>Antietam | Skirmish | Otto &amp; Sherrick Farm||Gun | 3-inch Ordnance · Entity-1309 [map-28/020]</x:v>
      </x:c>
      <x:c r="M627" s="35"/>
      <x:c r="N627" s="35"/>
      <x:c r="O627" s="35"/>
      <x:c r="P627" s="35"/>
      <x:c r="Q627" s="35"/>
      <x:c r="R627" s="35"/>
      <x:c r="S627" s="35"/>
      <x:c r="T627" s="35"/>
      <x:c r="U627" s="35"/>
      <x:c r="V627" s="35"/>
      <x:c r="W627" s="35"/>
      <x:c r="X627" s="35"/>
      <x:c r="Y627" s="35"/>
      <x:c r="Z627" s="35"/>
      <x:c r="AA627" s="35"/>
    </x:row>
    <x:row r="628">
      <x:c r="A628" s="136" t="str">
        <x:v>Antietam | Skirmish | Otto &amp; Sherrick Farm</x:v>
      </x:c>
      <x:c r="B628" s="136" t="str">
        <x:v>Gun | 12-pounder Napoleon (USA) · Entity-1307 [map-28/021]</x:v>
      </x:c>
      <x:c r="C628" s="136" t="str">
        <x:v>gun_spawn</x:v>
      </x:c>
      <x:c r="D628" s="136" t="str"/>
      <x:c r="E628" s="136" t="str">
        <x:v>12-pounder Napoleon (USA) · Entity-1307</x:v>
      </x:c>
      <x:c r="F628" s="137" t="n">
        <x:v>1112.530029296875</x:v>
      </x:c>
      <x:c r="G628" s="137" t="n">
        <x:v>1018.0599975585938</x:v>
      </x:c>
      <x:c r="H628" s="137" t="n">
        <x:v>35.58771896362305</x:v>
      </x:c>
      <x:c r="I628" s="137" t="n">
        <x:v>1075.1339838427216</x:v>
      </x:c>
      <x:c r="J628" s="137" t="n">
        <x:v>1441.9566625739344</x:v>
      </x:c>
      <x:c r="K628" s="136" t="str">
        <x:v>map-28</x:v>
      </x:c>
      <x:c r="L628" s="136" t="str">
        <x:v>Antietam | Skirmish | Otto &amp; Sherrick Farm||Gun | 12-pounder Napoleon (USA) · Entity-1307 [map-28/021]</x:v>
      </x:c>
      <x:c r="M628" s="35"/>
      <x:c r="N628" s="35"/>
      <x:c r="O628" s="35"/>
      <x:c r="P628" s="35"/>
      <x:c r="Q628" s="35"/>
      <x:c r="R628" s="35"/>
      <x:c r="S628" s="35"/>
      <x:c r="T628" s="35"/>
      <x:c r="U628" s="35"/>
      <x:c r="V628" s="35"/>
      <x:c r="W628" s="35"/>
      <x:c r="X628" s="35"/>
      <x:c r="Y628" s="35"/>
      <x:c r="Z628" s="35"/>
      <x:c r="AA628" s="35"/>
    </x:row>
    <x:row r="629">
      <x:c r="A629" s="136" t="str">
        <x:v>Antietam | Skirmish | Otto &amp; Sherrick Farm</x:v>
      </x:c>
      <x:c r="B629" s="136" t="str">
        <x:v>Gun | 12-pounder Napoleon (CSA) · Entity-1320 [map-28/022]</x:v>
      </x:c>
      <x:c r="C629" s="136" t="str">
        <x:v>gun_spawn</x:v>
      </x:c>
      <x:c r="D629" s="136" t="str"/>
      <x:c r="E629" s="136" t="str">
        <x:v>12-pounder Napoleon (CSA) · Entity-1320</x:v>
      </x:c>
      <x:c r="F629" s="137" t="n">
        <x:v>1297.5899658203125</x:v>
      </x:c>
      <x:c r="G629" s="137" t="n">
        <x:v>1221.4000244140625</x:v>
      </x:c>
      <x:c r="H629" s="137" t="n">
        <x:v>33.25605773925781</x:v>
      </x:c>
      <x:c r="I629" s="137" t="n">
        <x:v>907.1822385639199</x:v>
      </x:c>
      <x:c r="J629" s="137" t="n">
        <x:v>534.5966975682759</x:v>
      </x:c>
      <x:c r="K629" s="136" t="str">
        <x:v>map-28</x:v>
      </x:c>
      <x:c r="L629" s="136" t="str">
        <x:v>Antietam | Skirmish | Otto &amp; Sherrick Farm||Gun | 12-pounder Napoleon (CSA) · Entity-1320 [map-28/022]</x:v>
      </x:c>
      <x:c r="M629" s="35"/>
      <x:c r="N629" s="35"/>
      <x:c r="O629" s="35"/>
      <x:c r="P629" s="35"/>
      <x:c r="Q629" s="35"/>
      <x:c r="R629" s="35"/>
      <x:c r="S629" s="35"/>
      <x:c r="T629" s="35"/>
      <x:c r="U629" s="35"/>
      <x:c r="V629" s="35"/>
      <x:c r="W629" s="35"/>
      <x:c r="X629" s="35"/>
      <x:c r="Y629" s="35"/>
      <x:c r="Z629" s="35"/>
      <x:c r="AA629" s="35"/>
    </x:row>
    <x:row r="630">
      <x:c r="A630" s="136" t="str">
        <x:v>Antietam | Skirmish | Otto &amp; Sherrick Farm</x:v>
      </x:c>
      <x:c r="B630" s="136" t="str">
        <x:v>Gun | 10-pounder Parrott · Entity-1316 [map-28/023]</x:v>
      </x:c>
      <x:c r="C630" s="136" t="str">
        <x:v>gun_spawn</x:v>
      </x:c>
      <x:c r="D630" s="136" t="str"/>
      <x:c r="E630" s="136" t="str">
        <x:v>10-pounder Parrott · Entity-1316</x:v>
      </x:c>
      <x:c r="F630" s="137" t="n">
        <x:v>1143.5699462890625</x:v>
      </x:c>
      <x:c r="G630" s="137" t="n">
        <x:v>1224.3699951171875</x:v>
      </x:c>
      <x:c r="H630" s="137" t="n">
        <x:v>41.76557540893555</x:v>
      </x:c>
      <x:c r="I630" s="137" t="n">
        <x:v>586.6541656478481</x:v>
      </x:c>
      <x:c r="J630" s="137" t="n">
        <x:v>940.2718844873469</x:v>
      </x:c>
      <x:c r="K630" s="136" t="str">
        <x:v>map-28</x:v>
      </x:c>
      <x:c r="L630" s="136" t="str">
        <x:v>Antietam | Skirmish | Otto &amp; Sherrick Farm||Gun | 10-pounder Parrott · Entity-1316 [map-28/023]</x:v>
      </x:c>
      <x:c r="M630" s="35"/>
      <x:c r="N630" s="35"/>
      <x:c r="O630" s="35"/>
      <x:c r="P630" s="35"/>
      <x:c r="Q630" s="35"/>
      <x:c r="R630" s="35"/>
      <x:c r="S630" s="35"/>
      <x:c r="T630" s="35"/>
      <x:c r="U630" s="35"/>
      <x:c r="V630" s="35"/>
      <x:c r="W630" s="35"/>
      <x:c r="X630" s="35"/>
      <x:c r="Y630" s="35"/>
      <x:c r="Z630" s="35"/>
      <x:c r="AA630" s="35"/>
    </x:row>
    <x:row r="631">
      <x:c r="A631" s="136" t="str">
        <x:v>Antietam | Skirmish | Otto &amp; Sherrick Farm</x:v>
      </x:c>
      <x:c r="B631" s="136" t="str">
        <x:v>Gun | 12-pounder Napoleon (USA) · Entity-1321 [map-28/024]</x:v>
      </x:c>
      <x:c r="C631" s="136" t="str">
        <x:v>gun_spawn</x:v>
      </x:c>
      <x:c r="D631" s="136" t="str"/>
      <x:c r="E631" s="136" t="str">
        <x:v>12-pounder Napoleon (USA) · Entity-1321</x:v>
      </x:c>
      <x:c r="F631" s="137" t="n">
        <x:v>1304.8299560546875</x:v>
      </x:c>
      <x:c r="G631" s="137" t="n">
        <x:v>1214.719970703125</x:v>
      </x:c>
      <x:c r="H631" s="137" t="n">
        <x:v>34.546138763427734</x:v>
      </x:c>
      <x:c r="I631" s="137" t="n">
        <x:v>939.7321623905666</x:v>
      </x:c>
      <x:c r="J631" s="137" t="n">
        <x:v>528.8012693405014</x:v>
      </x:c>
      <x:c r="K631" s="136" t="str">
        <x:v>map-28</x:v>
      </x:c>
      <x:c r="L631" s="136" t="str">
        <x:v>Antietam | Skirmish | Otto &amp; Sherrick Farm||Gun | 12-pounder Napoleon (USA) · Entity-1321 [map-28/024]</x:v>
      </x:c>
      <x:c r="M631" s="35"/>
      <x:c r="N631" s="35"/>
      <x:c r="O631" s="35"/>
      <x:c r="P631" s="35"/>
      <x:c r="Q631" s="35"/>
      <x:c r="R631" s="35"/>
      <x:c r="S631" s="35"/>
      <x:c r="T631" s="35"/>
      <x:c r="U631" s="35"/>
      <x:c r="V631" s="35"/>
      <x:c r="W631" s="35"/>
      <x:c r="X631" s="35"/>
      <x:c r="Y631" s="35"/>
      <x:c r="Z631" s="35"/>
      <x:c r="AA631" s="35"/>
    </x:row>
    <x:row r="632">
      <x:c r="A632" s="136" t="str">
        <x:v>Antietam | Skirmish | Otto &amp; Sherrick Farm</x:v>
      </x:c>
      <x:c r="B632" s="136" t="str">
        <x:v>Gun | 12-pounder Napoleon (USA) · Entity-1308 [map-28/025]</x:v>
      </x:c>
      <x:c r="C632" s="136" t="str">
        <x:v>gun_spawn</x:v>
      </x:c>
      <x:c r="D632" s="136" t="str"/>
      <x:c r="E632" s="136" t="str">
        <x:v>12-pounder Napoleon (USA) · Entity-1308</x:v>
      </x:c>
      <x:c r="F632" s="137" t="n">
        <x:v>1104.9200439453125</x:v>
      </x:c>
      <x:c r="G632" s="137" t="n">
        <x:v>1019.6400146484375</x:v>
      </x:c>
      <x:c r="H632" s="137" t="n">
        <x:v>35.85891342163086</x:v>
      </x:c>
      <x:c r="I632" s="137" t="n">
        <x:v>1055.4657824038086</x:v>
      </x:c>
      <x:c r="J632" s="137" t="n">
        <x:v>1459.0918141409402</x:v>
      </x:c>
      <x:c r="K632" s="136" t="str">
        <x:v>map-28</x:v>
      </x:c>
      <x:c r="L632" s="136" t="str">
        <x:v>Antietam | Skirmish | Otto &amp; Sherrick Farm||Gun | 12-pounder Napoleon (USA) · Entity-1308 [map-28/025]</x:v>
      </x:c>
      <x:c r="M632" s="35"/>
      <x:c r="N632" s="35"/>
      <x:c r="O632" s="35"/>
      <x:c r="P632" s="35"/>
      <x:c r="Q632" s="35"/>
      <x:c r="R632" s="35"/>
      <x:c r="S632" s="35"/>
      <x:c r="T632" s="35"/>
      <x:c r="U632" s="35"/>
      <x:c r="V632" s="35"/>
      <x:c r="W632" s="35"/>
      <x:c r="X632" s="35"/>
      <x:c r="Y632" s="35"/>
      <x:c r="Z632" s="35"/>
      <x:c r="AA632" s="35"/>
    </x:row>
    <x:row r="633">
      <x:c r="A633" s="136" t="str">
        <x:v>Antietam | Skirmish | Otto &amp; Sherrick Farm</x:v>
      </x:c>
      <x:c r="B633" s="136" t="str">
        <x:v>Gun | 10-pounder Parrott · Entity-1315 [map-28/026]</x:v>
      </x:c>
      <x:c r="C633" s="136" t="str">
        <x:v>gun_spawn</x:v>
      </x:c>
      <x:c r="D633" s="136" t="str"/>
      <x:c r="E633" s="136" t="str">
        <x:v>10-pounder Parrott · Entity-1315</x:v>
      </x:c>
      <x:c r="F633" s="137" t="n">
        <x:v>1151.9100341796875</x:v>
      </x:c>
      <x:c r="G633" s="137" t="n">
        <x:v>1226.9300537109375</x:v>
      </x:c>
      <x:c r="H633" s="137" t="n">
        <x:v>41.23711013793945</x:v>
      </x:c>
      <x:c r="I633" s="137" t="n">
        <x:v>596.7375170543204</x:v>
      </x:c>
      <x:c r="J633" s="137" t="n">
        <x:v>912.7827007259775</x:v>
      </x:c>
      <x:c r="K633" s="136" t="str">
        <x:v>map-28</x:v>
      </x:c>
      <x:c r="L633" s="136" t="str">
        <x:v>Antietam | Skirmish | Otto &amp; Sherrick Farm||Gun | 10-pounder Parrott · Entity-1315 [map-28/026]</x:v>
      </x:c>
      <x:c r="M633" s="35"/>
      <x:c r="N633" s="35"/>
      <x:c r="O633" s="35"/>
      <x:c r="P633" s="35"/>
      <x:c r="Q633" s="35"/>
      <x:c r="R633" s="35"/>
      <x:c r="S633" s="35"/>
      <x:c r="T633" s="35"/>
      <x:c r="U633" s="35"/>
      <x:c r="V633" s="35"/>
      <x:c r="W633" s="35"/>
      <x:c r="X633" s="35"/>
      <x:c r="Y633" s="35"/>
      <x:c r="Z633" s="35"/>
      <x:c r="AA633" s="35"/>
    </x:row>
    <x:row r="634">
      <x:c r="A634" s="136" t="str">
        <x:v>Antietam | Skirmish | Roulette Lane</x:v>
      </x:c>
      <x:c r="B634" s="136" t="str">
        <x:v>Spawn | USA Spawnpoint_RL_Base_USA_14thIN-2 [map-29/001]</x:v>
      </x:c>
      <x:c r="C634" s="136" t="str">
        <x:v>spawn</x:v>
      </x:c>
      <x:c r="D634" s="136" t="str">
        <x:v>USA</x:v>
      </x:c>
      <x:c r="E634" s="136" t="str">
        <x:v>Spawnpoint_RL_Base_USA_14thIN-2</x:v>
      </x:c>
      <x:c r="F634" s="137" t="n">
        <x:v>640.4747314453125</x:v>
      </x:c>
      <x:c r="G634" s="137" t="n">
        <x:v>1575.567626953125</x:v>
      </x:c>
      <x:c r="H634" s="137" t="n">
        <x:v>59.17702865600586</x:v>
      </x:c>
      <x:c r="I634" s="137" t="n">
        <x:v>730.6012469774729</x:v>
      </x:c>
      <x:c r="J634" s="137" t="n">
        <x:v>1700.86348692814</x:v>
      </x:c>
      <x:c r="K634" s="136" t="str">
        <x:v>map-29</x:v>
      </x:c>
      <x:c r="L634" s="136" t="str">
        <x:v>Antietam | Skirmish | Roulette Lane||Spawn | USA Spawnpoint_RL_Base_USA_14thIN-2 [map-29/001]</x:v>
      </x:c>
      <x:c r="M634" s="35"/>
      <x:c r="N634" s="35"/>
      <x:c r="O634" s="35"/>
      <x:c r="P634" s="35"/>
      <x:c r="Q634" s="35"/>
      <x:c r="R634" s="35"/>
      <x:c r="S634" s="35"/>
      <x:c r="T634" s="35"/>
      <x:c r="U634" s="35"/>
      <x:c r="V634" s="35"/>
      <x:c r="W634" s="35"/>
      <x:c r="X634" s="35"/>
      <x:c r="Y634" s="35"/>
      <x:c r="Z634" s="35"/>
      <x:c r="AA634" s="35"/>
    </x:row>
    <x:row r="635">
      <x:c r="A635" s="136" t="str">
        <x:v>Antietam | Skirmish | Roulette Lane</x:v>
      </x:c>
      <x:c r="B635" s="136" t="str">
        <x:v>Artillery | USA Spawnpoint_RL_USA_Arty_Graham_Forward [map-29/002]</x:v>
      </x:c>
      <x:c r="C635" s="136" t="str">
        <x:v>battery</x:v>
      </x:c>
      <x:c r="D635" s="136" t="str">
        <x:v>USA</x:v>
      </x:c>
      <x:c r="E635" s="136" t="str">
        <x:v>Spawnpoint_RL_USA_Arty_Graham_Forward</x:v>
      </x:c>
      <x:c r="F635" s="137" t="n">
        <x:v>761.8643188476562</x:v>
      </x:c>
      <x:c r="G635" s="137" t="n">
        <x:v>1478.86328125</x:v>
      </x:c>
      <x:c r="H635" s="137" t="n">
        <x:v>70.50008392333984</x:v>
      </x:c>
      <x:c r="I635" s="137" t="n">
        <x:v>1224.8994358114007</x:v>
      </x:c>
      <x:c r="J635" s="137" t="n">
        <x:v>1571.8822601207055</x:v>
      </x:c>
      <x:c r="K635" s="136" t="str">
        <x:v>map-29</x:v>
      </x:c>
      <x:c r="L635" s="136" t="str">
        <x:v>Antietam | Skirmish | Roulette Lane||Artillery | USA Spawnpoint_RL_USA_Arty_Graham_Forward [map-29/002]</x:v>
      </x:c>
      <x:c r="M635" s="35"/>
      <x:c r="N635" s="35"/>
      <x:c r="O635" s="35"/>
      <x:c r="P635" s="35"/>
      <x:c r="Q635" s="35"/>
      <x:c r="R635" s="35"/>
      <x:c r="S635" s="35"/>
      <x:c r="T635" s="35"/>
      <x:c r="U635" s="35"/>
      <x:c r="V635" s="35"/>
      <x:c r="W635" s="35"/>
      <x:c r="X635" s="35"/>
      <x:c r="Y635" s="35"/>
      <x:c r="Z635" s="35"/>
      <x:c r="AA635" s="35"/>
    </x:row>
    <x:row r="636">
      <x:c r="A636" s="136" t="str">
        <x:v>Antietam | Skirmish | Roulette Lane</x:v>
      </x:c>
      <x:c r="B636" s="136" t="str">
        <x:v>Spawn | CSA Spawnpoint_RL_Base_CSA_27thNC-2 [map-29/003]</x:v>
      </x:c>
      <x:c r="C636" s="136" t="str">
        <x:v>spawn</x:v>
      </x:c>
      <x:c r="D636" s="136" t="str">
        <x:v>CSA</x:v>
      </x:c>
      <x:c r="E636" s="136" t="str">
        <x:v>Spawnpoint_RL_Base_CSA_27thNC-2</x:v>
      </x:c>
      <x:c r="F636" s="137" t="n">
        <x:v>892.2333374023438</x:v>
      </x:c>
      <x:c r="G636" s="137" t="n">
        <x:v>1747.771240234375</x:v>
      </x:c>
      <x:c r="H636" s="137" t="n">
        <x:v>61.7600212097168</x:v>
      </x:c>
      <x:c r="I636" s="137" t="n">
        <x:v>773.7085312507829</x:v>
      </x:c>
      <x:c r="J636" s="137" t="n">
        <x:v>697.8060391063387</x:v>
      </x:c>
      <x:c r="K636" s="136" t="str">
        <x:v>map-29</x:v>
      </x:c>
      <x:c r="L636" s="136" t="str">
        <x:v>Antietam | Skirmish | Roulette Lane||Spawn | CSA Spawnpoint_RL_Base_CSA_27thNC-2 [map-29/003]</x:v>
      </x:c>
      <x:c r="M636" s="35"/>
      <x:c r="N636" s="35"/>
      <x:c r="O636" s="35"/>
      <x:c r="P636" s="35"/>
      <x:c r="Q636" s="35"/>
      <x:c r="R636" s="35"/>
      <x:c r="S636" s="35"/>
      <x:c r="T636" s="35"/>
      <x:c r="U636" s="35"/>
      <x:c r="V636" s="35"/>
      <x:c r="W636" s="35"/>
      <x:c r="X636" s="35"/>
      <x:c r="Y636" s="35"/>
      <x:c r="Z636" s="35"/>
      <x:c r="AA636" s="35"/>
    </x:row>
    <x:row r="637">
      <x:c r="A637" s="136" t="str">
        <x:v>Antietam | Skirmish | Roulette Lane</x:v>
      </x:c>
      <x:c r="B637" s="136" t="str">
        <x:v>Spawn | USA Spawnpoint_RL_Defend_USA_14thIN-2 [map-29/004]</x:v>
      </x:c>
      <x:c r="C637" s="136" t="str">
        <x:v>spawn</x:v>
      </x:c>
      <x:c r="D637" s="136" t="str">
        <x:v>USA</x:v>
      </x:c>
      <x:c r="E637" s="136" t="str">
        <x:v>Spawnpoint_RL_Defend_USA_14thIN-2</x:v>
      </x:c>
      <x:c r="F637" s="137" t="n">
        <x:v>812.7559204101562</x:v>
      </x:c>
      <x:c r="G637" s="137" t="n">
        <x:v>1561.9825439453125</x:v>
      </x:c>
      <x:c r="H637" s="137" t="n">
        <x:v>61.45199203491211</x:v>
      </x:c>
      <x:c r="I637" s="137" t="n">
        <x:v>1106.3423235392618</x:v>
      </x:c>
      <x:c r="J637" s="137" t="n">
        <x:v>1273.7943020443026</x:v>
      </x:c>
      <x:c r="K637" s="136" t="str">
        <x:v>map-29</x:v>
      </x:c>
      <x:c r="L637" s="136" t="str">
        <x:v>Antietam | Skirmish | Roulette Lane||Spawn | USA Spawnpoint_RL_Defend_USA_14thIN-2 [map-29/004]</x:v>
      </x:c>
      <x:c r="M637" s="35"/>
      <x:c r="N637" s="35"/>
      <x:c r="O637" s="35"/>
      <x:c r="P637" s="35"/>
      <x:c r="Q637" s="35"/>
      <x:c r="R637" s="35"/>
      <x:c r="S637" s="35"/>
      <x:c r="T637" s="35"/>
      <x:c r="U637" s="35"/>
      <x:c r="V637" s="35"/>
      <x:c r="W637" s="35"/>
      <x:c r="X637" s="35"/>
      <x:c r="Y637" s="35"/>
      <x:c r="Z637" s="35"/>
      <x:c r="AA637" s="35"/>
    </x:row>
    <x:row r="638">
      <x:c r="A638" s="136" t="str">
        <x:v>Antietam | Skirmish | Roulette Lane</x:v>
      </x:c>
      <x:c r="B638" s="136" t="str">
        <x:v>Spawn | USA Spawnpoint_RL_Defend_USA_14thIN [map-29/005]</x:v>
      </x:c>
      <x:c r="C638" s="136" t="str">
        <x:v>spawn</x:v>
      </x:c>
      <x:c r="D638" s="136" t="str">
        <x:v>USA</x:v>
      </x:c>
      <x:c r="E638" s="136" t="str">
        <x:v>Spawnpoint_RL_Defend_USA_14thIN</x:v>
      </x:c>
      <x:c r="F638" s="137" t="n">
        <x:v>829.6693725585938</x:v>
      </x:c>
      <x:c r="G638" s="137" t="n">
        <x:v>1556.8321533203125</x:v>
      </x:c>
      <x:c r="H638" s="137" t="n">
        <x:v>61.508766174316406</x:v>
      </x:c>
      <x:c r="I638" s="137" t="n">
        <x:v>1153.2852547470663</x:v>
      </x:c>
      <x:c r="J638" s="137" t="n">
        <x:v>1239.3986459825662</x:v>
      </x:c>
      <x:c r="K638" s="136" t="str">
        <x:v>map-29</x:v>
      </x:c>
      <x:c r="L638" s="136" t="str">
        <x:v>Antietam | Skirmish | Roulette Lane||Spawn | USA Spawnpoint_RL_Defend_USA_14thIN [map-29/005]</x:v>
      </x:c>
      <x:c r="M638" s="35"/>
      <x:c r="N638" s="35"/>
      <x:c r="O638" s="35"/>
      <x:c r="P638" s="35"/>
      <x:c r="Q638" s="35"/>
      <x:c r="R638" s="35"/>
      <x:c r="S638" s="35"/>
      <x:c r="T638" s="35"/>
      <x:c r="U638" s="35"/>
      <x:c r="V638" s="35"/>
      <x:c r="W638" s="35"/>
      <x:c r="X638" s="35"/>
      <x:c r="Y638" s="35"/>
      <x:c r="Z638" s="35"/>
      <x:c r="AA638" s="35"/>
    </x:row>
    <x:row r="639">
      <x:c r="A639" s="136" t="str">
        <x:v>Antietam | Skirmish | Roulette Lane</x:v>
      </x:c>
      <x:c r="B639" s="136" t="str">
        <x:v>Spawn | USA Spawnpoint_RL_Base_USA_1stDE-2 [map-29/006]</x:v>
      </x:c>
      <x:c r="C639" s="136" t="str">
        <x:v>spawn</x:v>
      </x:c>
      <x:c r="D639" s="136" t="str">
        <x:v>USA</x:v>
      </x:c>
      <x:c r="E639" s="136" t="str">
        <x:v>Spawnpoint_RL_Base_USA_1stDE-2</x:v>
      </x:c>
      <x:c r="F639" s="137" t="n">
        <x:v>665.005615234375</x:v>
      </x:c>
      <x:c r="G639" s="137" t="n">
        <x:v>1603.8245849609375</x:v>
      </x:c>
      <x:c r="H639" s="137" t="n">
        <x:v>59.75832748413086</x:v>
      </x:c>
      <x:c r="I639" s="137" t="n">
        <x:v>704.5633110408186</x:v>
      </x:c>
      <x:c r="J639" s="137" t="n">
        <x:v>1580.479149148393</x:v>
      </x:c>
      <x:c r="K639" s="136" t="str">
        <x:v>map-29</x:v>
      </x:c>
      <x:c r="L639" s="136" t="str">
        <x:v>Antietam | Skirmish | Roulette Lane||Spawn | USA Spawnpoint_RL_Base_USA_1stDE-2 [map-29/006]</x:v>
      </x:c>
      <x:c r="M639" s="35"/>
      <x:c r="N639" s="35"/>
      <x:c r="O639" s="35"/>
      <x:c r="P639" s="35"/>
      <x:c r="Q639" s="35"/>
      <x:c r="R639" s="35"/>
      <x:c r="S639" s="35"/>
      <x:c r="T639" s="35"/>
      <x:c r="U639" s="35"/>
      <x:c r="V639" s="35"/>
      <x:c r="W639" s="35"/>
      <x:c r="X639" s="35"/>
      <x:c r="Y639" s="35"/>
      <x:c r="Z639" s="35"/>
      <x:c r="AA639" s="35"/>
    </x:row>
    <x:row r="640">
      <x:c r="A640" s="136" t="str">
        <x:v>Antietam | Skirmish | Roulette Lane</x:v>
      </x:c>
      <x:c r="B640" s="136" t="str">
        <x:v>Spawn | USA Spawnpoint_RL_Defend_USA_1stDE-2 [map-29/007]</x:v>
      </x:c>
      <x:c r="C640" s="136" t="str">
        <x:v>spawn</x:v>
      </x:c>
      <x:c r="D640" s="136" t="str">
        <x:v>USA</x:v>
      </x:c>
      <x:c r="E640" s="136" t="str">
        <x:v>Spawnpoint_RL_Defend_USA_1stDE-2</x:v>
      </x:c>
      <x:c r="F640" s="137" t="n">
        <x:v>867.1176147460938</x:v>
      </x:c>
      <x:c r="G640" s="137" t="n">
        <x:v>1543.7086181640625</x:v>
      </x:c>
      <x:c r="H640" s="137" t="n">
        <x:v>61.6639404296875</x:v>
      </x:c>
      <x:c r="I640" s="137" t="n">
        <x:v>1261.753424821091</x:v>
      </x:c>
      <x:c r="J640" s="137" t="n">
        <x:v>1166.6368534274807</x:v>
      </x:c>
      <x:c r="K640" s="136" t="str">
        <x:v>map-29</x:v>
      </x:c>
      <x:c r="L640" s="136" t="str">
        <x:v>Antietam | Skirmish | Roulette Lane||Spawn | USA Spawnpoint_RL_Defend_USA_1stDE-2 [map-29/007]</x:v>
      </x:c>
      <x:c r="M640" s="35"/>
      <x:c r="N640" s="35"/>
      <x:c r="O640" s="35"/>
      <x:c r="P640" s="35"/>
      <x:c r="Q640" s="35"/>
      <x:c r="R640" s="35"/>
      <x:c r="S640" s="35"/>
      <x:c r="T640" s="35"/>
      <x:c r="U640" s="35"/>
      <x:c r="V640" s="35"/>
      <x:c r="W640" s="35"/>
      <x:c r="X640" s="35"/>
      <x:c r="Y640" s="35"/>
      <x:c r="Z640" s="35"/>
      <x:c r="AA640" s="35"/>
    </x:row>
    <x:row r="641">
      <x:c r="A641" s="136" t="str">
        <x:v>Antietam | Skirmish | Roulette Lane</x:v>
      </x:c>
      <x:c r="B641" s="136" t="str">
        <x:v>Spawn | CSA Spawnpoint_RL_Base_CSA_3rdAR [map-29/008]</x:v>
      </x:c>
      <x:c r="C641" s="136" t="str">
        <x:v>spawn</x:v>
      </x:c>
      <x:c r="D641" s="136" t="str">
        <x:v>CSA</x:v>
      </x:c>
      <x:c r="E641" s="136" t="str">
        <x:v>Spawnpoint_RL_Base_CSA_3rdAR</x:v>
      </x:c>
      <x:c r="F641" s="137" t="n">
        <x:v>887.0159301757812</x:v>
      </x:c>
      <x:c r="G641" s="137" t="n">
        <x:v>1766.2291259765625</x:v>
      </x:c>
      <x:c r="H641" s="137" t="n">
        <x:v>61.06716537475586</x:v>
      </x:c>
      <x:c r="I641" s="137" t="n">
        <x:v>714.7859651341741</x:v>
      </x:c>
      <x:c r="J641" s="137" t="n">
        <x:v>675.1295990369664</x:v>
      </x:c>
      <x:c r="K641" s="136" t="str">
        <x:v>map-29</x:v>
      </x:c>
      <x:c r="L641" s="136" t="str">
        <x:v>Antietam | Skirmish | Roulette Lane||Spawn | CSA Spawnpoint_RL_Base_CSA_3rdAR [map-29/008]</x:v>
      </x:c>
      <x:c r="M641" s="35"/>
      <x:c r="N641" s="35"/>
      <x:c r="O641" s="35"/>
      <x:c r="P641" s="35"/>
      <x:c r="Q641" s="35"/>
      <x:c r="R641" s="35"/>
      <x:c r="S641" s="35"/>
      <x:c r="T641" s="35"/>
      <x:c r="U641" s="35"/>
      <x:c r="V641" s="35"/>
      <x:c r="W641" s="35"/>
      <x:c r="X641" s="35"/>
      <x:c r="Y641" s="35"/>
      <x:c r="Z641" s="35"/>
      <x:c r="AA641" s="35"/>
    </x:row>
    <x:row r="642">
      <x:c r="A642" s="136" t="str">
        <x:v>Antietam | Skirmish | Roulette Lane</x:v>
      </x:c>
      <x:c r="B642" s="136" t="str">
        <x:v>Objective | Victory_Roulette_Lane [map-29/009]</x:v>
      </x:c>
      <x:c r="C642" s="136" t="str">
        <x:v>objective</x:v>
      </x:c>
      <x:c r="D642" s="136" t="str"/>
      <x:c r="E642" s="136" t="str">
        <x:v>Victory_Roulette_Lane</x:v>
      </x:c>
      <x:c r="F642" s="137" t="n">
        <x:v>811.4229736328125</x:v>
      </x:c>
      <x:c r="G642" s="137" t="n">
        <x:v>1568.664794921875</x:v>
      </x:c>
      <x:c r="H642" s="137" t="n">
        <x:v>61.35000228881836</x:v>
      </x:c>
      <x:c r="I642" s="137" t="n">
        <x:v>1086.1076809540143</x:v>
      </x:c>
      <x:c r="J642" s="137" t="n">
        <x:v>1264.120312719316</x:v>
      </x:c>
      <x:c r="K642" s="136" t="str">
        <x:v>map-29</x:v>
      </x:c>
      <x:c r="L642" s="136" t="str">
        <x:v>Antietam | Skirmish | Roulette Lane||Objective | Victory_Roulette_Lane [map-29/009]</x:v>
      </x:c>
      <x:c r="M642" s="35"/>
      <x:c r="N642" s="35"/>
      <x:c r="O642" s="35"/>
      <x:c r="P642" s="35"/>
      <x:c r="Q642" s="35"/>
      <x:c r="R642" s="35"/>
      <x:c r="S642" s="35"/>
      <x:c r="T642" s="35"/>
      <x:c r="U642" s="35"/>
      <x:c r="V642" s="35"/>
      <x:c r="W642" s="35"/>
      <x:c r="X642" s="35"/>
      <x:c r="Y642" s="35"/>
      <x:c r="Z642" s="35"/>
      <x:c r="AA642" s="35"/>
    </x:row>
    <x:row r="643">
      <x:c r="A643" s="136" t="str">
        <x:v>Antietam | Skirmish | Roulette Lane</x:v>
      </x:c>
      <x:c r="B643" s="136" t="str">
        <x:v>Spawn | CSA Spawnpoint_RL_Base_CSA_3rdAR-2 [map-29/010]</x:v>
      </x:c>
      <x:c r="C643" s="136" t="str">
        <x:v>spawn</x:v>
      </x:c>
      <x:c r="D643" s="136" t="str">
        <x:v>CSA</x:v>
      </x:c>
      <x:c r="E643" s="136" t="str">
        <x:v>Spawnpoint_RL_Base_CSA_3rdAR-2</x:v>
      </x:c>
      <x:c r="F643" s="137" t="n">
        <x:v>895.6732177734375</x:v>
      </x:c>
      <x:c r="G643" s="137" t="n">
        <x:v>1766.9493408203125</x:v>
      </x:c>
      <x:c r="H643" s="137" t="n">
        <x:v>61.03947067260742</x:v>
      </x:c>
      <x:c r="I643" s="137" t="n">
        <x:v>729.9714095130319</x:v>
      </x:c>
      <x:c r="J643" s="137" t="n">
        <x:v>650.900775183008</x:v>
      </x:c>
      <x:c r="K643" s="136" t="str">
        <x:v>map-29</x:v>
      </x:c>
      <x:c r="L643" s="136" t="str">
        <x:v>Antietam | Skirmish | Roulette Lane||Spawn | CSA Spawnpoint_RL_Base_CSA_3rdAR-2 [map-29/010]</x:v>
      </x:c>
      <x:c r="M643" s="35"/>
      <x:c r="N643" s="35"/>
      <x:c r="O643" s="35"/>
      <x:c r="P643" s="35"/>
      <x:c r="Q643" s="35"/>
      <x:c r="R643" s="35"/>
      <x:c r="S643" s="35"/>
      <x:c r="T643" s="35"/>
      <x:c r="U643" s="35"/>
      <x:c r="V643" s="35"/>
      <x:c r="W643" s="35"/>
      <x:c r="X643" s="35"/>
      <x:c r="Y643" s="35"/>
      <x:c r="Z643" s="35"/>
      <x:c r="AA643" s="35"/>
    </x:row>
    <x:row r="644">
      <x:c r="A644" s="136" t="str">
        <x:v>Antietam | Skirmish | Roulette Lane</x:v>
      </x:c>
      <x:c r="B644" s="136" t="str">
        <x:v>Spawn | USA Spawnpoint_RL_Base_USA_14thIN [map-29/011]</x:v>
      </x:c>
      <x:c r="C644" s="136" t="str">
        <x:v>spawn</x:v>
      </x:c>
      <x:c r="D644" s="136" t="str">
        <x:v>USA</x:v>
      </x:c>
      <x:c r="E644" s="136" t="str">
        <x:v>Spawnpoint_RL_Base_USA_14thIN</x:v>
      </x:c>
      <x:c r="F644" s="137" t="n">
        <x:v>643.1177368164062</x:v>
      </x:c>
      <x:c r="G644" s="137" t="n">
        <x:v>1592.68701171875</x:v>
      </x:c>
      <x:c r="H644" s="137" t="n">
        <x:v>58.53452682495117</x:v>
      </x:c>
      <x:c r="I644" s="137" t="n">
        <x:v>690.715402454315</x:v>
      </x:c>
      <x:c r="J644" s="137" t="n">
        <x:v>1660.1199226140084</x:v>
      </x:c>
      <x:c r="K644" s="136" t="str">
        <x:v>map-29</x:v>
      </x:c>
      <x:c r="L644" s="136" t="str">
        <x:v>Antietam | Skirmish | Roulette Lane||Spawn | USA Spawnpoint_RL_Base_USA_14thIN [map-29/011]</x:v>
      </x:c>
      <x:c r="M644" s="35"/>
      <x:c r="N644" s="35"/>
      <x:c r="O644" s="35"/>
      <x:c r="P644" s="35"/>
      <x:c r="Q644" s="35"/>
      <x:c r="R644" s="35"/>
      <x:c r="S644" s="35"/>
      <x:c r="T644" s="35"/>
      <x:c r="U644" s="35"/>
      <x:c r="V644" s="35"/>
      <x:c r="W644" s="35"/>
      <x:c r="X644" s="35"/>
      <x:c r="Y644" s="35"/>
      <x:c r="Z644" s="35"/>
      <x:c r="AA644" s="35"/>
    </x:row>
    <x:row r="645">
      <x:c r="A645" s="136" t="str">
        <x:v>Antietam | Skirmish | Roulette Lane</x:v>
      </x:c>
      <x:c r="B645" s="136" t="str">
        <x:v>Spawn | CSA Spawnpoint_RL_Base_CSA_27thNC [map-29/012]</x:v>
      </x:c>
      <x:c r="C645" s="136" t="str">
        <x:v>spawn</x:v>
      </x:c>
      <x:c r="D645" s="136" t="str">
        <x:v>CSA</x:v>
      </x:c>
      <x:c r="E645" s="136" t="str">
        <x:v>Spawnpoint_RL_Base_CSA_27thNC</x:v>
      </x:c>
      <x:c r="F645" s="137" t="n">
        <x:v>900.8527221679688</x:v>
      </x:c>
      <x:c r="G645" s="137" t="n">
        <x:v>1747.7060546875</x:v>
      </x:c>
      <x:c r="H645" s="137" t="n">
        <x:v>61.7600212097168</x:v>
      </x:c>
      <x:c r="I645" s="137" t="n">
        <x:v>790.8883260884971</x:v>
      </x:c>
      <x:c r="J645" s="137" t="n">
        <x:v>675.2268492319416</x:v>
      </x:c>
      <x:c r="K645" s="136" t="str">
        <x:v>map-29</x:v>
      </x:c>
      <x:c r="L645" s="136" t="str">
        <x:v>Antietam | Skirmish | Roulette Lane||Spawn | CSA Spawnpoint_RL_Base_CSA_27thNC [map-29/012]</x:v>
      </x:c>
      <x:c r="M645" s="35"/>
      <x:c r="N645" s="35"/>
      <x:c r="O645" s="35"/>
      <x:c r="P645" s="35"/>
      <x:c r="Q645" s="35"/>
      <x:c r="R645" s="35"/>
      <x:c r="S645" s="35"/>
      <x:c r="T645" s="35"/>
      <x:c r="U645" s="35"/>
      <x:c r="V645" s="35"/>
      <x:c r="W645" s="35"/>
      <x:c r="X645" s="35"/>
      <x:c r="Y645" s="35"/>
      <x:c r="Z645" s="35"/>
      <x:c r="AA645" s="35"/>
    </x:row>
    <x:row r="646">
      <x:c r="A646" s="136" t="str">
        <x:v>Antietam | Skirmish | Roulette Lane</x:v>
      </x:c>
      <x:c r="B646" s="136" t="str">
        <x:v>Artillery | USA Spawnpoint_RL_USA_Arty_Base [map-29/013]</x:v>
      </x:c>
      <x:c r="C646" s="136" t="str">
        <x:v>battery</x:v>
      </x:c>
      <x:c r="D646" s="136" t="str">
        <x:v>USA</x:v>
      </x:c>
      <x:c r="E646" s="136" t="str">
        <x:v>Spawnpoint_RL_USA_Arty_Base</x:v>
      </x:c>
      <x:c r="F646" s="137" t="n">
        <x:v>634.1312866210938</x:v>
      </x:c>
      <x:c r="G646" s="137" t="n">
        <x:v>1557.3900146484375</x:v>
      </x:c>
      <x:c r="H646" s="137" t="n">
        <x:v>58.99241638183594</x:v>
      </x:c>
      <x:c r="I646" s="137" t="n">
        <x:v>765.9731647502196</x:v>
      </x:c>
      <x:c r="J646" s="137" t="n">
        <x:v>1753.4440097493582</x:v>
      </x:c>
      <x:c r="K646" s="136" t="str">
        <x:v>map-29</x:v>
      </x:c>
      <x:c r="L646" s="136" t="str">
        <x:v>Antietam | Skirmish | Roulette Lane||Artillery | USA Spawnpoint_RL_USA_Arty_Base [map-29/013]</x:v>
      </x:c>
      <x:c r="M646" s="35"/>
      <x:c r="N646" s="35"/>
      <x:c r="O646" s="35"/>
      <x:c r="P646" s="35"/>
      <x:c r="Q646" s="35"/>
      <x:c r="R646" s="35"/>
      <x:c r="S646" s="35"/>
      <x:c r="T646" s="35"/>
      <x:c r="U646" s="35"/>
      <x:c r="V646" s="35"/>
      <x:c r="W646" s="35"/>
      <x:c r="X646" s="35"/>
      <x:c r="Y646" s="35"/>
      <x:c r="Z646" s="35"/>
      <x:c r="AA646" s="35"/>
    </x:row>
    <x:row r="647">
      <x:c r="A647" s="136" t="str">
        <x:v>Antietam | Skirmish | Roulette Lane</x:v>
      </x:c>
      <x:c r="B647" s="136" t="str">
        <x:v>Spawn | USA Spawnpoint_RL_Defend_USA_1stDE [map-29/014]</x:v>
      </x:c>
      <x:c r="C647" s="136" t="str">
        <x:v>spawn</x:v>
      </x:c>
      <x:c r="D647" s="136" t="str">
        <x:v>USA</x:v>
      </x:c>
      <x:c r="E647" s="136" t="str">
        <x:v>Spawnpoint_RL_Defend_USA_1stDE</x:v>
      </x:c>
      <x:c r="F647" s="137" t="n">
        <x:v>852.194580078125</x:v>
      </x:c>
      <x:c r="G647" s="137" t="n">
        <x:v>1549.4013671875</x:v>
      </x:c>
      <x:c r="H647" s="137" t="n">
        <x:v>61.461544036865234</x:v>
      </x:c>
      <x:c r="I647" s="137" t="n">
        <x:v>1217.3092069173786</x:v>
      </x:c>
      <x:c r="J647" s="137" t="n">
        <x:v>1194.7185437355656</x:v>
      </x:c>
      <x:c r="K647" s="136" t="str">
        <x:v>map-29</x:v>
      </x:c>
      <x:c r="L647" s="136" t="str">
        <x:v>Antietam | Skirmish | Roulette Lane||Spawn | USA Spawnpoint_RL_Defend_USA_1stDE [map-29/014]</x:v>
      </x:c>
      <x:c r="M647" s="35"/>
      <x:c r="N647" s="35"/>
      <x:c r="O647" s="35"/>
      <x:c r="P647" s="35"/>
      <x:c r="Q647" s="35"/>
      <x:c r="R647" s="35"/>
      <x:c r="S647" s="35"/>
      <x:c r="T647" s="35"/>
      <x:c r="U647" s="35"/>
      <x:c r="V647" s="35"/>
      <x:c r="W647" s="35"/>
      <x:c r="X647" s="35"/>
      <x:c r="Y647" s="35"/>
      <x:c r="Z647" s="35"/>
      <x:c r="AA647" s="35"/>
    </x:row>
    <x:row r="648">
      <x:c r="A648" s="136" t="str">
        <x:v>Antietam | Skirmish | Roulette Lane</x:v>
      </x:c>
      <x:c r="B648" s="136" t="str">
        <x:v>Spawn | USA Spawnpoint_RL_Base_USA_1stDE [map-29/015]</x:v>
      </x:c>
      <x:c r="C648" s="136" t="str">
        <x:v>spawn</x:v>
      </x:c>
      <x:c r="D648" s="136" t="str">
        <x:v>USA</x:v>
      </x:c>
      <x:c r="E648" s="136" t="str">
        <x:v>Spawnpoint_RL_Base_USA_1stDE</x:v>
      </x:c>
      <x:c r="F648" s="137" t="n">
        <x:v>648.10693359375</x:v>
      </x:c>
      <x:c r="G648" s="137" t="n">
        <x:v>1607.0584716796875</x:v>
      </x:c>
      <x:c r="H648" s="137" t="n">
        <x:v>58.31266784667969</x:v>
      </x:c>
      <x:c r="I648" s="137" t="n">
        <x:v>662.6985655032724</x:v>
      </x:c>
      <x:c r="J648" s="137" t="n">
        <x:v>1618.6176029134206</x:v>
      </x:c>
      <x:c r="K648" s="136" t="str">
        <x:v>map-29</x:v>
      </x:c>
      <x:c r="L648" s="136" t="str">
        <x:v>Antietam | Skirmish | Roulette Lane||Spawn | USA Spawnpoint_RL_Base_USA_1stDE [map-29/015]</x:v>
      </x:c>
      <x:c r="M648" s="35"/>
      <x:c r="N648" s="35"/>
      <x:c r="O648" s="35"/>
      <x:c r="P648" s="35"/>
      <x:c r="Q648" s="35"/>
      <x:c r="R648" s="35"/>
      <x:c r="S648" s="35"/>
      <x:c r="T648" s="35"/>
      <x:c r="U648" s="35"/>
      <x:c r="V648" s="35"/>
      <x:c r="W648" s="35"/>
      <x:c r="X648" s="35"/>
      <x:c r="Y648" s="35"/>
      <x:c r="Z648" s="35"/>
      <x:c r="AA648" s="35"/>
    </x:row>
    <x:row r="649">
      <x:c r="A649" s="136" t="str">
        <x:v>Antietam | Skirmish | Roulette Lane</x:v>
      </x:c>
      <x:c r="B649" s="136" t="str">
        <x:v>Gun | 3-inch Ordnance · Entity-1415 [map-29/016]</x:v>
      </x:c>
      <x:c r="C649" s="136" t="str">
        <x:v>gun_spawn</x:v>
      </x:c>
      <x:c r="D649" s="136" t="str"/>
      <x:c r="E649" s="136" t="str">
        <x:v>3-inch Ordnance · Entity-1415</x:v>
      </x:c>
      <x:c r="F649" s="137" t="n">
        <x:v>752.5819702148438</x:v>
      </x:c>
      <x:c r="G649" s="137" t="n">
        <x:v>1508.6099853515625</x:v>
      </x:c>
      <x:c r="H649" s="137" t="n">
        <x:v>69.85811614990234</x:v>
      </x:c>
      <x:c r="I649" s="137" t="n">
        <x:v>1128.2153354804534</x:v>
      </x:c>
      <x:c r="J649" s="137" t="n">
        <x:v>1537.6394500624613</x:v>
      </x:c>
      <x:c r="K649" s="136" t="str">
        <x:v>map-29</x:v>
      </x:c>
      <x:c r="L649" s="136" t="str">
        <x:v>Antietam | Skirmish | Roulette Lane||Gun | 3-inch Ordnance · Entity-1415 [map-29/016]</x:v>
      </x:c>
      <x:c r="M649" s="35"/>
      <x:c r="N649" s="35"/>
      <x:c r="O649" s="35"/>
      <x:c r="P649" s="35"/>
      <x:c r="Q649" s="35"/>
      <x:c r="R649" s="35"/>
      <x:c r="S649" s="35"/>
      <x:c r="T649" s="35"/>
      <x:c r="U649" s="35"/>
      <x:c r="V649" s="35"/>
      <x:c r="W649" s="35"/>
      <x:c r="X649" s="35"/>
      <x:c r="Y649" s="35"/>
      <x:c r="Z649" s="35"/>
      <x:c r="AA649" s="35"/>
    </x:row>
    <x:row r="650">
      <x:c r="A650" s="136" t="str">
        <x:v>Antietam | Skirmish | Roulette Lane</x:v>
      </x:c>
      <x:c r="B650" s="136" t="str">
        <x:v>Gun | 12-pounder Napoleon (USA) · Entity-1419 [map-29/017]</x:v>
      </x:c>
      <x:c r="C650" s="136" t="str">
        <x:v>gun_spawn</x:v>
      </x:c>
      <x:c r="D650" s="136" t="str"/>
      <x:c r="E650" s="136" t="str">
        <x:v>12-pounder Napoleon (USA) · Entity-1419</x:v>
      </x:c>
      <x:c r="F650" s="137" t="n">
        <x:v>785.8499755859375</x:v>
      </x:c>
      <x:c r="G650" s="137" t="n">
        <x:v>1493.8599853515625</x:v>
      </x:c>
      <x:c r="H650" s="137" t="n">
        <x:v>71.21027374267578</x:v>
      </x:c>
      <x:c r="I650" s="137" t="n">
        <x:v>1232.7198506100945</x:v>
      </x:c>
      <x:c r="J650" s="137" t="n">
        <x:v>1479.0999099618693</x:v>
      </x:c>
      <x:c r="K650" s="136" t="str">
        <x:v>map-29</x:v>
      </x:c>
      <x:c r="L650" s="136" t="str">
        <x:v>Antietam | Skirmish | Roulette Lane||Gun | 12-pounder Napoleon (USA) · Entity-1419 [map-29/017]</x:v>
      </x:c>
      <x:c r="M650" s="35"/>
      <x:c r="N650" s="35"/>
      <x:c r="O650" s="35"/>
      <x:c r="P650" s="35"/>
      <x:c r="Q650" s="35"/>
      <x:c r="R650" s="35"/>
      <x:c r="S650" s="35"/>
      <x:c r="T650" s="35"/>
      <x:c r="U650" s="35"/>
      <x:c r="V650" s="35"/>
      <x:c r="W650" s="35"/>
      <x:c r="X650" s="35"/>
      <x:c r="Y650" s="35"/>
      <x:c r="Z650" s="35"/>
      <x:c r="AA650" s="35"/>
    </x:row>
    <x:row r="651">
      <x:c r="A651" s="136" t="str">
        <x:v>Antietam | Skirmish | Roulette Lane</x:v>
      </x:c>
      <x:c r="B651" s="136" t="str">
        <x:v>Gun | 3-inch Ordnance · Entity-1417 [map-29/018]</x:v>
      </x:c>
      <x:c r="C651" s="136" t="str">
        <x:v>gun_spawn</x:v>
      </x:c>
      <x:c r="D651" s="136" t="str"/>
      <x:c r="E651" s="136" t="str">
        <x:v>3-inch Ordnance · Entity-1417</x:v>
      </x:c>
      <x:c r="F651" s="137" t="n">
        <x:v>775.5640258789062</x:v>
      </x:c>
      <x:c r="G651" s="137" t="n">
        <x:v>1498.739990234375</x:v>
      </x:c>
      <x:c r="H651" s="137" t="n">
        <x:v>70.710205078125</x:v>
      </x:c>
      <x:c r="I651" s="137" t="n">
        <x:v>1199.5668653299556</x:v>
      </x:c>
      <x:c r="J651" s="137" t="n">
        <x:v>1496.5689090087988</x:v>
      </x:c>
      <x:c r="K651" s="136" t="str">
        <x:v>map-29</x:v>
      </x:c>
      <x:c r="L651" s="136" t="str">
        <x:v>Antietam | Skirmish | Roulette Lane||Gun | 3-inch Ordnance · Entity-1417 [map-29/018]</x:v>
      </x:c>
      <x:c r="M651" s="35"/>
      <x:c r="N651" s="35"/>
      <x:c r="O651" s="35"/>
      <x:c r="P651" s="35"/>
      <x:c r="Q651" s="35"/>
      <x:c r="R651" s="35"/>
      <x:c r="S651" s="35"/>
      <x:c r="T651" s="35"/>
      <x:c r="U651" s="35"/>
      <x:c r="V651" s="35"/>
      <x:c r="W651" s="35"/>
      <x:c r="X651" s="35"/>
      <x:c r="Y651" s="35"/>
      <x:c r="Z651" s="35"/>
      <x:c r="AA651" s="35"/>
    </x:row>
    <x:row r="652">
      <x:c r="A652" s="136" t="str">
        <x:v>Antietam | Skirmish | Roulette Lane</x:v>
      </x:c>
      <x:c r="B652" s="136" t="str">
        <x:v>Gun | 3-inch Ordnance · Entity-1416 [map-29/019]</x:v>
      </x:c>
      <x:c r="C652" s="136" t="str">
        <x:v>gun_spawn</x:v>
      </x:c>
      <x:c r="D652" s="136" t="str"/>
      <x:c r="E652" s="136" t="str">
        <x:v>3-inch Ordnance · Entity-1416</x:v>
      </x:c>
      <x:c r="F652" s="137" t="n">
        <x:v>763.1610107421875</x:v>
      </x:c>
      <x:c r="G652" s="137" t="n">
        <x:v>1504.7099609375</x:v>
      </x:c>
      <x:c r="H652" s="137" t="n">
        <x:v>70.04702758789062</x:v>
      </x:c>
      <x:c r="I652" s="137" t="n">
        <x:v>1159.3648936410734</x:v>
      </x:c>
      <x:c r="J652" s="137" t="n">
        <x:v>1517.4645708602598</x:v>
      </x:c>
      <x:c r="K652" s="136" t="str">
        <x:v>map-29</x:v>
      </x:c>
      <x:c r="L652" s="136" t="str">
        <x:v>Antietam | Skirmish | Roulette Lane||Gun | 3-inch Ordnance · Entity-1416 [map-29/019]</x:v>
      </x:c>
      <x:c r="M652" s="35"/>
      <x:c r="N652" s="35"/>
      <x:c r="O652" s="35"/>
      <x:c r="P652" s="35"/>
      <x:c r="Q652" s="35"/>
      <x:c r="R652" s="35"/>
      <x:c r="S652" s="35"/>
      <x:c r="T652" s="35"/>
      <x:c r="U652" s="35"/>
      <x:c r="V652" s="35"/>
      <x:c r="W652" s="35"/>
      <x:c r="X652" s="35"/>
      <x:c r="Y652" s="35"/>
      <x:c r="Z652" s="35"/>
      <x:c r="AA652" s="35"/>
    </x:row>
    <x:row r="653">
      <x:c r="A653" s="136" t="str">
        <x:v>Antietam | Skirmish | Roulette Lane</x:v>
      </x:c>
      <x:c r="B653" s="136" t="str">
        <x:v>Gun | 12-pounder Napoleon (USA) · Entity-1418 [map-29/020]</x:v>
      </x:c>
      <x:c r="C653" s="136" t="str">
        <x:v>gun_spawn</x:v>
      </x:c>
      <x:c r="D653" s="136" t="str"/>
      <x:c r="E653" s="136" t="str">
        <x:v>12-pounder Napoleon (USA) · Entity-1418</x:v>
      </x:c>
      <x:c r="F653" s="137" t="n">
        <x:v>795.1199951171875</x:v>
      </x:c>
      <x:c r="G653" s="137" t="n">
        <x:v>1489.280029296875</x:v>
      </x:c>
      <x:c r="H653" s="137" t="n">
        <x:v>71.31788635253906</x:v>
      </x:c>
      <x:c r="I653" s="137" t="n">
        <x:v>1263.0776876408618</x:v>
      </x:c>
      <x:c r="J653" s="137" t="n">
        <x:v>1463.7153179562056</x:v>
      </x:c>
      <x:c r="K653" s="136" t="str">
        <x:v>map-29</x:v>
      </x:c>
      <x:c r="L653" s="136" t="str">
        <x:v>Antietam | Skirmish | Roulette Lane||Gun | 12-pounder Napoleon (USA) · Entity-1418 [map-29/020]</x:v>
      </x:c>
      <x:c r="M653" s="35"/>
      <x:c r="N653" s="35"/>
      <x:c r="O653" s="35"/>
      <x:c r="P653" s="35"/>
      <x:c r="Q653" s="35"/>
      <x:c r="R653" s="35"/>
      <x:c r="S653" s="35"/>
      <x:c r="T653" s="35"/>
      <x:c r="U653" s="35"/>
      <x:c r="V653" s="35"/>
      <x:c r="W653" s="35"/>
      <x:c r="X653" s="35"/>
      <x:c r="Y653" s="35"/>
      <x:c r="Z653" s="35"/>
      <x:c r="AA653" s="35"/>
    </x:row>
    <x:row r="654">
      <x:c r="A654" s="136" t="str">
        <x:v>Antietam | Skirmish | Roulette Lane</x:v>
      </x:c>
      <x:c r="B654" s="136" t="str">
        <x:v>Gun | 12-pounder Napoleon (USA) · Entity-1420 [map-29/021]</x:v>
      </x:c>
      <x:c r="C654" s="136" t="str">
        <x:v>gun_spawn</x:v>
      </x:c>
      <x:c r="D654" s="136" t="str"/>
      <x:c r="E654" s="136" t="str">
        <x:v>12-pounder Napoleon (USA) · Entity-1420</x:v>
      </x:c>
      <x:c r="F654" s="137" t="n">
        <x:v>805.843017578125</x:v>
      </x:c>
      <x:c r="G654" s="137" t="n">
        <x:v>1484.199951171875</x:v>
      </x:c>
      <x:c r="H654" s="137" t="n">
        <x:v>70.92415618896484</x:v>
      </x:c>
      <x:c r="I654" s="137" t="n">
        <x:v>1297.6202137921487</x:v>
      </x:c>
      <x:c r="J654" s="137" t="n">
        <x:v>1445.4896396792597</x:v>
      </x:c>
      <x:c r="K654" s="136" t="str">
        <x:v>map-29</x:v>
      </x:c>
      <x:c r="L654" s="136" t="str">
        <x:v>Antietam | Skirmish | Roulette Lane||Gun | 12-pounder Napoleon (USA) · Entity-1420 [map-29/021]</x:v>
      </x:c>
      <x:c r="M654" s="35"/>
      <x:c r="N654" s="35"/>
      <x:c r="O654" s="35"/>
      <x:c r="P654" s="35"/>
      <x:c r="Q654" s="35"/>
      <x:c r="R654" s="35"/>
      <x:c r="S654" s="35"/>
      <x:c r="T654" s="35"/>
      <x:c r="U654" s="35"/>
      <x:c r="V654" s="35"/>
      <x:c r="W654" s="35"/>
      <x:c r="X654" s="35"/>
      <x:c r="Y654" s="35"/>
      <x:c r="Z654" s="35"/>
      <x:c r="AA654" s="35"/>
    </x:row>
    <x:row r="655">
      <x:c r="A655" s="136" t="str">
        <x:v>Antietam | Skirmish | Piper Farm</x:v>
      </x:c>
      <x:c r="B655" s="136" t="str">
        <x:v>Artillery | USA Spawnpoint_PF_USA_Arty_Base [map-30/001]</x:v>
      </x:c>
      <x:c r="C655" s="136" t="str">
        <x:v>battery</x:v>
      </x:c>
      <x:c r="D655" s="136" t="str">
        <x:v>USA</x:v>
      </x:c>
      <x:c r="E655" s="136" t="str">
        <x:v>Spawnpoint_PF_USA_Arty_Base</x:v>
      </x:c>
      <x:c r="F655" s="137" t="n">
        <x:v>562.93359375</x:v>
      </x:c>
      <x:c r="G655" s="137" t="n">
        <x:v>1968.25927734375</x:v>
      </x:c>
      <x:c r="H655" s="137" t="n">
        <x:v>56.093807220458984</x:v>
      </x:c>
      <x:c r="I655" s="137" t="n">
        <x:v>1164.1091781972318</x:v>
      </x:c>
      <x:c r="J655" s="137" t="n">
        <x:v>213.34594193035434</x:v>
      </x:c>
      <x:c r="K655" s="136" t="str">
        <x:v>map-30</x:v>
      </x:c>
      <x:c r="L655" s="136" t="str">
        <x:v>Antietam | Skirmish | Piper Farm||Artillery | USA Spawnpoint_PF_USA_Arty_Base [map-30/001]</x:v>
      </x:c>
      <x:c r="M655" s="35"/>
      <x:c r="N655" s="35"/>
      <x:c r="O655" s="35"/>
      <x:c r="P655" s="35"/>
      <x:c r="Q655" s="35"/>
      <x:c r="R655" s="35"/>
      <x:c r="S655" s="35"/>
      <x:c r="T655" s="35"/>
      <x:c r="U655" s="35"/>
      <x:c r="V655" s="35"/>
      <x:c r="W655" s="35"/>
      <x:c r="X655" s="35"/>
      <x:c r="Y655" s="35"/>
      <x:c r="Z655" s="35"/>
      <x:c r="AA655" s="35"/>
    </x:row>
    <x:row r="656">
      <x:c r="A656" s="136" t="str">
        <x:v>Antietam | Skirmish | Piper Farm</x:v>
      </x:c>
      <x:c r="B656" s="136" t="str">
        <x:v>Spawn | CSA Spawnpoint_PF_Defend_CSA_8thAL [map-30/002]</x:v>
      </x:c>
      <x:c r="C656" s="136" t="str">
        <x:v>spawn</x:v>
      </x:c>
      <x:c r="D656" s="136" t="str">
        <x:v>CSA</x:v>
      </x:c>
      <x:c r="E656" s="136" t="str">
        <x:v>Spawnpoint_PF_Defend_CSA_8thAL</x:v>
      </x:c>
      <x:c r="F656" s="137" t="n">
        <x:v>355.4815673828125</x:v>
      </x:c>
      <x:c r="G656" s="137" t="n">
        <x:v>1821.3133544921875</x:v>
      </x:c>
      <x:c r="H656" s="137" t="n">
        <x:v>64.67329406738281</x:v>
      </x:c>
      <x:c r="I656" s="137" t="n">
        <x:v>1130.527922321396</x:v>
      </x:c>
      <x:c r="J656" s="137" t="n">
        <x:v>1166.6785577462933</x:v>
      </x:c>
      <x:c r="K656" s="136" t="str">
        <x:v>map-30</x:v>
      </x:c>
      <x:c r="L656" s="136" t="str">
        <x:v>Antietam | Skirmish | Piper Farm||Spawn | CSA Spawnpoint_PF_Defend_CSA_8thAL [map-30/002]</x:v>
      </x:c>
      <x:c r="M656" s="35"/>
      <x:c r="N656" s="35"/>
      <x:c r="O656" s="35"/>
      <x:c r="P656" s="35"/>
      <x:c r="Q656" s="35"/>
      <x:c r="R656" s="35"/>
      <x:c r="S656" s="35"/>
      <x:c r="T656" s="35"/>
      <x:c r="U656" s="35"/>
      <x:c r="V656" s="35"/>
      <x:c r="W656" s="35"/>
      <x:c r="X656" s="35"/>
      <x:c r="Y656" s="35"/>
      <x:c r="Z656" s="35"/>
      <x:c r="AA656" s="35"/>
    </x:row>
    <x:row r="657">
      <x:c r="A657" s="136" t="str">
        <x:v>Antietam | Skirmish | Piper Farm</x:v>
      </x:c>
      <x:c r="B657" s="136" t="str">
        <x:v>Artillery | CSA Spawnpoint_PF_CSA_Arty_Boyce_Forward [map-30/003]</x:v>
      </x:c>
      <x:c r="C657" s="136" t="str">
        <x:v>battery</x:v>
      </x:c>
      <x:c r="D657" s="136" t="str">
        <x:v>CSA</x:v>
      </x:c>
      <x:c r="E657" s="136" t="str">
        <x:v>Spawnpoint_PF_CSA_Arty_Boyce_Forward</x:v>
      </x:c>
      <x:c r="F657" s="137" t="n">
        <x:v>303.56231689453125</x:v>
      </x:c>
      <x:c r="G657" s="137" t="n">
        <x:v>1860.1474609375</x:v>
      </x:c>
      <x:c r="H657" s="137" t="n">
        <x:v>63.61777114868164</x:v>
      </x:c>
      <x:c r="I657" s="137" t="n">
        <x:v>896.8687982662964</x:v>
      </x:c>
      <x:c r="J657" s="137" t="n">
        <x:v>1233.4745367475089</x:v>
      </x:c>
      <x:c r="K657" s="136" t="str">
        <x:v>map-30</x:v>
      </x:c>
      <x:c r="L657" s="136" t="str">
        <x:v>Antietam | Skirmish | Piper Farm||Artillery | CSA Spawnpoint_PF_CSA_Arty_Boyce_Forward [map-30/003]</x:v>
      </x:c>
      <x:c r="M657" s="35"/>
      <x:c r="N657" s="35"/>
      <x:c r="O657" s="35"/>
      <x:c r="P657" s="35"/>
      <x:c r="Q657" s="35"/>
      <x:c r="R657" s="35"/>
      <x:c r="S657" s="35"/>
      <x:c r="T657" s="35"/>
      <x:c r="U657" s="35"/>
      <x:c r="V657" s="35"/>
      <x:c r="W657" s="35"/>
      <x:c r="X657" s="35"/>
      <x:c r="Y657" s="35"/>
      <x:c r="Z657" s="35"/>
      <x:c r="AA657" s="35"/>
    </x:row>
    <x:row r="658">
      <x:c r="A658" s="136" t="str">
        <x:v>Antietam | Skirmish | Piper Farm</x:v>
      </x:c>
      <x:c r="B658" s="136" t="str">
        <x:v>Spawn | USA Spawnpoint_PF_Base_USA_20thNY [map-30/004]</x:v>
      </x:c>
      <x:c r="C658" s="136" t="str">
        <x:v>spawn</x:v>
      </x:c>
      <x:c r="D658" s="136" t="str">
        <x:v>USA</x:v>
      </x:c>
      <x:c r="E658" s="136" t="str">
        <x:v>Spawnpoint_PF_Base_USA_20thNY</x:v>
      </x:c>
      <x:c r="F658" s="137" t="n">
        <x:v>554.6981201171875</x:v>
      </x:c>
      <x:c r="G658" s="137" t="n">
        <x:v>1950.250244140625</x:v>
      </x:c>
      <x:c r="H658" s="137" t="n">
        <x:v>56.57510757446289</x:v>
      </x:c>
      <x:c r="I658" s="137" t="n">
        <x:v>1199.048817077456</x:v>
      </x:c>
      <x:c r="J658" s="137" t="n">
        <x:v>278.8557819172795</x:v>
      </x:c>
      <x:c r="K658" s="136" t="str">
        <x:v>map-30</x:v>
      </x:c>
      <x:c r="L658" s="136" t="str">
        <x:v>Antietam | Skirmish | Piper Farm||Spawn | USA Spawnpoint_PF_Base_USA_20thNY [map-30/004]</x:v>
      </x:c>
      <x:c r="M658" s="35"/>
      <x:c r="N658" s="35"/>
      <x:c r="O658" s="35"/>
      <x:c r="P658" s="35"/>
      <x:c r="Q658" s="35"/>
      <x:c r="R658" s="35"/>
      <x:c r="S658" s="35"/>
      <x:c r="T658" s="35"/>
      <x:c r="U658" s="35"/>
      <x:c r="V658" s="35"/>
      <x:c r="W658" s="35"/>
      <x:c r="X658" s="35"/>
      <x:c r="Y658" s="35"/>
      <x:c r="Z658" s="35"/>
      <x:c r="AA658" s="35"/>
    </x:row>
    <x:row r="659">
      <x:c r="A659" s="136" t="str">
        <x:v>Antietam | Skirmish | Piper Farm</x:v>
      </x:c>
      <x:c r="B659" s="136" t="str">
        <x:v>Artillery | CSA Spawnpoint_PF_CSA_Arty_Brooks_Forward [map-30/005]</x:v>
      </x:c>
      <x:c r="C659" s="136" t="str">
        <x:v>battery</x:v>
      </x:c>
      <x:c r="D659" s="136" t="str">
        <x:v>CSA</x:v>
      </x:c>
      <x:c r="E659" s="136" t="str">
        <x:v>Spawnpoint_PF_CSA_Arty_Brooks_Forward</x:v>
      </x:c>
      <x:c r="F659" s="137" t="n">
        <x:v>374.7118835449219</x:v>
      </x:c>
      <x:c r="G659" s="137" t="n">
        <x:v>1749.15673828125</x:v>
      </x:c>
      <x:c r="H659" s="137" t="n">
        <x:v>65.16871643066406</x:v>
      </x:c>
      <x:c r="I659" s="137" t="n">
        <x:v>1389.1867164980913</x:v>
      </x:c>
      <x:c r="J659" s="137" t="n">
        <x:v>1273.2047642301693</x:v>
      </x:c>
      <x:c r="K659" s="136" t="str">
        <x:v>map-30</x:v>
      </x:c>
      <x:c r="L659" s="136" t="str">
        <x:v>Antietam | Skirmish | Piper Farm||Artillery | CSA Spawnpoint_PF_CSA_Arty_Brooks_Forward [map-30/005]</x:v>
      </x:c>
      <x:c r="M659" s="35"/>
      <x:c r="N659" s="35"/>
      <x:c r="O659" s="35"/>
      <x:c r="P659" s="35"/>
      <x:c r="Q659" s="35"/>
      <x:c r="R659" s="35"/>
      <x:c r="S659" s="35"/>
      <x:c r="T659" s="35"/>
      <x:c r="U659" s="35"/>
      <x:c r="V659" s="35"/>
      <x:c r="W659" s="35"/>
      <x:c r="X659" s="35"/>
      <x:c r="Y659" s="35"/>
      <x:c r="Z659" s="35"/>
      <x:c r="AA659" s="35"/>
    </x:row>
    <x:row r="660">
      <x:c r="A660" s="136" t="str">
        <x:v>Antietam | Skirmish | Piper Farm</x:v>
      </x:c>
      <x:c r="B660" s="136" t="str">
        <x:v>Spawn | CSA Spawnpoint_PF_Defend_CSA_8thAL-2 [map-30/006]</x:v>
      </x:c>
      <x:c r="C660" s="136" t="str">
        <x:v>spawn</x:v>
      </x:c>
      <x:c r="D660" s="136" t="str">
        <x:v>CSA</x:v>
      </x:c>
      <x:c r="E660" s="136" t="str">
        <x:v>Spawnpoint_PF_Defend_CSA_8thAL-2</x:v>
      </x:c>
      <x:c r="F660" s="137" t="n">
        <x:v>364.146484375</x:v>
      </x:c>
      <x:c r="G660" s="137" t="n">
        <x:v>1828.589599609375</x:v>
      </x:c>
      <x:c r="H660" s="137" t="n">
        <x:v>63.93217849731445</x:v>
      </x:c>
      <x:c r="I660" s="137" t="n">
        <x:v>1128.5386002630669</x:v>
      </x:c>
      <x:c r="J660" s="137" t="n">
        <x:v>1124.2725309127695</x:v>
      </x:c>
      <x:c r="K660" s="136" t="str">
        <x:v>map-30</x:v>
      </x:c>
      <x:c r="L660" s="136" t="str">
        <x:v>Antietam | Skirmish | Piper Farm||Spawn | CSA Spawnpoint_PF_Defend_CSA_8thAL-2 [map-30/006]</x:v>
      </x:c>
      <x:c r="M660" s="35"/>
      <x:c r="N660" s="35"/>
      <x:c r="O660" s="35"/>
      <x:c r="P660" s="35"/>
      <x:c r="Q660" s="35"/>
      <x:c r="R660" s="35"/>
      <x:c r="S660" s="35"/>
      <x:c r="T660" s="35"/>
      <x:c r="U660" s="35"/>
      <x:c r="V660" s="35"/>
      <x:c r="W660" s="35"/>
      <x:c r="X660" s="35"/>
      <x:c r="Y660" s="35"/>
      <x:c r="Z660" s="35"/>
      <x:c r="AA660" s="35"/>
    </x:row>
    <x:row r="661">
      <x:c r="A661" s="136" t="str">
        <x:v>Antietam | Skirmish | Piper Farm</x:v>
      </x:c>
      <x:c r="B661" s="136" t="str">
        <x:v>Spawn | USA Spawnpoint_PF_Base_USA_7thME [map-30/007]</x:v>
      </x:c>
      <x:c r="C661" s="136" t="str">
        <x:v>spawn</x:v>
      </x:c>
      <x:c r="D661" s="136" t="str">
        <x:v>USA</x:v>
      </x:c>
      <x:c r="E661" s="136" t="str">
        <x:v>Spawnpoint_PF_Base_USA_7thME</x:v>
      </x:c>
      <x:c r="F661" s="137" t="n">
        <x:v>543.90625</x:v>
      </x:c>
      <x:c r="G661" s="137" t="n">
        <x:v>1965.16455078125</x:v>
      </x:c>
      <x:c r="H661" s="137" t="n">
        <x:v>56.42518615722656</x:v>
      </x:c>
      <x:c r="I661" s="137" t="n">
        <x:v>1130.0965017774909</x:v>
      </x:c>
      <x:c r="J661" s="137" t="n">
        <x:v>277.19341693733855</x:v>
      </x:c>
      <x:c r="K661" s="136" t="str">
        <x:v>map-30</x:v>
      </x:c>
      <x:c r="L661" s="136" t="str">
        <x:v>Antietam | Skirmish | Piper Farm||Spawn | USA Spawnpoint_PF_Base_USA_7thME [map-30/007]</x:v>
      </x:c>
      <x:c r="M661" s="35"/>
      <x:c r="N661" s="35"/>
      <x:c r="O661" s="35"/>
      <x:c r="P661" s="35"/>
      <x:c r="Q661" s="35"/>
      <x:c r="R661" s="35"/>
      <x:c r="S661" s="35"/>
      <x:c r="T661" s="35"/>
      <x:c r="U661" s="35"/>
      <x:c r="V661" s="35"/>
      <x:c r="W661" s="35"/>
      <x:c r="X661" s="35"/>
      <x:c r="Y661" s="35"/>
      <x:c r="Z661" s="35"/>
      <x:c r="AA661" s="35"/>
    </x:row>
    <x:row r="662">
      <x:c r="A662" s="136" t="str">
        <x:v>Antietam | Skirmish | Piper Farm</x:v>
      </x:c>
      <x:c r="B662" s="136" t="str">
        <x:v>Spawn | USA Spawnpoint_PF_Base_USA_20thNY-2 [map-30/008]</x:v>
      </x:c>
      <x:c r="C662" s="136" t="str">
        <x:v>spawn</x:v>
      </x:c>
      <x:c r="D662" s="136" t="str">
        <x:v>USA</x:v>
      </x:c>
      <x:c r="E662" s="136" t="str">
        <x:v>Spawnpoint_PF_Base_USA_20thNY-2</x:v>
      </x:c>
      <x:c r="F662" s="137" t="n">
        <x:v>539.41552734375</x:v>
      </x:c>
      <x:c r="G662" s="137" t="n">
        <x:v>1939.2574462890625</x:v>
      </x:c>
      <x:c r="H662" s="137" t="n">
        <x:v>56.849700927734375</x:v>
      </x:c>
      <x:c r="I662" s="137" t="n">
        <x:v>1197.0741771773048</x:v>
      </x:c>
      <x:c r="J662" s="137" t="n">
        <x:v>349.46671340194416</x:v>
      </x:c>
      <x:c r="K662" s="136" t="str">
        <x:v>map-30</x:v>
      </x:c>
      <x:c r="L662" s="136" t="str">
        <x:v>Antietam | Skirmish | Piper Farm||Spawn | USA Spawnpoint_PF_Base_USA_20thNY-2 [map-30/008]</x:v>
      </x:c>
      <x:c r="M662" s="35"/>
      <x:c r="N662" s="35"/>
      <x:c r="O662" s="35"/>
      <x:c r="P662" s="35"/>
      <x:c r="Q662" s="35"/>
      <x:c r="R662" s="35"/>
      <x:c r="S662" s="35"/>
      <x:c r="T662" s="35"/>
      <x:c r="U662" s="35"/>
      <x:c r="V662" s="35"/>
      <x:c r="W662" s="35"/>
      <x:c r="X662" s="35"/>
      <x:c r="Y662" s="35"/>
      <x:c r="Z662" s="35"/>
      <x:c r="AA662" s="35"/>
    </x:row>
    <x:row r="663">
      <x:c r="A663" s="136" t="str">
        <x:v>Antietam | Skirmish | Piper Farm</x:v>
      </x:c>
      <x:c r="B663" s="136" t="str">
        <x:v>Spawn | CSA Spawnpoint_PF_Base_CSA_8thAL [map-30/009]</x:v>
      </x:c>
      <x:c r="C663" s="136" t="str">
        <x:v>spawn</x:v>
      </x:c>
      <x:c r="D663" s="136" t="str">
        <x:v>CSA</x:v>
      </x:c>
      <x:c r="E663" s="136" t="str">
        <x:v>Spawnpoint_PF_Base_CSA_8thAL</x:v>
      </x:c>
      <x:c r="F663" s="137" t="n">
        <x:v>317.5478210449219</x:v>
      </x:c>
      <x:c r="G663" s="137" t="n">
        <x:v>1715.8009033203125</x:v>
      </x:c>
      <x:c r="H663" s="137" t="n">
        <x:v>60.893890380859375</x:v>
      </x:c>
      <x:c r="I663" s="137" t="n">
        <x:v>1358.6753435636529</x:v>
      </x:c>
      <x:c r="J663" s="137" t="n">
        <x:v>1519.6857222842607</x:v>
      </x:c>
      <x:c r="K663" s="136" t="str">
        <x:v>map-30</x:v>
      </x:c>
      <x:c r="L663" s="136" t="str">
        <x:v>Antietam | Skirmish | Piper Farm||Spawn | CSA Spawnpoint_PF_Base_CSA_8thAL [map-30/009]</x:v>
      </x:c>
      <x:c r="M663" s="35"/>
      <x:c r="N663" s="35"/>
      <x:c r="O663" s="35"/>
      <x:c r="P663" s="35"/>
      <x:c r="Q663" s="35"/>
      <x:c r="R663" s="35"/>
      <x:c r="S663" s="35"/>
      <x:c r="T663" s="35"/>
      <x:c r="U663" s="35"/>
      <x:c r="V663" s="35"/>
      <x:c r="W663" s="35"/>
      <x:c r="X663" s="35"/>
      <x:c r="Y663" s="35"/>
      <x:c r="Z663" s="35"/>
      <x:c r="AA663" s="35"/>
    </x:row>
    <x:row r="664">
      <x:c r="A664" s="136" t="str">
        <x:v>Antietam | Skirmish | Piper Farm</x:v>
      </x:c>
      <x:c r="B664" s="136" t="str">
        <x:v>Spawn | CSA Spawnpoint_PF_Base_CSA_8thFL [map-30/010]</x:v>
      </x:c>
      <x:c r="C664" s="136" t="str">
        <x:v>spawn</x:v>
      </x:c>
      <x:c r="D664" s="136" t="str">
        <x:v>CSA</x:v>
      </x:c>
      <x:c r="E664" s="136" t="str">
        <x:v>Spawnpoint_PF_Base_CSA_8thFL</x:v>
      </x:c>
      <x:c r="F664" s="137" t="n">
        <x:v>281.6325988769531</x:v>
      </x:c>
      <x:c r="G664" s="137" t="n">
        <x:v>1693.0865478515625</x:v>
      </x:c>
      <x:c r="H664" s="137" t="n">
        <x:v>60.77666473388672</x:v>
      </x:c>
      <x:c r="I664" s="137" t="n">
        <x:v>1344.7412451068587</x:v>
      </x:c>
      <x:c r="J664" s="137" t="n">
        <x:v>1678.5386913311095</x:v>
      </x:c>
      <x:c r="K664" s="136" t="str">
        <x:v>map-30</x:v>
      </x:c>
      <x:c r="L664" s="136" t="str">
        <x:v>Antietam | Skirmish | Piper Farm||Spawn | CSA Spawnpoint_PF_Base_CSA_8thFL [map-30/010]</x:v>
      </x:c>
      <x:c r="M664" s="35"/>
      <x:c r="N664" s="35"/>
      <x:c r="O664" s="35"/>
      <x:c r="P664" s="35"/>
      <x:c r="Q664" s="35"/>
      <x:c r="R664" s="35"/>
      <x:c r="S664" s="35"/>
      <x:c r="T664" s="35"/>
      <x:c r="U664" s="35"/>
      <x:c r="V664" s="35"/>
      <x:c r="W664" s="35"/>
      <x:c r="X664" s="35"/>
      <x:c r="Y664" s="35"/>
      <x:c r="Z664" s="35"/>
      <x:c r="AA664" s="35"/>
    </x:row>
    <x:row r="665">
      <x:c r="A665" s="136" t="str">
        <x:v>Antietam | Skirmish | Piper Farm</x:v>
      </x:c>
      <x:c r="B665" s="136" t="str">
        <x:v>Artillery | CSA Spawnpoint_PF_CSA_Arty_Base [map-30/011]</x:v>
      </x:c>
      <x:c r="C665" s="136" t="str">
        <x:v>battery</x:v>
      </x:c>
      <x:c r="D665" s="136" t="str">
        <x:v>CSA</x:v>
      </x:c>
      <x:c r="E665" s="136" t="str">
        <x:v>Spawnpoint_PF_CSA_Arty_Base</x:v>
      </x:c>
      <x:c r="F665" s="137" t="n">
        <x:v>331.1631164550781</x:v>
      </x:c>
      <x:c r="G665" s="137" t="n">
        <x:v>1696.1943359375</x:v>
      </x:c>
      <x:c r="H665" s="137" t="n">
        <x:v>61.082462310791016</x:v>
      </x:c>
      <x:c r="I665" s="137" t="n">
        <x:v>1448.0217504395148</x:v>
      </x:c>
      <x:c r="J665" s="137" t="n">
        <x:v>1523.5786617442652</x:v>
      </x:c>
      <x:c r="K665" s="136" t="str">
        <x:v>map-30</x:v>
      </x:c>
      <x:c r="L665" s="136" t="str">
        <x:v>Antietam | Skirmish | Piper Farm||Artillery | CSA Spawnpoint_PF_CSA_Arty_Base [map-30/011]</x:v>
      </x:c>
      <x:c r="M665" s="35"/>
      <x:c r="N665" s="35"/>
      <x:c r="O665" s="35"/>
      <x:c r="P665" s="35"/>
      <x:c r="Q665" s="35"/>
      <x:c r="R665" s="35"/>
      <x:c r="S665" s="35"/>
      <x:c r="T665" s="35"/>
      <x:c r="U665" s="35"/>
      <x:c r="V665" s="35"/>
      <x:c r="W665" s="35"/>
      <x:c r="X665" s="35"/>
      <x:c r="Y665" s="35"/>
      <x:c r="Z665" s="35"/>
      <x:c r="AA665" s="35"/>
    </x:row>
    <x:row r="666">
      <x:c r="A666" s="136" t="str">
        <x:v>Antietam | Skirmish | Piper Farm</x:v>
      </x:c>
      <x:c r="B666" s="136" t="str">
        <x:v>Spawn | CSA Spawnpoint_PF_Base_CSA_8thAL-2 [map-30/012]</x:v>
      </x:c>
      <x:c r="C666" s="136" t="str">
        <x:v>spawn</x:v>
      </x:c>
      <x:c r="D666" s="136" t="str">
        <x:v>CSA</x:v>
      </x:c>
      <x:c r="E666" s="136" t="str">
        <x:v>Spawnpoint_PF_Base_CSA_8thAL-2</x:v>
      </x:c>
      <x:c r="F666" s="137" t="n">
        <x:v>310.6545715332031</x:v>
      </x:c>
      <x:c r="G666" s="137" t="n">
        <x:v>1710.012451171875</x:v>
      </x:c>
      <x:c r="H666" s="137" t="n">
        <x:v>60.72782516479492</x:v>
      </x:c>
      <x:c r="I666" s="137" t="n">
        <x:v>1360.2577426689</x:v>
      </x:c>
      <x:c r="J666" s="137" t="n">
        <x:v>1553.4210889644264</x:v>
      </x:c>
      <x:c r="K666" s="136" t="str">
        <x:v>map-30</x:v>
      </x:c>
      <x:c r="L666" s="136" t="str">
        <x:v>Antietam | Skirmish | Piper Farm||Spawn | CSA Spawnpoint_PF_Base_CSA_8thAL-2 [map-30/012]</x:v>
      </x:c>
      <x:c r="M666" s="35"/>
      <x:c r="N666" s="35"/>
      <x:c r="O666" s="35"/>
      <x:c r="P666" s="35"/>
      <x:c r="Q666" s="35"/>
      <x:c r="R666" s="35"/>
      <x:c r="S666" s="35"/>
      <x:c r="T666" s="35"/>
      <x:c r="U666" s="35"/>
      <x:c r="V666" s="35"/>
      <x:c r="W666" s="35"/>
      <x:c r="X666" s="35"/>
      <x:c r="Y666" s="35"/>
      <x:c r="Z666" s="35"/>
      <x:c r="AA666" s="35"/>
    </x:row>
    <x:row r="667">
      <x:c r="A667" s="136" t="str">
        <x:v>Antietam | Skirmish | Piper Farm</x:v>
      </x:c>
      <x:c r="B667" s="136" t="str">
        <x:v>Objective | Victory_Piper_Farm [map-30/013]</x:v>
      </x:c>
      <x:c r="C667" s="136" t="str">
        <x:v>objective</x:v>
      </x:c>
      <x:c r="D667" s="136" t="str"/>
      <x:c r="E667" s="136" t="str">
        <x:v>Victory_Piper_Farm</x:v>
      </x:c>
      <x:c r="F667" s="137" t="n">
        <x:v>336.5520324707031</x:v>
      </x:c>
      <x:c r="G667" s="137" t="n">
        <x:v>1743.51708984375</x:v>
      </x:c>
      <x:c r="H667" s="137" t="n">
        <x:v>61.88042449951172</x:v>
      </x:c>
      <x:c r="I667" s="137" t="n">
        <x:v>1319.2844699202276</x:v>
      </x:c>
      <x:c r="J667" s="137" t="n">
        <x:v>1399.964514176573</x:v>
      </x:c>
      <x:c r="K667" s="136" t="str">
        <x:v>map-30</x:v>
      </x:c>
      <x:c r="L667" s="136" t="str">
        <x:v>Antietam | Skirmish | Piper Farm||Objective | Victory_Piper_Farm [map-30/013]</x:v>
      </x:c>
      <x:c r="M667" s="35"/>
      <x:c r="N667" s="35"/>
      <x:c r="O667" s="35"/>
      <x:c r="P667" s="35"/>
      <x:c r="Q667" s="35"/>
      <x:c r="R667" s="35"/>
      <x:c r="S667" s="35"/>
      <x:c r="T667" s="35"/>
      <x:c r="U667" s="35"/>
      <x:c r="V667" s="35"/>
      <x:c r="W667" s="35"/>
      <x:c r="X667" s="35"/>
      <x:c r="Y667" s="35"/>
      <x:c r="Z667" s="35"/>
      <x:c r="AA667" s="35"/>
    </x:row>
    <x:row r="668">
      <x:c r="A668" s="136" t="str">
        <x:v>Antietam | Skirmish | Piper Farm</x:v>
      </x:c>
      <x:c r="B668" s="136" t="str">
        <x:v>Spawn | CSA Spawnpoint_PF_Defend_CSA_8thFL [map-30/014]</x:v>
      </x:c>
      <x:c r="C668" s="136" t="str">
        <x:v>spawn</x:v>
      </x:c>
      <x:c r="D668" s="136" t="str">
        <x:v>CSA</x:v>
      </x:c>
      <x:c r="E668" s="136" t="str">
        <x:v>Spawnpoint_PF_Defend_CSA_8thFL</x:v>
      </x:c>
      <x:c r="F668" s="137" t="n">
        <x:v>368.7186584472656</x:v>
      </x:c>
      <x:c r="G668" s="137" t="n">
        <x:v>1791.1248779296875</x:v>
      </x:c>
      <x:c r="H668" s="137" t="n">
        <x:v>65.16389465332031</x:v>
      </x:c>
      <x:c r="I668" s="137" t="n">
        <x:v>1250.5400862631407</x:v>
      </x:c>
      <x:c r="J668" s="137" t="n">
        <x:v>1195.7441426677838</x:v>
      </x:c>
      <x:c r="K668" s="136" t="str">
        <x:v>map-30</x:v>
      </x:c>
      <x:c r="L668" s="136" t="str">
        <x:v>Antietam | Skirmish | Piper Farm||Spawn | CSA Spawnpoint_PF_Defend_CSA_8thFL [map-30/014]</x:v>
      </x:c>
      <x:c r="M668" s="35"/>
      <x:c r="N668" s="35"/>
      <x:c r="O668" s="35"/>
      <x:c r="P668" s="35"/>
      <x:c r="Q668" s="35"/>
      <x:c r="R668" s="35"/>
      <x:c r="S668" s="35"/>
      <x:c r="T668" s="35"/>
      <x:c r="U668" s="35"/>
      <x:c r="V668" s="35"/>
      <x:c r="W668" s="35"/>
      <x:c r="X668" s="35"/>
      <x:c r="Y668" s="35"/>
      <x:c r="Z668" s="35"/>
      <x:c r="AA668" s="35"/>
    </x:row>
    <x:row r="669">
      <x:c r="A669" s="136" t="str">
        <x:v>Antietam | Skirmish | Piper Farm</x:v>
      </x:c>
      <x:c r="B669" s="136" t="str">
        <x:v>Spawn | CSA Spawnpoint_PF_Base_CSA_8thFL-2 [map-30/015]</x:v>
      </x:c>
      <x:c r="C669" s="136" t="str">
        <x:v>spawn</x:v>
      </x:c>
      <x:c r="D669" s="136" t="str">
        <x:v>CSA</x:v>
      </x:c>
      <x:c r="E669" s="136" t="str">
        <x:v>Spawnpoint_PF_Base_CSA_8thFL-2</x:v>
      </x:c>
      <x:c r="F669" s="137" t="n">
        <x:v>296.29693603515625</x:v>
      </x:c>
      <x:c r="G669" s="137" t="n">
        <x:v>1705.130126953125</x:v>
      </x:c>
      <x:c r="H669" s="137" t="n">
        <x:v>60.864437103271484</x:v>
      </x:c>
      <x:c r="I669" s="137" t="n">
        <x:v>1342.1807030890013</x:v>
      </x:c>
      <x:c r="J669" s="137" t="n">
        <x:v>1607.386382616635</x:v>
      </x:c>
      <x:c r="K669" s="136" t="str">
        <x:v>map-30</x:v>
      </x:c>
      <x:c r="L669" s="136" t="str">
        <x:v>Antietam | Skirmish | Piper Farm||Spawn | CSA Spawnpoint_PF_Base_CSA_8thFL-2 [map-30/015]</x:v>
      </x:c>
      <x:c r="M669" s="35"/>
      <x:c r="N669" s="35"/>
      <x:c r="O669" s="35"/>
      <x:c r="P669" s="35"/>
      <x:c r="Q669" s="35"/>
      <x:c r="R669" s="35"/>
      <x:c r="S669" s="35"/>
      <x:c r="T669" s="35"/>
      <x:c r="U669" s="35"/>
      <x:c r="V669" s="35"/>
      <x:c r="W669" s="35"/>
      <x:c r="X669" s="35"/>
      <x:c r="Y669" s="35"/>
      <x:c r="Z669" s="35"/>
      <x:c r="AA669" s="35"/>
    </x:row>
    <x:row r="670">
      <x:c r="A670" s="136" t="str">
        <x:v>Antietam | Skirmish | Piper Farm</x:v>
      </x:c>
      <x:c r="B670" s="136" t="str">
        <x:v>Spawn | USA Spawnpoint_PF_Base_USA_7thME-2 [map-30/016]</x:v>
      </x:c>
      <x:c r="C670" s="136" t="str">
        <x:v>spawn</x:v>
      </x:c>
      <x:c r="D670" s="136" t="str">
        <x:v>USA</x:v>
      </x:c>
      <x:c r="E670" s="136" t="str">
        <x:v>Spawnpoint_PF_Base_USA_7thME-2</x:v>
      </x:c>
      <x:c r="F670" s="137" t="n">
        <x:v>527.6856079101562</x:v>
      </x:c>
      <x:c r="G670" s="137" t="n">
        <x:v>1953.4990234375</x:v>
      </x:c>
      <x:c r="H670" s="137" t="n">
        <x:v>56.989105224609375</x:v>
      </x:c>
      <x:c r="I670" s="137" t="n">
        <x:v>1127.994666468644</x:v>
      </x:c>
      <x:c r="J670" s="137" t="n">
        <x:v>352.133895251704</x:v>
      </x:c>
      <x:c r="K670" s="136" t="str">
        <x:v>map-30</x:v>
      </x:c>
      <x:c r="L670" s="136" t="str">
        <x:v>Antietam | Skirmish | Piper Farm||Spawn | USA Spawnpoint_PF_Base_USA_7thME-2 [map-30/016]</x:v>
      </x:c>
      <x:c r="M670" s="35"/>
      <x:c r="N670" s="35"/>
      <x:c r="O670" s="35"/>
      <x:c r="P670" s="35"/>
      <x:c r="Q670" s="35"/>
      <x:c r="R670" s="35"/>
      <x:c r="S670" s="35"/>
      <x:c r="T670" s="35"/>
      <x:c r="U670" s="35"/>
      <x:c r="V670" s="35"/>
      <x:c r="W670" s="35"/>
      <x:c r="X670" s="35"/>
      <x:c r="Y670" s="35"/>
      <x:c r="Z670" s="35"/>
      <x:c r="AA670" s="35"/>
    </x:row>
    <x:row r="671">
      <x:c r="A671" s="136" t="str">
        <x:v>Antietam | Skirmish | Piper Farm</x:v>
      </x:c>
      <x:c r="B671" s="136" t="str">
        <x:v>Spawn | CSA Spawnpoint_PF_Defend_CSA_8thFL-2 [map-30/017]</x:v>
      </x:c>
      <x:c r="C671" s="136" t="str">
        <x:v>spawn</x:v>
      </x:c>
      <x:c r="D671" s="136" t="str">
        <x:v>CSA</x:v>
      </x:c>
      <x:c r="E671" s="136" t="str">
        <x:v>Spawnpoint_PF_Defend_CSA_8thFL-2</x:v>
      </x:c>
      <x:c r="F671" s="137" t="n">
        <x:v>357.47711181640625</x:v>
      </x:c>
      <x:c r="G671" s="137" t="n">
        <x:v>1781.6849365234375</x:v>
      </x:c>
      <x:c r="H671" s="137" t="n">
        <x:v>64.50092315673828</x:v>
      </x:c>
      <x:c r="I671" s="137" t="n">
        <x:v>1253.1209805977223</x:v>
      </x:c>
      <x:c r="J671" s="137" t="n">
        <x:v>1250.7601877885309</x:v>
      </x:c>
      <x:c r="K671" s="136" t="str">
        <x:v>map-30</x:v>
      </x:c>
      <x:c r="L671" s="136" t="str">
        <x:v>Antietam | Skirmish | Piper Farm||Spawn | CSA Spawnpoint_PF_Defend_CSA_8thFL-2 [map-30/017]</x:v>
      </x:c>
      <x:c r="M671" s="35"/>
      <x:c r="N671" s="35"/>
      <x:c r="O671" s="35"/>
      <x:c r="P671" s="35"/>
      <x:c r="Q671" s="35"/>
      <x:c r="R671" s="35"/>
      <x:c r="S671" s="35"/>
      <x:c r="T671" s="35"/>
      <x:c r="U671" s="35"/>
      <x:c r="V671" s="35"/>
      <x:c r="W671" s="35"/>
      <x:c r="X671" s="35"/>
      <x:c r="Y671" s="35"/>
      <x:c r="Z671" s="35"/>
      <x:c r="AA671" s="35"/>
    </x:row>
    <x:row r="672">
      <x:c r="A672" s="136" t="str">
        <x:v>Antietam | Skirmish | Piper Farm</x:v>
      </x:c>
      <x:c r="B672" s="136" t="str">
        <x:v>Gun | 10-pounder Parrott · Entity-1362 [map-30/018]</x:v>
      </x:c>
      <x:c r="C672" s="136" t="str">
        <x:v>gun_spawn</x:v>
      </x:c>
      <x:c r="D672" s="136" t="str"/>
      <x:c r="E672" s="136" t="str">
        <x:v>10-pounder Parrott · Entity-1362</x:v>
      </x:c>
      <x:c r="F672" s="137" t="n">
        <x:v>382.22100830078125</x:v>
      </x:c>
      <x:c r="G672" s="137" t="n">
        <x:v>1778.77001953125</x:v>
      </x:c>
      <x:c r="H672" s="137" t="n">
        <x:v>64.8906478881836</x:v>
      </x:c>
      <x:c r="I672" s="137" t="n">
        <x:v>1318.0259482778124</x:v>
      </x:c>
      <x:c r="J672" s="137" t="n">
        <x:v>1183.4976169739325</x:v>
      </x:c>
      <x:c r="K672" s="136" t="str">
        <x:v>map-30</x:v>
      </x:c>
      <x:c r="L672" s="136" t="str">
        <x:v>Antietam | Skirmish | Piper Farm||Gun | 10-pounder Parrott · Entity-1362 [map-30/018]</x:v>
      </x:c>
      <x:c r="M672" s="35"/>
      <x:c r="N672" s="35"/>
      <x:c r="O672" s="35"/>
      <x:c r="P672" s="35"/>
      <x:c r="Q672" s="35"/>
      <x:c r="R672" s="35"/>
      <x:c r="S672" s="35"/>
      <x:c r="T672" s="35"/>
      <x:c r="U672" s="35"/>
      <x:c r="V672" s="35"/>
      <x:c r="W672" s="35"/>
      <x:c r="X672" s="35"/>
      <x:c r="Y672" s="35"/>
      <x:c r="Z672" s="35"/>
      <x:c r="AA672" s="35"/>
    </x:row>
    <x:row r="673">
      <x:c r="A673" s="136" t="str">
        <x:v>Antietam | Skirmish | Piper Farm</x:v>
      </x:c>
      <x:c r="B673" s="136" t="str">
        <x:v>Gun | 3-inch Ordnance · Entity-1351 [map-30/019]</x:v>
      </x:c>
      <x:c r="C673" s="136" t="str">
        <x:v>gun_spawn</x:v>
      </x:c>
      <x:c r="D673" s="136" t="str"/>
      <x:c r="E673" s="136" t="str">
        <x:v>3-inch Ordnance · Entity-1351</x:v>
      </x:c>
      <x:c r="F673" s="137" t="n">
        <x:v>335.3810119628906</x:v>
      </x:c>
      <x:c r="G673" s="137" t="n">
        <x:v>1888.9100341796875</x:v>
      </x:c>
      <x:c r="H673" s="137" t="n">
        <x:v>61.71269226074219</x:v>
      </x:c>
      <x:c r="I673" s="137" t="n">
        <x:v>883.4765728597565</x:v>
      </x:c>
      <x:c r="J673" s="137" t="n">
        <x:v>1073.1116006170178</x:v>
      </x:c>
      <x:c r="K673" s="136" t="str">
        <x:v>map-30</x:v>
      </x:c>
      <x:c r="L673" s="136" t="str">
        <x:v>Antietam | Skirmish | Piper Farm||Gun | 3-inch Ordnance · Entity-1351 [map-30/019]</x:v>
      </x:c>
      <x:c r="M673" s="35"/>
      <x:c r="N673" s="35"/>
      <x:c r="O673" s="35"/>
      <x:c r="P673" s="35"/>
      <x:c r="Q673" s="35"/>
      <x:c r="R673" s="35"/>
      <x:c r="S673" s="35"/>
      <x:c r="T673" s="35"/>
      <x:c r="U673" s="35"/>
      <x:c r="V673" s="35"/>
      <x:c r="W673" s="35"/>
      <x:c r="X673" s="35"/>
      <x:c r="Y673" s="35"/>
      <x:c r="Z673" s="35"/>
      <x:c r="AA673" s="35"/>
    </x:row>
    <x:row r="674">
      <x:c r="A674" s="136" t="str">
        <x:v>Antietam | Skirmish | Piper Farm</x:v>
      </x:c>
      <x:c r="B674" s="136" t="str">
        <x:v>Gun | 12-pounder Napoleon (CSA) · Entity-1348 [map-30/020]</x:v>
      </x:c>
      <x:c r="C674" s="136" t="str">
        <x:v>gun_spawn</x:v>
      </x:c>
      <x:c r="D674" s="136" t="str"/>
      <x:c r="E674" s="136" t="str">
        <x:v>12-pounder Napoleon (CSA) · Entity-1348</x:v>
      </x:c>
      <x:c r="F674" s="137" t="n">
        <x:v>349.7560119628906</x:v>
      </x:c>
      <x:c r="G674" s="137" t="n">
        <x:v>1868.260009765625</x:v>
      </x:c>
      <x:c r="H674" s="137" t="n">
        <x:v>62.42087936401367</x:v>
      </x:c>
      <x:c r="I674" s="137" t="n">
        <x:v>977.6577301572657</x:v>
      </x:c>
      <x:c r="J674" s="137" t="n">
        <x:v>1077.1069073400304</x:v>
      </x:c>
      <x:c r="K674" s="136" t="str">
        <x:v>map-30</x:v>
      </x:c>
      <x:c r="L674" s="136" t="str">
        <x:v>Antietam | Skirmish | Piper Farm||Gun | 12-pounder Napoleon (CSA) · Entity-1348 [map-30/020]</x:v>
      </x:c>
      <x:c r="M674" s="35"/>
      <x:c r="N674" s="35"/>
      <x:c r="O674" s="35"/>
      <x:c r="P674" s="35"/>
      <x:c r="Q674" s="35"/>
      <x:c r="R674" s="35"/>
      <x:c r="S674" s="35"/>
      <x:c r="T674" s="35"/>
      <x:c r="U674" s="35"/>
      <x:c r="V674" s="35"/>
      <x:c r="W674" s="35"/>
      <x:c r="X674" s="35"/>
      <x:c r="Y674" s="35"/>
      <x:c r="Z674" s="35"/>
      <x:c r="AA674" s="35"/>
    </x:row>
    <x:row r="675">
      <x:c r="A675" s="136" t="str">
        <x:v>Antietam | Skirmish | Piper Farm</x:v>
      </x:c>
      <x:c r="B675" s="136" t="str">
        <x:v>Gun | 3-inch Ordnance · Entity-1349 [map-30/021]</x:v>
      </x:c>
      <x:c r="C675" s="136" t="str">
        <x:v>gun_spawn</x:v>
      </x:c>
      <x:c r="D675" s="136" t="str"/>
      <x:c r="E675" s="136" t="str">
        <x:v>3-inch Ordnance · Entity-1349</x:v>
      </x:c>
      <x:c r="F675" s="137" t="n">
        <x:v>331.24200439453125</x:v>
      </x:c>
      <x:c r="G675" s="137" t="n">
        <x:v>1895.3900146484375</x:v>
      </x:c>
      <x:c r="H675" s="137" t="n">
        <x:v>61.55183410644531</x:v>
      </x:c>
      <x:c r="I675" s="137" t="n">
        <x:v>854.7674431771727</x:v>
      </x:c>
      <x:c r="J675" s="137" t="n">
        <x:v>1070.7474659579045</x:v>
      </x:c>
      <x:c r="K675" s="136" t="str">
        <x:v>map-30</x:v>
      </x:c>
      <x:c r="L675" s="136" t="str">
        <x:v>Antietam | Skirmish | Piper Farm||Gun | 3-inch Ordnance · Entity-1349 [map-30/021]</x:v>
      </x:c>
      <x:c r="M675" s="35"/>
      <x:c r="N675" s="35"/>
      <x:c r="O675" s="35"/>
      <x:c r="P675" s="35"/>
      <x:c r="Q675" s="35"/>
      <x:c r="R675" s="35"/>
      <x:c r="S675" s="35"/>
      <x:c r="T675" s="35"/>
      <x:c r="U675" s="35"/>
      <x:c r="V675" s="35"/>
      <x:c r="W675" s="35"/>
      <x:c r="X675" s="35"/>
      <x:c r="Y675" s="35"/>
      <x:c r="Z675" s="35"/>
      <x:c r="AA675" s="35"/>
    </x:row>
    <x:row r="676">
      <x:c r="A676" s="136" t="str">
        <x:v>Antietam | Skirmish | Piper Farm</x:v>
      </x:c>
      <x:c r="B676" s="136" t="str">
        <x:v>Gun | 10-pounder Parrott · Entity-1360 [map-30/022]</x:v>
      </x:c>
      <x:c r="C676" s="136" t="str">
        <x:v>gun_spawn</x:v>
      </x:c>
      <x:c r="D676" s="136" t="str"/>
      <x:c r="E676" s="136" t="str">
        <x:v>10-pounder Parrott · Entity-1360</x:v>
      </x:c>
      <x:c r="F676" s="137" t="n">
        <x:v>378.1960144042969</x:v>
      </x:c>
      <x:c r="G676" s="137" t="n">
        <x:v>1785.050048828125</x:v>
      </x:c>
      <x:c r="H676" s="137" t="n">
        <x:v>64.87738800048828</x:v>
      </x:c>
      <x:c r="I676" s="137" t="n">
        <x:v>1290.1715551290472</x:v>
      </x:c>
      <x:c r="J676" s="137" t="n">
        <x:v>1181.2473481978798</x:v>
      </x:c>
      <x:c r="K676" s="136" t="str">
        <x:v>map-30</x:v>
      </x:c>
      <x:c r="L676" s="136" t="str">
        <x:v>Antietam | Skirmish | Piper Farm||Gun | 10-pounder Parrott · Entity-1360 [map-30/022]</x:v>
      </x:c>
      <x:c r="M676" s="35"/>
      <x:c r="N676" s="35"/>
      <x:c r="O676" s="35"/>
      <x:c r="P676" s="35"/>
      <x:c r="Q676" s="35"/>
      <x:c r="R676" s="35"/>
      <x:c r="S676" s="35"/>
      <x:c r="T676" s="35"/>
      <x:c r="U676" s="35"/>
      <x:c r="V676" s="35"/>
      <x:c r="W676" s="35"/>
      <x:c r="X676" s="35"/>
      <x:c r="Y676" s="35"/>
      <x:c r="Z676" s="35"/>
      <x:c r="AA676" s="35"/>
    </x:row>
    <x:row r="677">
      <x:c r="A677" s="136" t="str">
        <x:v>Antietam | Skirmish | Piper Farm</x:v>
      </x:c>
      <x:c r="B677" s="136" t="str">
        <x:v>Gun | 12-pounder Napoleon (USA) · Entity-1350 [map-30/023]</x:v>
      </x:c>
      <x:c r="C677" s="136" t="str">
        <x:v>gun_spawn</x:v>
      </x:c>
      <x:c r="D677" s="136" t="str"/>
      <x:c r="E677" s="136" t="str">
        <x:v>12-pounder Napoleon (USA) · Entity-1350</x:v>
      </x:c>
      <x:c r="F677" s="137" t="n">
        <x:v>339.5669860839844</x:v>
      </x:c>
      <x:c r="G677" s="137" t="n">
        <x:v>1883.530029296875</x:v>
      </x:c>
      <x:c r="H677" s="137" t="n">
        <x:v>61.87527847290039</x:v>
      </x:c>
      <x:c r="I677" s="137" t="n">
        <x:v>909.015425134934</x:v>
      </x:c>
      <x:c r="J677" s="137" t="n">
        <x:v>1072.836220699685</x:v>
      </x:c>
      <x:c r="K677" s="136" t="str">
        <x:v>map-30</x:v>
      </x:c>
      <x:c r="L677" s="136" t="str">
        <x:v>Antietam | Skirmish | Piper Farm||Gun | 12-pounder Napoleon (USA) · Entity-1350 [map-30/023]</x:v>
      </x:c>
      <x:c r="M677" s="35"/>
      <x:c r="N677" s="35"/>
      <x:c r="O677" s="35"/>
      <x:c r="P677" s="35"/>
      <x:c r="Q677" s="35"/>
      <x:c r="R677" s="35"/>
      <x:c r="S677" s="35"/>
      <x:c r="T677" s="35"/>
      <x:c r="U677" s="35"/>
      <x:c r="V677" s="35"/>
      <x:c r="W677" s="35"/>
      <x:c r="X677" s="35"/>
      <x:c r="Y677" s="35"/>
      <x:c r="Z677" s="35"/>
      <x:c r="AA677" s="35"/>
    </x:row>
    <x:row r="678">
      <x:c r="A678" s="136" t="str">
        <x:v>Antietam | Skirmish | Piper Farm</x:v>
      </x:c>
      <x:c r="B678" s="136" t="str">
        <x:v>Gun | 12-pounder Napoleon (CSA) · Entity-1359 [map-30/024]</x:v>
      </x:c>
      <x:c r="C678" s="136" t="str">
        <x:v>gun_spawn</x:v>
      </x:c>
      <x:c r="D678" s="136" t="str"/>
      <x:c r="E678" s="136" t="str">
        <x:v>12-pounder Napoleon (CSA) · Entity-1359</x:v>
      </x:c>
      <x:c r="F678" s="137" t="n">
        <x:v>405.4309997558594</x:v>
      </x:c>
      <x:c r="G678" s="137" t="n">
        <x:v>1745.739990234375</x:v>
      </x:c>
      <x:c r="H678" s="137" t="n">
        <x:v>65.08598327636719</x:v>
      </x:c>
      <x:c r="I678" s="137" t="n">
        <x:v>1469.1631042621398</x:v>
      </x:c>
      <x:c r="J678" s="137" t="n">
        <x:v>1189.2403271446128</x:v>
      </x:c>
      <x:c r="K678" s="136" t="str">
        <x:v>map-30</x:v>
      </x:c>
      <x:c r="L678" s="136" t="str">
        <x:v>Antietam | Skirmish | Piper Farm||Gun | 12-pounder Napoleon (CSA) · Entity-1359 [map-30/024]</x:v>
      </x:c>
      <x:c r="M678" s="35"/>
      <x:c r="N678" s="35"/>
      <x:c r="O678" s="35"/>
      <x:c r="P678" s="35"/>
      <x:c r="Q678" s="35"/>
      <x:c r="R678" s="35"/>
      <x:c r="S678" s="35"/>
      <x:c r="T678" s="35"/>
      <x:c r="U678" s="35"/>
      <x:c r="V678" s="35"/>
      <x:c r="W678" s="35"/>
      <x:c r="X678" s="35"/>
      <x:c r="Y678" s="35"/>
      <x:c r="Z678" s="35"/>
      <x:c r="AA678" s="35"/>
    </x:row>
    <x:row r="679">
      <x:c r="A679" s="136" t="str">
        <x:v>Antietam | Skirmish | Piper Farm</x:v>
      </x:c>
      <x:c r="B679" s="136" t="str">
        <x:v>Gun | 3-inch Ordnance · Entity-1352 [map-30/025]</x:v>
      </x:c>
      <x:c r="C679" s="136" t="str">
        <x:v>gun_spawn</x:v>
      </x:c>
      <x:c r="D679" s="136" t="str"/>
      <x:c r="E679" s="136" t="str">
        <x:v>3-inch Ordnance · Entity-1352</x:v>
      </x:c>
      <x:c r="F679" s="137" t="n">
        <x:v>327.5369873046875</x:v>
      </x:c>
      <x:c r="G679" s="137" t="n">
        <x:v>1901.760009765625</x:v>
      </x:c>
      <x:c r="H679" s="137" t="n">
        <x:v>61.42268753051758</x:v>
      </x:c>
      <x:c r="I679" s="137" t="n">
        <x:v>827.3720528069168</x:v>
      </x:c>
      <x:c r="J679" s="137" t="n">
        <x:v>1067.3373294830817</x:v>
      </x:c>
      <x:c r="K679" s="136" t="str">
        <x:v>map-30</x:v>
      </x:c>
      <x:c r="L679" s="136" t="str">
        <x:v>Antietam | Skirmish | Piper Farm||Gun | 3-inch Ordnance · Entity-1352 [map-30/025]</x:v>
      </x:c>
      <x:c r="M679" s="35"/>
      <x:c r="N679" s="35"/>
      <x:c r="O679" s="35"/>
      <x:c r="P679" s="35"/>
      <x:c r="Q679" s="35"/>
      <x:c r="R679" s="35"/>
      <x:c r="S679" s="35"/>
      <x:c r="T679" s="35"/>
      <x:c r="U679" s="35"/>
      <x:c r="V679" s="35"/>
      <x:c r="W679" s="35"/>
      <x:c r="X679" s="35"/>
      <x:c r="Y679" s="35"/>
      <x:c r="Z679" s="35"/>
      <x:c r="AA679" s="35"/>
    </x:row>
    <x:row r="680">
      <x:c r="A680" s="136" t="str">
        <x:v>Antietam | Skirmish | Piper Farm</x:v>
      </x:c>
      <x:c r="B680" s="136" t="str">
        <x:v>Gun | 12-pounder Napoleon (CSA) · Entity-1347 [map-30/026]</x:v>
      </x:c>
      <x:c r="C680" s="136" t="str">
        <x:v>gun_spawn</x:v>
      </x:c>
      <x:c r="D680" s="136" t="str"/>
      <x:c r="E680" s="136" t="str">
        <x:v>12-pounder Napoleon (CSA) · Entity-1347</x:v>
      </x:c>
      <x:c r="F680" s="137" t="n">
        <x:v>344.2550048828125</x:v>
      </x:c>
      <x:c r="G680" s="137" t="n">
        <x:v>1876.52001953125</x:v>
      </x:c>
      <x:c r="H680" s="137" t="n">
        <x:v>62.1551513671875</x:v>
      </x:c>
      <x:c r="I680" s="137" t="n">
        <x:v>940.5510079687963</x:v>
      </x:c>
      <x:c r="J680" s="137" t="n">
        <x:v>1074.7652885248694</x:v>
      </x:c>
      <x:c r="K680" s="136" t="str">
        <x:v>map-30</x:v>
      </x:c>
      <x:c r="L680" s="136" t="str">
        <x:v>Antietam | Skirmish | Piper Farm||Gun | 12-pounder Napoleon (CSA) · Entity-1347 [map-30/026]</x:v>
      </x:c>
      <x:c r="M680" s="35"/>
      <x:c r="N680" s="35"/>
      <x:c r="O680" s="35"/>
      <x:c r="P680" s="35"/>
      <x:c r="Q680" s="35"/>
      <x:c r="R680" s="35"/>
      <x:c r="S680" s="35"/>
      <x:c r="T680" s="35"/>
      <x:c r="U680" s="35"/>
      <x:c r="V680" s="35"/>
      <x:c r="W680" s="35"/>
      <x:c r="X680" s="35"/>
      <x:c r="Y680" s="35"/>
      <x:c r="Z680" s="35"/>
      <x:c r="AA680" s="35"/>
    </x:row>
    <x:row r="681">
      <x:c r="A681" s="136" t="str">
        <x:v>Antietam | Skirmish | Piper Farm</x:v>
      </x:c>
      <x:c r="B681" s="136" t="str">
        <x:v>Gun | 12-pounder Napoleon (USA) · Entity-1361 [map-30/027]</x:v>
      </x:c>
      <x:c r="C681" s="136" t="str">
        <x:v>gun_spawn</x:v>
      </x:c>
      <x:c r="D681" s="136" t="str"/>
      <x:c r="E681" s="136" t="str">
        <x:v>12-pounder Napoleon (USA) · Entity-1361</x:v>
      </x:c>
      <x:c r="F681" s="137" t="n">
        <x:v>399.64801025390625</x:v>
      </x:c>
      <x:c r="G681" s="137" t="n">
        <x:v>1753.6400146484375</x:v>
      </x:c>
      <x:c r="H681" s="137" t="n">
        <x:v>65.20274353027344</x:v>
      </x:c>
      <x:c r="I681" s="137" t="n">
        <x:v>1432.488135273423</x:v>
      </x:c>
      <x:c r="J681" s="137" t="n">
        <x:v>1188.5586399217075</x:v>
      </x:c>
      <x:c r="K681" s="136" t="str">
        <x:v>map-30</x:v>
      </x:c>
      <x:c r="L681" s="136" t="str">
        <x:v>Antietam | Skirmish | Piper Farm||Gun | 12-pounder Napoleon (USA) · Entity-1361 [map-30/027]</x:v>
      </x:c>
      <x:c r="M681" s="35"/>
      <x:c r="N681" s="35"/>
      <x:c r="O681" s="35"/>
      <x:c r="P681" s="35"/>
      <x:c r="Q681" s="35"/>
      <x:c r="R681" s="35"/>
      <x:c r="S681" s="35"/>
      <x:c r="T681" s="35"/>
      <x:c r="U681" s="35"/>
      <x:c r="V681" s="35"/>
      <x:c r="W681" s="35"/>
      <x:c r="X681" s="35"/>
      <x:c r="Y681" s="35"/>
      <x:c r="Z681" s="35"/>
      <x:c r="AA681" s="35"/>
    </x:row>
    <x:row r="682">
      <x:c r="A682" s="136" t="str">
        <x:v>Antietam | Skirmish | Hill's Counterattack</x:v>
      </x:c>
      <x:c r="B682" s="136" t="str">
        <x:v>Spawn | USA Spawnpoint_HC_Base_USA_16thCT [map-31/001]</x:v>
      </x:c>
      <x:c r="C682" s="136" t="str">
        <x:v>spawn</x:v>
      </x:c>
      <x:c r="D682" s="136" t="str">
        <x:v>USA</x:v>
      </x:c>
      <x:c r="E682" s="136" t="str">
        <x:v>Spawnpoint_HC_Base_USA_16thCT</x:v>
      </x:c>
      <x:c r="F682" s="137" t="n">
        <x:v>704.7974853515625</x:v>
      </x:c>
      <x:c r="G682" s="137" t="n">
        <x:v>1308.75439453125</x:v>
      </x:c>
      <x:c r="H682" s="137" t="n">
        <x:v>57.22919845581055</x:v>
      </x:c>
      <x:c r="I682" s="137" t="n">
        <x:v>1319.7651344414805</x:v>
      </x:c>
      <x:c r="J682" s="137" t="n">
        <x:v>502.49439500173946</x:v>
      </x:c>
      <x:c r="K682" s="136" t="str">
        <x:v>map-31</x:v>
      </x:c>
      <x:c r="L682" s="136" t="str">
        <x:v>Antietam | Skirmish | Hill's Counterattack||Spawn | USA Spawnpoint_HC_Base_USA_16thCT [map-31/001]</x:v>
      </x:c>
      <x:c r="M682" s="35"/>
      <x:c r="N682" s="35"/>
      <x:c r="O682" s="35"/>
      <x:c r="P682" s="35"/>
      <x:c r="Q682" s="35"/>
      <x:c r="R682" s="35"/>
      <x:c r="S682" s="35"/>
      <x:c r="T682" s="35"/>
      <x:c r="U682" s="35"/>
      <x:c r="V682" s="35"/>
      <x:c r="W682" s="35"/>
      <x:c r="X682" s="35"/>
      <x:c r="Y682" s="35"/>
      <x:c r="Z682" s="35"/>
      <x:c r="AA682" s="35"/>
    </x:row>
    <x:row r="683">
      <x:c r="A683" s="136" t="str">
        <x:v>Antietam | Skirmish | Hill's Counterattack</x:v>
      </x:c>
      <x:c r="B683" s="136" t="str">
        <x:v>Spawn | USA Spawnpoint_HC_Defend_USA_4thRI [map-31/002]</x:v>
      </x:c>
      <x:c r="C683" s="136" t="str">
        <x:v>spawn</x:v>
      </x:c>
      <x:c r="D683" s="136" t="str">
        <x:v>USA</x:v>
      </x:c>
      <x:c r="E683" s="136" t="str">
        <x:v>Spawnpoint_HC_Defend_USA_4thRI</x:v>
      </x:c>
      <x:c r="F683" s="137" t="n">
        <x:v>542.525146484375</x:v>
      </x:c>
      <x:c r="G683" s="137" t="n">
        <x:v>1326.8360595703125</x:v>
      </x:c>
      <x:c r="H683" s="137" t="n">
        <x:v>53.210906982421875</x:v>
      </x:c>
      <x:c r="I683" s="137" t="n">
        <x:v>999.761005096078</x:v>
      </x:c>
      <x:c r="J683" s="137" t="n">
        <x:v>841.223830073669</x:v>
      </x:c>
      <x:c r="K683" s="136" t="str">
        <x:v>map-31</x:v>
      </x:c>
      <x:c r="L683" s="136" t="str">
        <x:v>Antietam | Skirmish | Hill's Counterattack||Spawn | USA Spawnpoint_HC_Defend_USA_4thRI [map-31/002]</x:v>
      </x:c>
      <x:c r="M683" s="35"/>
      <x:c r="N683" s="35"/>
      <x:c r="O683" s="35"/>
      <x:c r="P683" s="35"/>
      <x:c r="Q683" s="35"/>
      <x:c r="R683" s="35"/>
      <x:c r="S683" s="35"/>
      <x:c r="T683" s="35"/>
      <x:c r="U683" s="35"/>
      <x:c r="V683" s="35"/>
      <x:c r="W683" s="35"/>
      <x:c r="X683" s="35"/>
      <x:c r="Y683" s="35"/>
      <x:c r="Z683" s="35"/>
      <x:c r="AA683" s="35"/>
    </x:row>
    <x:row r="684">
      <x:c r="A684" s="136" t="str">
        <x:v>Antietam | Skirmish | Hill's Counterattack</x:v>
      </x:c>
      <x:c r="B684" s="136" t="str">
        <x:v>Spawn | USA Spawnpoint_HC_Base_USA_4thRI [map-31/003]</x:v>
      </x:c>
      <x:c r="C684" s="136" t="str">
        <x:v>spawn</x:v>
      </x:c>
      <x:c r="D684" s="136" t="str">
        <x:v>USA</x:v>
      </x:c>
      <x:c r="E684" s="136" t="str">
        <x:v>Spawnpoint_HC_Base_USA_4thRI</x:v>
      </x:c>
      <x:c r="F684" s="137" t="n">
        <x:v>705.3475341796875</x:v>
      </x:c>
      <x:c r="G684" s="137" t="n">
        <x:v>1297.9169921875</x:v>
      </x:c>
      <x:c r="H684" s="137" t="n">
        <x:v>55.80833435058594</x:v>
      </x:c>
      <x:c r="I684" s="137" t="n">
        <x:v>1345.4070532256833</x:v>
      </x:c>
      <x:c r="J684" s="137" t="n">
        <x:v>519.8605536817868</x:v>
      </x:c>
      <x:c r="K684" s="136" t="str">
        <x:v>map-31</x:v>
      </x:c>
      <x:c r="L684" s="136" t="str">
        <x:v>Antietam | Skirmish | Hill's Counterattack||Spawn | USA Spawnpoint_HC_Base_USA_4thRI [map-31/003]</x:v>
      </x:c>
      <x:c r="M684" s="35"/>
      <x:c r="N684" s="35"/>
      <x:c r="O684" s="35"/>
      <x:c r="P684" s="35"/>
      <x:c r="Q684" s="35"/>
      <x:c r="R684" s="35"/>
      <x:c r="S684" s="35"/>
      <x:c r="T684" s="35"/>
      <x:c r="U684" s="35"/>
      <x:c r="V684" s="35"/>
      <x:c r="W684" s="35"/>
      <x:c r="X684" s="35"/>
      <x:c r="Y684" s="35"/>
      <x:c r="Z684" s="35"/>
      <x:c r="AA684" s="35"/>
    </x:row>
    <x:row r="685">
      <x:c r="A685" s="136" t="str">
        <x:v>Antietam | Skirmish | Hill's Counterattack</x:v>
      </x:c>
      <x:c r="B685" s="136" t="str">
        <x:v>Spawn | USA Spawnpoint_HC_Defend_USA_16thCT [map-31/004]</x:v>
      </x:c>
      <x:c r="C685" s="136" t="str">
        <x:v>spawn</x:v>
      </x:c>
      <x:c r="D685" s="136" t="str">
        <x:v>USA</x:v>
      </x:c>
      <x:c r="E685" s="136" t="str">
        <x:v>Spawnpoint_HC_Defend_USA_16thCT</x:v>
      </x:c>
      <x:c r="F685" s="137" t="n">
        <x:v>552.57763671875</x:v>
      </x:c>
      <x:c r="G685" s="137" t="n">
        <x:v>1323.20703125</x:v>
      </x:c>
      <x:c r="H685" s="137" t="n">
        <x:v>52.696990966796875</x:v>
      </x:c>
      <x:c r="I685" s="137" t="n">
        <x:v>1025.3021307156607</x:v>
      </x:c>
      <x:c r="J685" s="137" t="n">
        <x:v>824.5506472798174</x:v>
      </x:c>
      <x:c r="K685" s="136" t="str">
        <x:v>map-31</x:v>
      </x:c>
      <x:c r="L685" s="136" t="str">
        <x:v>Antietam | Skirmish | Hill's Counterattack||Spawn | USA Spawnpoint_HC_Defend_USA_16thCT [map-31/004]</x:v>
      </x:c>
      <x:c r="M685" s="35"/>
      <x:c r="N685" s="35"/>
      <x:c r="O685" s="35"/>
      <x:c r="P685" s="35"/>
      <x:c r="Q685" s="35"/>
      <x:c r="R685" s="35"/>
      <x:c r="S685" s="35"/>
      <x:c r="T685" s="35"/>
      <x:c r="U685" s="35"/>
      <x:c r="V685" s="35"/>
      <x:c r="W685" s="35"/>
      <x:c r="X685" s="35"/>
      <x:c r="Y685" s="35"/>
      <x:c r="Z685" s="35"/>
      <x:c r="AA685" s="35"/>
    </x:row>
    <x:row r="686">
      <x:c r="A686" s="136" t="str">
        <x:v>Antietam | Skirmish | Hill's Counterattack</x:v>
      </x:c>
      <x:c r="B686" s="136" t="str">
        <x:v>Spawn | USA Spawnpoint_HC_Defend_USA_16thCT-2 [map-31/005]</x:v>
      </x:c>
      <x:c r="C686" s="136" t="str">
        <x:v>spawn</x:v>
      </x:c>
      <x:c r="D686" s="136" t="str">
        <x:v>USA</x:v>
      </x:c>
      <x:c r="E686" s="136" t="str">
        <x:v>Spawnpoint_HC_Defend_USA_16thCT-2</x:v>
      </x:c>
      <x:c r="F686" s="137" t="n">
        <x:v>562.2420043945312</x:v>
      </x:c>
      <x:c r="G686" s="137" t="n">
        <x:v>1318.8907470703125</x:v>
      </x:c>
      <x:c r="H686" s="137" t="n">
        <x:v>52.23325729370117</x:v>
      </x:c>
      <x:c r="I686" s="137" t="n">
        <x:v>1051.742584040504</x:v>
      </x:c>
      <x:c r="J686" s="137" t="n">
        <x:v>809.942708063156</x:v>
      </x:c>
      <x:c r="K686" s="136" t="str">
        <x:v>map-31</x:v>
      </x:c>
      <x:c r="L686" s="136" t="str">
        <x:v>Antietam | Skirmish | Hill's Counterattack||Spawn | USA Spawnpoint_HC_Defend_USA_16thCT-2 [map-31/005]</x:v>
      </x:c>
      <x:c r="M686" s="35"/>
      <x:c r="N686" s="35"/>
      <x:c r="O686" s="35"/>
      <x:c r="P686" s="35"/>
      <x:c r="Q686" s="35"/>
      <x:c r="R686" s="35"/>
      <x:c r="S686" s="35"/>
      <x:c r="T686" s="35"/>
      <x:c r="U686" s="35"/>
      <x:c r="V686" s="35"/>
      <x:c r="W686" s="35"/>
      <x:c r="X686" s="35"/>
      <x:c r="Y686" s="35"/>
      <x:c r="Z686" s="35"/>
      <x:c r="AA686" s="35"/>
    </x:row>
    <x:row r="687">
      <x:c r="A687" s="136" t="str">
        <x:v>Antietam | Skirmish | Hill's Counterattack</x:v>
      </x:c>
      <x:c r="B687" s="136" t="str">
        <x:v>Spawn | CSA Spawnpoint_HC_Base_CSA_12thSC-2 [map-31/006]</x:v>
      </x:c>
      <x:c r="C687" s="136" t="str">
        <x:v>spawn</x:v>
      </x:c>
      <x:c r="D687" s="136" t="str">
        <x:v>CSA</x:v>
      </x:c>
      <x:c r="E687" s="136" t="str">
        <x:v>Spawnpoint_HC_Base_CSA_12thSC-2</x:v>
      </x:c>
      <x:c r="F687" s="137" t="n">
        <x:v>297.6585998535156</x:v>
      </x:c>
      <x:c r="G687" s="137" t="n">
        <x:v>1274.861083984375</x:v>
      </x:c>
      <x:c r="H687" s="137" t="n">
        <x:v>54.14521408081055</x:v>
      </x:c>
      <x:c r="I687" s="137" t="n">
        <x:v>697.5015610655527</x:v>
      </x:c>
      <x:c r="J687" s="137" t="n">
        <x:v>1488.5372820985165</x:v>
      </x:c>
      <x:c r="K687" s="136" t="str">
        <x:v>map-31</x:v>
      </x:c>
      <x:c r="L687" s="136" t="str">
        <x:v>Antietam | Skirmish | Hill's Counterattack||Spawn | CSA Spawnpoint_HC_Base_CSA_12thSC-2 [map-31/006]</x:v>
      </x:c>
      <x:c r="M687" s="35"/>
      <x:c r="N687" s="35"/>
      <x:c r="O687" s="35"/>
      <x:c r="P687" s="35"/>
      <x:c r="Q687" s="35"/>
      <x:c r="R687" s="35"/>
      <x:c r="S687" s="35"/>
      <x:c r="T687" s="35"/>
      <x:c r="U687" s="35"/>
      <x:c r="V687" s="35"/>
      <x:c r="W687" s="35"/>
      <x:c r="X687" s="35"/>
      <x:c r="Y687" s="35"/>
      <x:c r="Z687" s="35"/>
      <x:c r="AA687" s="35"/>
    </x:row>
    <x:row r="688">
      <x:c r="A688" s="136" t="str">
        <x:v>Antietam | Skirmish | Hill's Counterattack</x:v>
      </x:c>
      <x:c r="B688" s="136" t="str">
        <x:v>Spawn | CSA Spawnpoint_HC_Base_CSA_SSPM [map-31/007]</x:v>
      </x:c>
      <x:c r="C688" s="136" t="str">
        <x:v>spawn</x:v>
      </x:c>
      <x:c r="D688" s="136" t="str">
        <x:v>CSA</x:v>
      </x:c>
      <x:c r="E688" s="136" t="str">
        <x:v>Spawnpoint_HC_Base_CSA_SSPM</x:v>
      </x:c>
      <x:c r="F688" s="137" t="n">
        <x:v>278.0489501953125</x:v>
      </x:c>
      <x:c r="G688" s="137" t="n">
        <x:v>1262.5213623046875</x:v>
      </x:c>
      <x:c r="H688" s="137" t="n">
        <x:v>54.148136138916016</x:v>
      </x:c>
      <x:c r="I688" s="137" t="n">
        <x:v>691.930857979625</x:v>
      </x:c>
      <x:c r="J688" s="137" t="n">
        <x:v>1554.4256220646841</x:v>
      </x:c>
      <x:c r="K688" s="136" t="str">
        <x:v>map-31</x:v>
      </x:c>
      <x:c r="L688" s="136" t="str">
        <x:v>Antietam | Skirmish | Hill's Counterattack||Spawn | CSA Spawnpoint_HC_Base_CSA_SSPM [map-31/007]</x:v>
      </x:c>
      <x:c r="M688" s="35"/>
      <x:c r="N688" s="35"/>
      <x:c r="O688" s="35"/>
      <x:c r="P688" s="35"/>
      <x:c r="Q688" s="35"/>
      <x:c r="R688" s="35"/>
      <x:c r="S688" s="35"/>
      <x:c r="T688" s="35"/>
      <x:c r="U688" s="35"/>
      <x:c r="V688" s="35"/>
      <x:c r="W688" s="35"/>
      <x:c r="X688" s="35"/>
      <x:c r="Y688" s="35"/>
      <x:c r="Z688" s="35"/>
      <x:c r="AA688" s="35"/>
    </x:row>
    <x:row r="689">
      <x:c r="A689" s="136" t="str">
        <x:v>Antietam | Skirmish | Hill's Counterattack</x:v>
      </x:c>
      <x:c r="B689" s="136" t="str">
        <x:v>Spawn | CSA Spawnpoint_HC_Base_CSA_12thSC [map-31/008]</x:v>
      </x:c>
      <x:c r="C689" s="136" t="str">
        <x:v>spawn</x:v>
      </x:c>
      <x:c r="D689" s="136" t="str">
        <x:v>CSA</x:v>
      </x:c>
      <x:c r="E689" s="136" t="str">
        <x:v>Spawnpoint_HC_Base_CSA_12thSC</x:v>
      </x:c>
      <x:c r="F689" s="137" t="n">
        <x:v>277.0910949707031</x:v>
      </x:c>
      <x:c r="G689" s="137" t="n">
        <x:v>1273.353515625</x:v>
      </x:c>
      <x:c r="H689" s="137" t="n">
        <x:v>55.14850997924805</x:v>
      </x:c>
      <x:c r="I689" s="137" t="n">
        <x:v>665.6002525572055</x:v>
      </x:c>
      <x:c r="J689" s="137" t="n">
        <x:v>1537.9978139479365</x:v>
      </x:c>
      <x:c r="K689" s="136" t="str">
        <x:v>map-31</x:v>
      </x:c>
      <x:c r="L689" s="136" t="str">
        <x:v>Antietam | Skirmish | Hill's Counterattack||Spawn | CSA Spawnpoint_HC_Base_CSA_12thSC [map-31/008]</x:v>
      </x:c>
      <x:c r="M689" s="35"/>
      <x:c r="N689" s="35"/>
      <x:c r="O689" s="35"/>
      <x:c r="P689" s="35"/>
      <x:c r="Q689" s="35"/>
      <x:c r="R689" s="35"/>
      <x:c r="S689" s="35"/>
      <x:c r="T689" s="35"/>
      <x:c r="U689" s="35"/>
      <x:c r="V689" s="35"/>
      <x:c r="W689" s="35"/>
      <x:c r="X689" s="35"/>
      <x:c r="Y689" s="35"/>
      <x:c r="Z689" s="35"/>
      <x:c r="AA689" s="35"/>
    </x:row>
    <x:row r="690">
      <x:c r="A690" s="136" t="str">
        <x:v>Antietam | Skirmish | Hill's Counterattack</x:v>
      </x:c>
      <x:c r="B690" s="136" t="str">
        <x:v>Spawn | USA Spawnpoint_HC_Base_USA_16thCT-2 [map-31/009]</x:v>
      </x:c>
      <x:c r="C690" s="136" t="str">
        <x:v>spawn</x:v>
      </x:c>
      <x:c r="D690" s="136" t="str">
        <x:v>USA</x:v>
      </x:c>
      <x:c r="E690" s="136" t="str">
        <x:v>Spawnpoint_HC_Base_USA_16thCT-2</x:v>
      </x:c>
      <x:c r="F690" s="137" t="n">
        <x:v>724.5715942382812</x:v>
      </x:c>
      <x:c r="G690" s="137" t="n">
        <x:v>1309.005126953125</x:v>
      </x:c>
      <x:c r="H690" s="137" t="n">
        <x:v>57.73310089111328</x:v>
      </x:c>
      <x:c r="I690" s="137" t="n">
        <x:v>1353.1674653723846</x:v>
      </x:c>
      <x:c r="J690" s="137" t="n">
        <x:v>457.0012570241793</x:v>
      </x:c>
      <x:c r="K690" s="136" t="str">
        <x:v>map-31</x:v>
      </x:c>
      <x:c r="L690" s="136" t="str">
        <x:v>Antietam | Skirmish | Hill's Counterattack||Spawn | USA Spawnpoint_HC_Base_USA_16thCT-2 [map-31/009]</x:v>
      </x:c>
      <x:c r="M690" s="35"/>
      <x:c r="N690" s="35"/>
      <x:c r="O690" s="35"/>
      <x:c r="P690" s="35"/>
      <x:c r="Q690" s="35"/>
      <x:c r="R690" s="35"/>
      <x:c r="S690" s="35"/>
      <x:c r="T690" s="35"/>
      <x:c r="U690" s="35"/>
      <x:c r="V690" s="35"/>
      <x:c r="W690" s="35"/>
      <x:c r="X690" s="35"/>
      <x:c r="Y690" s="35"/>
      <x:c r="Z690" s="35"/>
      <x:c r="AA690" s="35"/>
    </x:row>
    <x:row r="691">
      <x:c r="A691" s="136" t="str">
        <x:v>Antietam | Skirmish | Hill's Counterattack</x:v>
      </x:c>
      <x:c r="B691" s="136" t="str">
        <x:v>Artillery | CSA Spawnpoint_HC_CSA_Arty_Base [map-31/010]</x:v>
      </x:c>
      <x:c r="C691" s="136" t="str">
        <x:v>battery</x:v>
      </x:c>
      <x:c r="D691" s="136" t="str">
        <x:v>CSA</x:v>
      </x:c>
      <x:c r="E691" s="136" t="str">
        <x:v>Spawnpoint_HC_CSA_Arty_Base</x:v>
      </x:c>
      <x:c r="F691" s="137" t="n">
        <x:v>262.524169921875</x:v>
      </x:c>
      <x:c r="G691" s="137" t="n">
        <x:v>1267.100830078125</x:v>
      </x:c>
      <x:c r="H691" s="137" t="n">
        <x:v>55.394351959228516</x:v>
      </x:c>
      <x:c r="I691" s="137" t="n">
        <x:v>654.8219261606591</x:v>
      </x:c>
      <x:c r="J691" s="137" t="n">
        <x:v>1581.93642741947</x:v>
      </x:c>
      <x:c r="K691" s="136" t="str">
        <x:v>map-31</x:v>
      </x:c>
      <x:c r="L691" s="136" t="str">
        <x:v>Antietam | Skirmish | Hill's Counterattack||Artillery | CSA Spawnpoint_HC_CSA_Arty_Base [map-31/010]</x:v>
      </x:c>
      <x:c r="M691" s="35"/>
      <x:c r="N691" s="35"/>
      <x:c r="O691" s="35"/>
      <x:c r="P691" s="35"/>
      <x:c r="Q691" s="35"/>
      <x:c r="R691" s="35"/>
      <x:c r="S691" s="35"/>
      <x:c r="T691" s="35"/>
      <x:c r="U691" s="35"/>
      <x:c r="V691" s="35"/>
      <x:c r="W691" s="35"/>
      <x:c r="X691" s="35"/>
      <x:c r="Y691" s="35"/>
      <x:c r="Z691" s="35"/>
      <x:c r="AA691" s="35"/>
    </x:row>
    <x:row r="692">
      <x:c r="A692" s="136" t="str">
        <x:v>Antietam | Skirmish | Hill's Counterattack</x:v>
      </x:c>
      <x:c r="B692" s="136" t="str">
        <x:v>Spawn | USA Spawnpoint_HC_Defend_USA_4thRI-2 [map-31/011]</x:v>
      </x:c>
      <x:c r="C692" s="136" t="str">
        <x:v>spawn</x:v>
      </x:c>
      <x:c r="D692" s="136" t="str">
        <x:v>USA</x:v>
      </x:c>
      <x:c r="E692" s="136" t="str">
        <x:v>Spawnpoint_HC_Defend_USA_4thRI-2</x:v>
      </x:c>
      <x:c r="F692" s="137" t="n">
        <x:v>532.9675903320312</x:v>
      </x:c>
      <x:c r="G692" s="137" t="n">
        <x:v>1329.801025390625</x:v>
      </x:c>
      <x:c r="H692" s="137" t="n">
        <x:v>53.28172302246094</x:v>
      </x:c>
      <x:c r="I692" s="137" t="n">
        <x:v>976.5835243153261</x:v>
      </x:c>
      <x:c r="J692" s="137" t="n">
        <x:v>857.910048766965</x:v>
      </x:c>
      <x:c r="K692" s="136" t="str">
        <x:v>map-31</x:v>
      </x:c>
      <x:c r="L692" s="136" t="str">
        <x:v>Antietam | Skirmish | Hill's Counterattack||Spawn | USA Spawnpoint_HC_Defend_USA_4thRI-2 [map-31/011]</x:v>
      </x:c>
      <x:c r="M692" s="35"/>
      <x:c r="N692" s="35"/>
      <x:c r="O692" s="35"/>
      <x:c r="P692" s="35"/>
      <x:c r="Q692" s="35"/>
      <x:c r="R692" s="35"/>
      <x:c r="S692" s="35"/>
      <x:c r="T692" s="35"/>
      <x:c r="U692" s="35"/>
      <x:c r="V692" s="35"/>
      <x:c r="W692" s="35"/>
      <x:c r="X692" s="35"/>
      <x:c r="Y692" s="35"/>
      <x:c r="Z692" s="35"/>
      <x:c r="AA692" s="35"/>
    </x:row>
    <x:row r="693">
      <x:c r="A693" s="136" t="str">
        <x:v>Antietam | Skirmish | Hill's Counterattack</x:v>
      </x:c>
      <x:c r="B693" s="136" t="str">
        <x:v>Artillery | CSA Spawnpoint_HC_CSA_Arty_Brown_Forward [map-31/012]</x:v>
      </x:c>
      <x:c r="C693" s="136" t="str">
        <x:v>battery</x:v>
      </x:c>
      <x:c r="D693" s="136" t="str">
        <x:v>CSA</x:v>
      </x:c>
      <x:c r="E693" s="136" t="str">
        <x:v>Spawnpoint_HC_CSA_Arty_Brown_Forward</x:v>
      </x:c>
      <x:c r="F693" s="137" t="n">
        <x:v>257.4324035644531</x:v>
      </x:c>
      <x:c r="G693" s="137" t="n">
        <x:v>1232.3470458984375</x:v>
      </x:c>
      <x:c r="H693" s="137" t="n">
        <x:v>53.233482360839844</x:v>
      </x:c>
      <x:c r="I693" s="137" t="n">
        <x:v>725.2726969201173</x:v>
      </x:c>
      <x:c r="J693" s="137" t="n">
        <x:v>1653.2499885095194</x:v>
      </x:c>
      <x:c r="K693" s="136" t="str">
        <x:v>map-31</x:v>
      </x:c>
      <x:c r="L693" s="136" t="str">
        <x:v>Antietam | Skirmish | Hill's Counterattack||Artillery | CSA Spawnpoint_HC_CSA_Arty_Brown_Forward [map-31/012]</x:v>
      </x:c>
      <x:c r="M693" s="35"/>
      <x:c r="N693" s="35"/>
      <x:c r="O693" s="35"/>
      <x:c r="P693" s="35"/>
      <x:c r="Q693" s="35"/>
      <x:c r="R693" s="35"/>
      <x:c r="S693" s="35"/>
      <x:c r="T693" s="35"/>
      <x:c r="U693" s="35"/>
      <x:c r="V693" s="35"/>
      <x:c r="W693" s="35"/>
      <x:c r="X693" s="35"/>
      <x:c r="Y693" s="35"/>
      <x:c r="Z693" s="35"/>
      <x:c r="AA693" s="35"/>
    </x:row>
    <x:row r="694">
      <x:c r="A694" s="136" t="str">
        <x:v>Antietam | Skirmish | Hill's Counterattack</x:v>
      </x:c>
      <x:c r="B694" s="136" t="str">
        <x:v>Spawn | USA Spawnpoint_HC_Base_USA_4thRI-2 [map-31/013]</x:v>
      </x:c>
      <x:c r="C694" s="136" t="str">
        <x:v>spawn</x:v>
      </x:c>
      <x:c r="D694" s="136" t="str">
        <x:v>USA</x:v>
      </x:c>
      <x:c r="E694" s="136" t="str">
        <x:v>Spawnpoint_HC_Base_USA_4thRI-2</x:v>
      </x:c>
      <x:c r="F694" s="137" t="n">
        <x:v>724.736572265625</x:v>
      </x:c>
      <x:c r="G694" s="137" t="n">
        <x:v>1298.1998291015625</x:v>
      </x:c>
      <x:c r="H694" s="137" t="n">
        <x:v>56.24877166748047</x:v>
      </x:c>
      <x:c r="I694" s="137" t="n">
        <x:v>1378.0746360331711</x:v>
      </x:c>
      <x:c r="J694" s="137" t="n">
        <x:v>475.18977837631274</x:v>
      </x:c>
      <x:c r="K694" s="136" t="str">
        <x:v>map-31</x:v>
      </x:c>
      <x:c r="L694" s="136" t="str">
        <x:v>Antietam | Skirmish | Hill's Counterattack||Spawn | USA Spawnpoint_HC_Base_USA_4thRI-2 [map-31/013]</x:v>
      </x:c>
      <x:c r="M694" s="35"/>
      <x:c r="N694" s="35"/>
      <x:c r="O694" s="35"/>
      <x:c r="P694" s="35"/>
      <x:c r="Q694" s="35"/>
      <x:c r="R694" s="35"/>
      <x:c r="S694" s="35"/>
      <x:c r="T694" s="35"/>
      <x:c r="U694" s="35"/>
      <x:c r="V694" s="35"/>
      <x:c r="W694" s="35"/>
      <x:c r="X694" s="35"/>
      <x:c r="Y694" s="35"/>
      <x:c r="Z694" s="35"/>
      <x:c r="AA694" s="35"/>
    </x:row>
    <x:row r="695">
      <x:c r="A695" s="136" t="str">
        <x:v>Antietam | Skirmish | Hill's Counterattack</x:v>
      </x:c>
      <x:c r="B695" s="136" t="str">
        <x:v>Objective | Victory_Hills_Counterattack [map-31/014]</x:v>
      </x:c>
      <x:c r="C695" s="136" t="str">
        <x:v>objective</x:v>
      </x:c>
      <x:c r="D695" s="136" t="str"/>
      <x:c r="E695" s="136" t="str">
        <x:v>Victory_Hills_Counterattack</x:v>
      </x:c>
      <x:c r="F695" s="137" t="n">
        <x:v>530.19482421875</x:v>
      </x:c>
      <x:c r="G695" s="137" t="n">
        <x:v>1316.816162109375</x:v>
      </x:c>
      <x:c r="H695" s="137" t="n">
        <x:v>52.45804214477539</x:v>
      </x:c>
      <x:c r="I695" s="137" t="n">
        <x:v>1001.4103007414302</x:v>
      </x:c>
      <x:c r="J695" s="137" t="n">
        <x:v>886.5379587682465</x:v>
      </x:c>
      <x:c r="K695" s="136" t="str">
        <x:v>map-31</x:v>
      </x:c>
      <x:c r="L695" s="136" t="str">
        <x:v>Antietam | Skirmish | Hill's Counterattack||Objective | Victory_Hills_Counterattack [map-31/014]</x:v>
      </x:c>
      <x:c r="M695" s="35"/>
      <x:c r="N695" s="35"/>
      <x:c r="O695" s="35"/>
      <x:c r="P695" s="35"/>
      <x:c r="Q695" s="35"/>
      <x:c r="R695" s="35"/>
      <x:c r="S695" s="35"/>
      <x:c r="T695" s="35"/>
      <x:c r="U695" s="35"/>
      <x:c r="V695" s="35"/>
      <x:c r="W695" s="35"/>
      <x:c r="X695" s="35"/>
      <x:c r="Y695" s="35"/>
      <x:c r="Z695" s="35"/>
      <x:c r="AA695" s="35"/>
    </x:row>
    <x:row r="696">
      <x:c r="A696" s="136" t="str">
        <x:v>Antietam | Skirmish | Hill's Counterattack</x:v>
      </x:c>
      <x:c r="B696" s="136" t="str">
        <x:v>Artillery | CSA Spawnpoint_HC_CSA_Arty_Reily_Forward [map-31/015]</x:v>
      </x:c>
      <x:c r="C696" s="136" t="str">
        <x:v>battery</x:v>
      </x:c>
      <x:c r="D696" s="136" t="str">
        <x:v>CSA</x:v>
      </x:c>
      <x:c r="E696" s="136" t="str">
        <x:v>Spawnpoint_HC_CSA_Arty_Reily_Forward</x:v>
      </x:c>
      <x:c r="F696" s="137" t="n">
        <x:v>256.0787048339844</x:v>
      </x:c>
      <x:c r="G696" s="137" t="n">
        <x:v>1292.83837890625</x:v>
      </x:c>
      <x:c r="H696" s="137" t="n">
        <x:v>56.50065612792969</x:v>
      </x:c>
      <x:c r="I696" s="137" t="n">
        <x:v>585.0958511326</x:v>
      </x:c>
      <x:c r="J696" s="137" t="n">
        <x:v>1552.405272223586</x:v>
      </x:c>
      <x:c r="K696" s="136" t="str">
        <x:v>map-31</x:v>
      </x:c>
      <x:c r="L696" s="136" t="str">
        <x:v>Antietam | Skirmish | Hill's Counterattack||Artillery | CSA Spawnpoint_HC_CSA_Arty_Reily_Forward [map-31/015]</x:v>
      </x:c>
      <x:c r="M696" s="35"/>
      <x:c r="N696" s="35"/>
      <x:c r="O696" s="35"/>
      <x:c r="P696" s="35"/>
      <x:c r="Q696" s="35"/>
      <x:c r="R696" s="35"/>
      <x:c r="S696" s="35"/>
      <x:c r="T696" s="35"/>
      <x:c r="U696" s="35"/>
      <x:c r="V696" s="35"/>
      <x:c r="W696" s="35"/>
      <x:c r="X696" s="35"/>
      <x:c r="Y696" s="35"/>
      <x:c r="Z696" s="35"/>
      <x:c r="AA696" s="35"/>
    </x:row>
    <x:row r="697">
      <x:c r="A697" s="136" t="str">
        <x:v>Antietam | Skirmish | Hill's Counterattack</x:v>
      </x:c>
      <x:c r="B697" s="136" t="str">
        <x:v>Spawn | CSA Spawnpoint_HC_Base_CSA_SSPM-2 [map-31/016]</x:v>
      </x:c>
      <x:c r="C697" s="136" t="str">
        <x:v>spawn</x:v>
      </x:c>
      <x:c r="D697" s="136" t="str">
        <x:v>CSA</x:v>
      </x:c>
      <x:c r="E697" s="136" t="str">
        <x:v>Spawnpoint_HC_Base_CSA_SSPM-2</x:v>
      </x:c>
      <x:c r="F697" s="137" t="n">
        <x:v>297.256591796875</x:v>
      </x:c>
      <x:c r="G697" s="137" t="n">
        <x:v>1263.936279296875</x:v>
      </x:c>
      <x:c r="H697" s="137" t="n">
        <x:v>53.022254943847656</x:v>
      </x:c>
      <x:c r="I697" s="137" t="n">
        <x:v>721.7069370954954</x:v>
      </x:c>
      <x:c r="J697" s="137" t="n">
        <x:v>1508.2232069763777</x:v>
      </x:c>
      <x:c r="K697" s="136" t="str">
        <x:v>map-31</x:v>
      </x:c>
      <x:c r="L697" s="136" t="str">
        <x:v>Antietam | Skirmish | Hill's Counterattack||Spawn | CSA Spawnpoint_HC_Base_CSA_SSPM-2 [map-31/016]</x:v>
      </x:c>
      <x:c r="M697" s="35"/>
      <x:c r="N697" s="35"/>
      <x:c r="O697" s="35"/>
      <x:c r="P697" s="35"/>
      <x:c r="Q697" s="35"/>
      <x:c r="R697" s="35"/>
      <x:c r="S697" s="35"/>
      <x:c r="T697" s="35"/>
      <x:c r="U697" s="35"/>
      <x:c r="V697" s="35"/>
      <x:c r="W697" s="35"/>
      <x:c r="X697" s="35"/>
      <x:c r="Y697" s="35"/>
      <x:c r="Z697" s="35"/>
      <x:c r="AA697" s="35"/>
    </x:row>
    <x:row r="698">
      <x:c r="A698" s="136" t="str">
        <x:v>Antietam | Skirmish | Hill's Counterattack</x:v>
      </x:c>
      <x:c r="B698" s="136" t="str">
        <x:v>Gun | 12-pounder Napoleon (USA) · Entity-1160 [map-31/017]</x:v>
      </x:c>
      <x:c r="C698" s="136" t="str">
        <x:v>gun_spawn</x:v>
      </x:c>
      <x:c r="D698" s="136" t="str"/>
      <x:c r="E698" s="136" t="str">
        <x:v>12-pounder Napoleon (USA) · Entity-1160</x:v>
      </x:c>
      <x:c r="F698" s="137" t="n">
        <x:v>298.6400146484375</x:v>
      </x:c>
      <x:c r="G698" s="137" t="n">
        <x:v>1219.6800537109375</x:v>
      </x:c>
      <x:c r="H698" s="137" t="n">
        <x:v>50.53740692138672</x:v>
      </x:c>
      <x:c r="I698" s="137" t="n">
        <x:v>824.9373712597097</x:v>
      </x:c>
      <x:c r="J698" s="137" t="n">
        <x:v>1581.1067978948015</x:v>
      </x:c>
      <x:c r="K698" s="136" t="str">
        <x:v>map-31</x:v>
      </x:c>
      <x:c r="L698" s="136" t="str">
        <x:v>Antietam | Skirmish | Hill's Counterattack||Gun | 12-pounder Napoleon (USA) · Entity-1160 [map-31/017]</x:v>
      </x:c>
      <x:c r="M698" s="35"/>
      <x:c r="N698" s="35"/>
      <x:c r="O698" s="35"/>
      <x:c r="P698" s="35"/>
      <x:c r="Q698" s="35"/>
      <x:c r="R698" s="35"/>
      <x:c r="S698" s="35"/>
      <x:c r="T698" s="35"/>
      <x:c r="U698" s="35"/>
      <x:c r="V698" s="35"/>
      <x:c r="W698" s="35"/>
      <x:c r="X698" s="35"/>
      <x:c r="Y698" s="35"/>
      <x:c r="Z698" s="35"/>
      <x:c r="AA698" s="35"/>
    </x:row>
    <x:row r="699">
      <x:c r="A699" s="136" t="str">
        <x:v>Antietam | Skirmish | Hill's Counterattack</x:v>
      </x:c>
      <x:c r="B699" s="136" t="str">
        <x:v>Gun | 3-inch Ordnance · Entity-1161 [map-31/018]</x:v>
      </x:c>
      <x:c r="C699" s="136" t="str">
        <x:v>gun_spawn</x:v>
      </x:c>
      <x:c r="D699" s="136" t="str"/>
      <x:c r="E699" s="136" t="str">
        <x:v>3-inch Ordnance · Entity-1161</x:v>
      </x:c>
      <x:c r="F699" s="137" t="n">
        <x:v>301.1130065917969</x:v>
      </x:c>
      <x:c r="G699" s="137" t="n">
        <x:v>1301.5</x:v>
      </x:c>
      <x:c r="H699" s="137" t="n">
        <x:v>55.71451187133789</x:v>
      </x:c>
      <x:c r="I699" s="137" t="n">
        <x:v>642.7302780470943</x:v>
      </x:c>
      <x:c r="J699" s="137" t="n">
        <x:v>1434.8971088150297</x:v>
      </x:c>
      <x:c r="K699" s="136" t="str">
        <x:v>map-31</x:v>
      </x:c>
      <x:c r="L699" s="136" t="str">
        <x:v>Antietam | Skirmish | Hill's Counterattack||Gun | 3-inch Ordnance · Entity-1161 [map-31/018]</x:v>
      </x:c>
      <x:c r="M699" s="35"/>
      <x:c r="N699" s="35"/>
      <x:c r="O699" s="35"/>
      <x:c r="P699" s="35"/>
      <x:c r="Q699" s="35"/>
      <x:c r="R699" s="35"/>
      <x:c r="S699" s="35"/>
      <x:c r="T699" s="35"/>
      <x:c r="U699" s="35"/>
      <x:c r="V699" s="35"/>
      <x:c r="W699" s="35"/>
      <x:c r="X699" s="35"/>
      <x:c r="Y699" s="35"/>
      <x:c r="Z699" s="35"/>
      <x:c r="AA699" s="35"/>
    </x:row>
    <x:row r="700">
      <x:c r="A700" s="136" t="str">
        <x:v>Antietam | Skirmish | Hill's Counterattack</x:v>
      </x:c>
      <x:c r="B700" s="136" t="str">
        <x:v>Gun | 10-pounder Parrott · Entity-1164 [map-31/019]</x:v>
      </x:c>
      <x:c r="C700" s="136" t="str">
        <x:v>gun_spawn</x:v>
      </x:c>
      <x:c r="D700" s="136" t="str"/>
      <x:c r="E700" s="136" t="str">
        <x:v>10-pounder Parrott · Entity-1164</x:v>
      </x:c>
      <x:c r="F700" s="137" t="n">
        <x:v>298.91400146484375</x:v>
      </x:c>
      <x:c r="G700" s="137" t="n">
        <x:v>1245.050048828125</x:v>
      </x:c>
      <x:c r="H700" s="137" t="n">
        <x:v>51.545963287353516</x:v>
      </x:c>
      <x:c r="I700" s="137" t="n">
        <x:v>767.593526759252</x:v>
      </x:c>
      <x:c r="J700" s="137" t="n">
        <x:v>1536.8944665739734</x:v>
      </x:c>
      <x:c r="K700" s="136" t="str">
        <x:v>map-31</x:v>
      </x:c>
      <x:c r="L700" s="136" t="str">
        <x:v>Antietam | Skirmish | Hill's Counterattack||Gun | 10-pounder Parrott · Entity-1164 [map-31/019]</x:v>
      </x:c>
      <x:c r="M700" s="35"/>
      <x:c r="N700" s="35"/>
      <x:c r="O700" s="35"/>
      <x:c r="P700" s="35"/>
      <x:c r="Q700" s="35"/>
      <x:c r="R700" s="35"/>
      <x:c r="S700" s="35"/>
      <x:c r="T700" s="35"/>
      <x:c r="U700" s="35"/>
      <x:c r="V700" s="35"/>
      <x:c r="W700" s="35"/>
      <x:c r="X700" s="35"/>
      <x:c r="Y700" s="35"/>
      <x:c r="Z700" s="35"/>
      <x:c r="AA700" s="35"/>
    </x:row>
    <x:row r="701">
      <x:c r="A701" s="136" t="str">
        <x:v>Antietam | Skirmish | Hill's Counterattack</x:v>
      </x:c>
      <x:c r="B701" s="136" t="str">
        <x:v>Gun | 12-pounder Napoleon (CSA) · Entity-1165 [map-31/020]</x:v>
      </x:c>
      <x:c r="C701" s="136" t="str">
        <x:v>gun_spawn</x:v>
      </x:c>
      <x:c r="D701" s="136" t="str"/>
      <x:c r="E701" s="136" t="str">
        <x:v>12-pounder Napoleon (CSA) · Entity-1165</x:v>
      </x:c>
      <x:c r="F701" s="137" t="n">
        <x:v>298.59698486328125</x:v>
      </x:c>
      <x:c r="G701" s="137" t="n">
        <x:v>1229.6400146484375</x:v>
      </x:c>
      <x:c r="H701" s="137" t="n">
        <x:v>51.01168441772461</x:v>
      </x:c>
      <x:c r="I701" s="137" t="n">
        <x:v>802.1661202855096</x:v>
      </x:c>
      <x:c r="J701" s="137" t="n">
        <x:v>1564.0927395535002</x:v>
      </x:c>
      <x:c r="K701" s="136" t="str">
        <x:v>map-31</x:v>
      </x:c>
      <x:c r="L701" s="136" t="str">
        <x:v>Antietam | Skirmish | Hill's Counterattack||Gun | 12-pounder Napoleon (CSA) · Entity-1165 [map-31/020]</x:v>
      </x:c>
      <x:c r="M701" s="35"/>
      <x:c r="N701" s="35"/>
      <x:c r="O701" s="35"/>
      <x:c r="P701" s="35"/>
      <x:c r="Q701" s="35"/>
      <x:c r="R701" s="35"/>
      <x:c r="S701" s="35"/>
      <x:c r="T701" s="35"/>
      <x:c r="U701" s="35"/>
      <x:c r="V701" s="35"/>
      <x:c r="W701" s="35"/>
      <x:c r="X701" s="35"/>
      <x:c r="Y701" s="35"/>
      <x:c r="Z701" s="35"/>
      <x:c r="AA701" s="35"/>
    </x:row>
    <x:row r="702">
      <x:c r="A702" s="136" t="str">
        <x:v>Antietam | Skirmish | Hill's Counterattack</x:v>
      </x:c>
      <x:c r="B702" s="136" t="str">
        <x:v>Gun | 12-pounder Napoleon (USA) · Entity-1159 [map-31/021]</x:v>
      </x:c>
      <x:c r="C702" s="136" t="str">
        <x:v>gun_spawn</x:v>
      </x:c>
      <x:c r="D702" s="136" t="str"/>
      <x:c r="E702" s="136" t="str">
        <x:v>12-pounder Napoleon (USA) · Entity-1159</x:v>
      </x:c>
      <x:c r="F702" s="137" t="n">
        <x:v>300.8070068359375</x:v>
      </x:c>
      <x:c r="G702" s="137" t="n">
        <x:v>1294.22998046875</x:v>
      </x:c>
      <x:c r="H702" s="137" t="n">
        <x:v>55.49173355102539</x:v>
      </x:c>
      <x:c r="I702" s="137" t="n">
        <x:v>658.7718740797211</x:v>
      </x:c>
      <x:c r="J702" s="137" t="n">
        <x:v>1448.0849918740996</x:v>
      </x:c>
      <x:c r="K702" s="136" t="str">
        <x:v>map-31</x:v>
      </x:c>
      <x:c r="L702" s="136" t="str">
        <x:v>Antietam | Skirmish | Hill's Counterattack||Gun | 12-pounder Napoleon (USA) · Entity-1159 [map-31/021]</x:v>
      </x:c>
      <x:c r="M702" s="35"/>
      <x:c r="N702" s="35"/>
      <x:c r="O702" s="35"/>
      <x:c r="P702" s="35"/>
      <x:c r="Q702" s="35"/>
      <x:c r="R702" s="35"/>
      <x:c r="S702" s="35"/>
      <x:c r="T702" s="35"/>
      <x:c r="U702" s="35"/>
      <x:c r="V702" s="35"/>
      <x:c r="W702" s="35"/>
      <x:c r="X702" s="35"/>
      <x:c r="Y702" s="35"/>
      <x:c r="Z702" s="35"/>
      <x:c r="AA702" s="35"/>
    </x:row>
    <x:row r="703">
      <x:c r="A703" s="136" t="str">
        <x:v>Antietam | Skirmish | Hill's Counterattack</x:v>
      </x:c>
      <x:c r="B703" s="136" t="str">
        <x:v>Gun | 10-pounder Parrott · Entity-1166 [map-31/022]</x:v>
      </x:c>
      <x:c r="C703" s="136" t="str">
        <x:v>gun_spawn</x:v>
      </x:c>
      <x:c r="D703" s="136" t="str"/>
      <x:c r="E703" s="136" t="str">
        <x:v>10-pounder Parrott · Entity-1166</x:v>
      </x:c>
      <x:c r="F703" s="137" t="n">
        <x:v>299.02801513671875</x:v>
      </x:c>
      <x:c r="G703" s="137" t="n">
        <x:v>1238.1099853515625</x:v>
      </x:c>
      <x:c r="H703" s="137" t="n">
        <x:v>51.331756591796875</x:v>
      </x:c>
      <x:c r="I703" s="137" t="n">
        <x:v>783.6048214834644</x:v>
      </x:c>
      <x:c r="J703" s="137" t="n">
        <x:v>1548.5583048406957</x:v>
      </x:c>
      <x:c r="K703" s="136" t="str">
        <x:v>map-31</x:v>
      </x:c>
      <x:c r="L703" s="136" t="str">
        <x:v>Antietam | Skirmish | Hill's Counterattack||Gun | 10-pounder Parrott · Entity-1166 [map-31/022]</x:v>
      </x:c>
      <x:c r="M703" s="35"/>
      <x:c r="N703" s="35"/>
      <x:c r="O703" s="35"/>
      <x:c r="P703" s="35"/>
      <x:c r="Q703" s="35"/>
      <x:c r="R703" s="35"/>
      <x:c r="S703" s="35"/>
      <x:c r="T703" s="35"/>
      <x:c r="U703" s="35"/>
      <x:c r="V703" s="35"/>
      <x:c r="W703" s="35"/>
      <x:c r="X703" s="35"/>
      <x:c r="Y703" s="35"/>
      <x:c r="Z703" s="35"/>
      <x:c r="AA703" s="35"/>
    </x:row>
    <x:row r="704">
      <x:c r="A704" s="136" t="str">
        <x:v>DrillCamp | Conquest | Corn Crib</x:v>
      </x:c>
      <x:c r="B704" s="136" t="str">
        <x:v>Spawn | USA CQ1_Spawnpoint_USA_Infantry_1 [map-32/001]</x:v>
      </x:c>
      <x:c r="C704" s="136" t="str">
        <x:v>spawn</x:v>
      </x:c>
      <x:c r="D704" s="136" t="str">
        <x:v>USA</x:v>
      </x:c>
      <x:c r="E704" s="136" t="str">
        <x:v>CQ1_Spawnpoint_USA_Infantry_1</x:v>
      </x:c>
      <x:c r="F704" s="137" t="n">
        <x:v>1262.23974609375</x:v>
      </x:c>
      <x:c r="G704" s="137" t="n">
        <x:v>2511.865966796875</x:v>
      </x:c>
      <x:c r="H704" s="137" t="n">
        <x:v>52.53315734863281</x:v>
      </x:c>
      <x:c r="I704" s="137" t="n">
        <x:v>1814.0206535496884</x:v>
      </x:c>
      <x:c r="J704" s="137" t="n">
        <x:v>1672.4237732992817</x:v>
      </x:c>
      <x:c r="K704" s="136" t="str">
        <x:v>map-32</x:v>
      </x:c>
      <x:c r="L704" s="136" t="str">
        <x:v>DrillCamp | Conquest | Corn Crib||Spawn | USA CQ1_Spawnpoint_USA_Infantry_1 [map-32/001]</x:v>
      </x:c>
      <x:c r="M704" s="35"/>
      <x:c r="N704" s="35"/>
      <x:c r="O704" s="35"/>
      <x:c r="P704" s="35"/>
      <x:c r="Q704" s="35"/>
      <x:c r="R704" s="35"/>
      <x:c r="S704" s="35"/>
      <x:c r="T704" s="35"/>
      <x:c r="U704" s="35"/>
      <x:c r="V704" s="35"/>
      <x:c r="W704" s="35"/>
      <x:c r="X704" s="35"/>
      <x:c r="Y704" s="35"/>
      <x:c r="Z704" s="35"/>
      <x:c r="AA704" s="35"/>
    </x:row>
    <x:row r="705">
      <x:c r="A705" s="136" t="str">
        <x:v>DrillCamp | Conquest | Corn Crib</x:v>
      </x:c>
      <x:c r="B705" s="136" t="str">
        <x:v>Artillery | USA CQ1_Spawnpoint_USA_Artillery_Forward [map-32/002]</x:v>
      </x:c>
      <x:c r="C705" s="136" t="str">
        <x:v>battery</x:v>
      </x:c>
      <x:c r="D705" s="136" t="str">
        <x:v>USA</x:v>
      </x:c>
      <x:c r="E705" s="136" t="str">
        <x:v>CQ1_Spawnpoint_USA_Artillery_Forward</x:v>
      </x:c>
      <x:c r="F705" s="137" t="n">
        <x:v>1256.8681640625</x:v>
      </x:c>
      <x:c r="G705" s="137" t="n">
        <x:v>2871.148193359375</x:v>
      </x:c>
      <x:c r="H705" s="137" t="n">
        <x:v>60.696590423583984</x:v>
      </x:c>
      <x:c r="I705" s="137" t="n">
        <x:v>1797.9373124623842</x:v>
      </x:c>
      <x:c r="J705" s="137" t="n">
        <x:v>466.1778696350264</x:v>
      </x:c>
      <x:c r="K705" s="136" t="str">
        <x:v>map-32</x:v>
      </x:c>
      <x:c r="L705" s="136" t="str">
        <x:v>DrillCamp | Conquest | Corn Crib||Artillery | USA CQ1_Spawnpoint_USA_Artillery_Forward [map-32/002]</x:v>
      </x:c>
      <x:c r="M705" s="35"/>
      <x:c r="N705" s="35"/>
      <x:c r="O705" s="35"/>
      <x:c r="P705" s="35"/>
      <x:c r="Q705" s="35"/>
      <x:c r="R705" s="35"/>
      <x:c r="S705" s="35"/>
      <x:c r="T705" s="35"/>
      <x:c r="U705" s="35"/>
      <x:c r="V705" s="35"/>
      <x:c r="W705" s="35"/>
      <x:c r="X705" s="35"/>
      <x:c r="Y705" s="35"/>
      <x:c r="Z705" s="35"/>
      <x:c r="AA705" s="35"/>
    </x:row>
    <x:row r="706">
      <x:c r="A706" s="136" t="str">
        <x:v>DrillCamp | Conquest | Corn Crib</x:v>
      </x:c>
      <x:c r="B706" s="136" t="str">
        <x:v>Artillery | CSA CQ1_Spawnpoint_CSA_Artillery_Forward [map-32/003]</x:v>
      </x:c>
      <x:c r="C706" s="136" t="str">
        <x:v>battery</x:v>
      </x:c>
      <x:c r="D706" s="136" t="str">
        <x:v>CSA</x:v>
      </x:c>
      <x:c r="E706" s="136" t="str">
        <x:v>CQ1_Spawnpoint_CSA_Artillery_Forward</x:v>
      </x:c>
      <x:c r="F706" s="137" t="n">
        <x:v>828.4625244140625</x:v>
      </x:c>
      <x:c r="G706" s="137" t="n">
        <x:v>2883.108154296875</x:v>
      </x:c>
      <x:c r="H706" s="137" t="n">
        <x:v>67.29790496826172</x:v>
      </x:c>
      <x:c r="I706" s="137" t="n">
        <x:v>357.32221121488703</x:v>
      </x:c>
      <x:c r="J706" s="137" t="n">
        <x:v>426.0237712069645</x:v>
      </x:c>
      <x:c r="K706" s="136" t="str">
        <x:v>map-32</x:v>
      </x:c>
      <x:c r="L706" s="136" t="str">
        <x:v>DrillCamp | Conquest | Corn Crib||Artillery | CSA CQ1_Spawnpoint_CSA_Artillery_Forward [map-32/003]</x:v>
      </x:c>
      <x:c r="M706" s="35"/>
      <x:c r="N706" s="35"/>
      <x:c r="O706" s="35"/>
      <x:c r="P706" s="35"/>
      <x:c r="Q706" s="35"/>
      <x:c r="R706" s="35"/>
      <x:c r="S706" s="35"/>
      <x:c r="T706" s="35"/>
      <x:c r="U706" s="35"/>
      <x:c r="V706" s="35"/>
      <x:c r="W706" s="35"/>
      <x:c r="X706" s="35"/>
      <x:c r="Y706" s="35"/>
      <x:c r="Z706" s="35"/>
      <x:c r="AA706" s="35"/>
    </x:row>
    <x:row r="707">
      <x:c r="A707" s="136" t="str">
        <x:v>DrillCamp | Conquest | Corn Crib</x:v>
      </x:c>
      <x:c r="B707" s="136" t="str">
        <x:v>Spawn | CSA CQ1_Spawnpoint_CSA_Infantry_1 [map-32/004]</x:v>
      </x:c>
      <x:c r="C707" s="136" t="str">
        <x:v>spawn</x:v>
      </x:c>
      <x:c r="D707" s="136" t="str">
        <x:v>CSA</x:v>
      </x:c>
      <x:c r="E707" s="136" t="str">
        <x:v>CQ1_Spawnpoint_CSA_Infantry_1</x:v>
      </x:c>
      <x:c r="F707" s="137" t="n">
        <x:v>867.8883666992188</x:v>
      </x:c>
      <x:c r="G707" s="137" t="n">
        <x:v>2495.886474609375</x:v>
      </x:c>
      <x:c r="H707" s="137" t="n">
        <x:v>56.35677719116211</x:v>
      </x:c>
      <x:c r="I707" s="137" t="n">
        <x:v>487.77225481079074</x:v>
      </x:c>
      <x:c r="J707" s="137" t="n">
        <x:v>1726.0729537172108</x:v>
      </x:c>
      <x:c r="K707" s="136" t="str">
        <x:v>map-32</x:v>
      </x:c>
      <x:c r="L707" s="136" t="str">
        <x:v>DrillCamp | Conquest | Corn Crib||Spawn | CSA CQ1_Spawnpoint_CSA_Infantry_1 [map-32/004]</x:v>
      </x:c>
      <x:c r="M707" s="35"/>
      <x:c r="N707" s="35"/>
      <x:c r="O707" s="35"/>
      <x:c r="P707" s="35"/>
      <x:c r="Q707" s="35"/>
      <x:c r="R707" s="35"/>
      <x:c r="S707" s="35"/>
      <x:c r="T707" s="35"/>
      <x:c r="U707" s="35"/>
      <x:c r="V707" s="35"/>
      <x:c r="W707" s="35"/>
      <x:c r="X707" s="35"/>
      <x:c r="Y707" s="35"/>
      <x:c r="Z707" s="35"/>
      <x:c r="AA707" s="35"/>
    </x:row>
    <x:row r="708">
      <x:c r="A708" s="136" t="str">
        <x:v>DrillCamp | Conquest | Corn Crib</x:v>
      </x:c>
      <x:c r="B708" s="136" t="str">
        <x:v>Spawn | USA CQ1_Spawnpoint_USA_Infantry_0 [map-32/005]</x:v>
      </x:c>
      <x:c r="C708" s="136" t="str">
        <x:v>spawn</x:v>
      </x:c>
      <x:c r="D708" s="136" t="str">
        <x:v>USA</x:v>
      </x:c>
      <x:c r="E708" s="136" t="str">
        <x:v>CQ1_Spawnpoint_USA_Infantry_0</x:v>
      </x:c>
      <x:c r="F708" s="137" t="n">
        <x:v>1237.649169921875</x:v>
      </x:c>
      <x:c r="G708" s="137" t="n">
        <x:v>2492.43359375</x:v>
      </x:c>
      <x:c r="H708" s="137" t="n">
        <x:v>52.83546829223633</x:v>
      </x:c>
      <x:c r="I708" s="137" t="n">
        <x:v>1731.218121838064</x:v>
      </x:c>
      <x:c r="J708" s="137" t="n">
        <x:v>1737.6655766874908</x:v>
      </x:c>
      <x:c r="K708" s="136" t="str">
        <x:v>map-32</x:v>
      </x:c>
      <x:c r="L708" s="136" t="str">
        <x:v>DrillCamp | Conquest | Corn Crib||Spawn | USA CQ1_Spawnpoint_USA_Infantry_0 [map-32/005]</x:v>
      </x:c>
      <x:c r="M708" s="35"/>
      <x:c r="N708" s="35"/>
      <x:c r="O708" s="35"/>
      <x:c r="P708" s="35"/>
      <x:c r="Q708" s="35"/>
      <x:c r="R708" s="35"/>
      <x:c r="S708" s="35"/>
      <x:c r="T708" s="35"/>
      <x:c r="U708" s="35"/>
      <x:c r="V708" s="35"/>
      <x:c r="W708" s="35"/>
      <x:c r="X708" s="35"/>
      <x:c r="Y708" s="35"/>
      <x:c r="Z708" s="35"/>
      <x:c r="AA708" s="35"/>
    </x:row>
    <x:row r="709">
      <x:c r="A709" s="136" t="str">
        <x:v>DrillCamp | Conquest | Corn Crib</x:v>
      </x:c>
      <x:c r="B709" s="136" t="str">
        <x:v>Spawn | USA CQ1_Spawnpoint_USA_Infantry_2 [map-32/006]</x:v>
      </x:c>
      <x:c r="C709" s="136" t="str">
        <x:v>spawn</x:v>
      </x:c>
      <x:c r="D709" s="136" t="str">
        <x:v>USA</x:v>
      </x:c>
      <x:c r="E709" s="136" t="str">
        <x:v>CQ1_Spawnpoint_USA_Infantry_2</x:v>
      </x:c>
      <x:c r="F709" s="137" t="n">
        <x:v>1273.088134765625</x:v>
      </x:c>
      <x:c r="G709" s="137" t="n">
        <x:v>2523.28759765625</x:v>
      </x:c>
      <x:c r="H709" s="137" t="n">
        <x:v>51.75674819946289</x:v>
      </x:c>
      <x:c r="I709" s="137" t="n">
        <x:v>1850.5655578525675</x:v>
      </x:c>
      <x:c r="J709" s="137" t="n">
        <x:v>1634.077051923434</x:v>
      </x:c>
      <x:c r="K709" s="136" t="str">
        <x:v>map-32</x:v>
      </x:c>
      <x:c r="L709" s="136" t="str">
        <x:v>DrillCamp | Conquest | Corn Crib||Spawn | USA CQ1_Spawnpoint_USA_Infantry_2 [map-32/006]</x:v>
      </x:c>
      <x:c r="M709" s="35"/>
      <x:c r="N709" s="35"/>
      <x:c r="O709" s="35"/>
      <x:c r="P709" s="35"/>
      <x:c r="Q709" s="35"/>
      <x:c r="R709" s="35"/>
      <x:c r="S709" s="35"/>
      <x:c r="T709" s="35"/>
      <x:c r="U709" s="35"/>
      <x:c r="V709" s="35"/>
      <x:c r="W709" s="35"/>
      <x:c r="X709" s="35"/>
      <x:c r="Y709" s="35"/>
      <x:c r="Z709" s="35"/>
      <x:c r="AA709" s="35"/>
    </x:row>
    <x:row r="710">
      <x:c r="A710" s="136" t="str">
        <x:v>DrillCamp | Conquest | Corn Crib</x:v>
      </x:c>
      <x:c r="B710" s="136" t="str">
        <x:v>Artillery | USA CQ1_Spawnpoint_USA_Artillery_Staging [map-32/007]</x:v>
      </x:c>
      <x:c r="C710" s="136" t="str">
        <x:v>battery</x:v>
      </x:c>
      <x:c r="D710" s="136" t="str">
        <x:v>USA</x:v>
      </x:c>
      <x:c r="E710" s="136" t="str">
        <x:v>CQ1_Spawnpoint_USA_Artillery_Staging</x:v>
      </x:c>
      <x:c r="F710" s="137" t="n">
        <x:v>1199.7113037109375</x:v>
      </x:c>
      <x:c r="G710" s="137" t="n">
        <x:v>2489.265869140625</x:v>
      </x:c>
      <x:c r="H710" s="137" t="n">
        <x:v>55.046905517578125</x:v>
      </x:c>
      <x:c r="I710" s="137" t="n">
        <x:v>1603.6197880025886</x:v>
      </x:c>
      <x:c r="J710" s="137" t="n">
        <x:v>1748.3008226069837</x:v>
      </x:c>
      <x:c r="K710" s="136" t="str">
        <x:v>map-32</x:v>
      </x:c>
      <x:c r="L710" s="136" t="str">
        <x:v>DrillCamp | Conquest | Corn Crib||Artillery | USA CQ1_Spawnpoint_USA_Artillery_Staging [map-32/007]</x:v>
      </x:c>
      <x:c r="M710" s="35"/>
      <x:c r="N710" s="35"/>
      <x:c r="O710" s="35"/>
      <x:c r="P710" s="35"/>
      <x:c r="Q710" s="35"/>
      <x:c r="R710" s="35"/>
      <x:c r="S710" s="35"/>
      <x:c r="T710" s="35"/>
      <x:c r="U710" s="35"/>
      <x:c r="V710" s="35"/>
      <x:c r="W710" s="35"/>
      <x:c r="X710" s="35"/>
      <x:c r="Y710" s="35"/>
      <x:c r="Z710" s="35"/>
      <x:c r="AA710" s="35"/>
    </x:row>
    <x:row r="711">
      <x:c r="A711" s="136" t="str">
        <x:v>DrillCamp | Conquest | Corn Crib</x:v>
      </x:c>
      <x:c r="B711" s="136" t="str">
        <x:v>Spawn | CSA CQ1_Spawnpoint_CSA_Infantry_2 [map-32/008]</x:v>
      </x:c>
      <x:c r="C711" s="136" t="str">
        <x:v>spawn</x:v>
      </x:c>
      <x:c r="D711" s="136" t="str">
        <x:v>CSA</x:v>
      </x:c>
      <x:c r="E711" s="136" t="str">
        <x:v>CQ1_Spawnpoint_CSA_Infantry_2</x:v>
      </x:c>
      <x:c r="F711" s="137" t="n">
        <x:v>840.2236328125</x:v>
      </x:c>
      <x:c r="G711" s="137" t="n">
        <x:v>2472.837646484375</x:v>
      </x:c>
      <x:c r="H711" s="137" t="n">
        <x:v>56.360633850097656</x:v>
      </x:c>
      <x:c r="I711" s="137" t="n">
        <x:v>394.6117316338366</x:v>
      </x:c>
      <x:c r="J711" s="137" t="n">
        <x:v>1803.456560404491</x:v>
      </x:c>
      <x:c r="K711" s="136" t="str">
        <x:v>map-32</x:v>
      </x:c>
      <x:c r="L711" s="136" t="str">
        <x:v>DrillCamp | Conquest | Corn Crib||Spawn | CSA CQ1_Spawnpoint_CSA_Infantry_2 [map-32/008]</x:v>
      </x:c>
      <x:c r="M711" s="35"/>
      <x:c r="N711" s="35"/>
      <x:c r="O711" s="35"/>
      <x:c r="P711" s="35"/>
      <x:c r="Q711" s="35"/>
      <x:c r="R711" s="35"/>
      <x:c r="S711" s="35"/>
      <x:c r="T711" s="35"/>
      <x:c r="U711" s="35"/>
      <x:c r="V711" s="35"/>
      <x:c r="W711" s="35"/>
      <x:c r="X711" s="35"/>
      <x:c r="Y711" s="35"/>
      <x:c r="Z711" s="35"/>
      <x:c r="AA711" s="35"/>
    </x:row>
    <x:row r="712">
      <x:c r="A712" s="136" t="str">
        <x:v>DrillCamp | Conquest | Corn Crib</x:v>
      </x:c>
      <x:c r="B712" s="136" t="str">
        <x:v>Spawn | CSA CQ1_Spawnpoint_CSA_Infantry_0 [map-32/009]</x:v>
      </x:c>
      <x:c r="C712" s="136" t="str">
        <x:v>spawn</x:v>
      </x:c>
      <x:c r="D712" s="136" t="str">
        <x:v>CSA</x:v>
      </x:c>
      <x:c r="E712" s="136" t="str">
        <x:v>CQ1_Spawnpoint_CSA_Infantry_0</x:v>
      </x:c>
      <x:c r="F712" s="137" t="n">
        <x:v>891.5770263671875</x:v>
      </x:c>
      <x:c r="G712" s="137" t="n">
        <x:v>2505.273193359375</x:v>
      </x:c>
      <x:c r="H712" s="137" t="n">
        <x:v>56.51894760131836</x:v>
      </x:c>
      <x:c r="I712" s="137" t="n">
        <x:v>567.4863595379325</x:v>
      </x:c>
      <x:c r="J712" s="137" t="n">
        <x:v>1694.5581995659468</x:v>
      </x:c>
      <x:c r="K712" s="136" t="str">
        <x:v>map-32</x:v>
      </x:c>
      <x:c r="L712" s="136" t="str">
        <x:v>DrillCamp | Conquest | Corn Crib||Spawn | CSA CQ1_Spawnpoint_CSA_Infantry_0 [map-32/009]</x:v>
      </x:c>
      <x:c r="M712" s="35"/>
      <x:c r="N712" s="35"/>
      <x:c r="O712" s="35"/>
      <x:c r="P712" s="35"/>
      <x:c r="Q712" s="35"/>
      <x:c r="R712" s="35"/>
      <x:c r="S712" s="35"/>
      <x:c r="T712" s="35"/>
      <x:c r="U712" s="35"/>
      <x:c r="V712" s="35"/>
      <x:c r="W712" s="35"/>
      <x:c r="X712" s="35"/>
      <x:c r="Y712" s="35"/>
      <x:c r="Z712" s="35"/>
      <x:c r="AA712" s="35"/>
    </x:row>
    <x:row r="713">
      <x:c r="A713" s="136" t="str">
        <x:v>DrillCamp | Conquest | Corn Crib</x:v>
      </x:c>
      <x:c r="B713" s="136" t="str">
        <x:v>Objective | Victory_Conquest_1 [map-32/010]</x:v>
      </x:c>
      <x:c r="C713" s="136" t="str">
        <x:v>objective</x:v>
      </x:c>
      <x:c r="D713" s="136" t="str"/>
      <x:c r="E713" s="136" t="str">
        <x:v>Victory_Conquest_1</x:v>
      </x:c>
      <x:c r="F713" s="137" t="n">
        <x:v>1056.5006103515625</x:v>
      </x:c>
      <x:c r="G713" s="137" t="n">
        <x:v>2759.495849609375</x:v>
      </x:c>
      <x:c r="H713" s="137" t="n">
        <x:v>60.290775299072266</x:v>
      </x:c>
      <x:c r="I713" s="137" t="n">
        <x:v>1123.5077407540052</x:v>
      </x:c>
      <x:c r="J713" s="137" t="n">
        <x:v>841.0368866577405</x:v>
      </x:c>
      <x:c r="K713" s="136" t="str">
        <x:v>map-32</x:v>
      </x:c>
      <x:c r="L713" s="136" t="str">
        <x:v>DrillCamp | Conquest | Corn Crib||Objective | Victory_Conquest_1 [map-32/010]</x:v>
      </x:c>
      <x:c r="M713" s="35"/>
      <x:c r="N713" s="35"/>
      <x:c r="O713" s="35"/>
      <x:c r="P713" s="35"/>
      <x:c r="Q713" s="35"/>
      <x:c r="R713" s="35"/>
      <x:c r="S713" s="35"/>
      <x:c r="T713" s="35"/>
      <x:c r="U713" s="35"/>
      <x:c r="V713" s="35"/>
      <x:c r="W713" s="35"/>
      <x:c r="X713" s="35"/>
      <x:c r="Y713" s="35"/>
      <x:c r="Z713" s="35"/>
      <x:c r="AA713" s="35"/>
    </x:row>
    <x:row r="714">
      <x:c r="A714" s="136" t="str">
        <x:v>DrillCamp | Conquest | Corn Crib</x:v>
      </x:c>
      <x:c r="B714" s="136" t="str">
        <x:v>Artillery | CSA CQ1_Spawnpoint_CSA_Artillery_Staging [map-32/011]</x:v>
      </x:c>
      <x:c r="C714" s="136" t="str">
        <x:v>battery</x:v>
      </x:c>
      <x:c r="D714" s="136" t="str">
        <x:v>CSA</x:v>
      </x:c>
      <x:c r="E714" s="136" t="str">
        <x:v>CQ1_Spawnpoint_CSA_Artillery_Staging</x:v>
      </x:c>
      <x:c r="F714" s="137" t="n">
        <x:v>813.3594360351562</x:v>
      </x:c>
      <x:c r="G714" s="137" t="n">
        <x:v>2504.517822265625</x:v>
      </x:c>
      <x:c r="H714" s="137" t="n">
        <x:v>58.13428497314453</x:v>
      </x:c>
      <x:c r="I714" s="137" t="n">
        <x:v>304.4450439403024</x:v>
      </x:c>
      <x:c r="J714" s="137" t="n">
        <x:v>1697.0942651439743</x:v>
      </x:c>
      <x:c r="K714" s="136" t="str">
        <x:v>map-32</x:v>
      </x:c>
      <x:c r="L714" s="136" t="str">
        <x:v>DrillCamp | Conquest | Corn Crib||Artillery | CSA CQ1_Spawnpoint_CSA_Artillery_Staging [map-32/011]</x:v>
      </x:c>
      <x:c r="M714" s="35"/>
      <x:c r="N714" s="35"/>
      <x:c r="O714" s="35"/>
      <x:c r="P714" s="35"/>
      <x:c r="Q714" s="35"/>
      <x:c r="R714" s="35"/>
      <x:c r="S714" s="35"/>
      <x:c r="T714" s="35"/>
      <x:c r="U714" s="35"/>
      <x:c r="V714" s="35"/>
      <x:c r="W714" s="35"/>
      <x:c r="X714" s="35"/>
      <x:c r="Y714" s="35"/>
      <x:c r="Z714" s="35"/>
      <x:c r="AA714" s="35"/>
    </x:row>
    <x:row r="715">
      <x:c r="A715" s="136" t="str">
        <x:v>DrillCamp | Conquest | Corn Crib</x:v>
      </x:c>
      <x:c r="B715" s="136" t="str">
        <x:v>Gun | 12-pounder Napoleon (CSA) · Entity-1617 [map-32/012]</x:v>
      </x:c>
      <x:c r="C715" s="136" t="str">
        <x:v>gun_spawn</x:v>
      </x:c>
      <x:c r="D715" s="136" t="str"/>
      <x:c r="E715" s="136" t="str">
        <x:v>12-pounder Napoleon (CSA) · Entity-1617</x:v>
      </x:c>
      <x:c r="F715" s="137" t="n">
        <x:v>1212.66064453125</x:v>
      </x:c>
      <x:c r="G715" s="137" t="n">
        <x:v>2866.917236328125</x:v>
      </x:c>
      <x:c r="H715" s="137" t="n">
        <x:v>64.73258209228516</x:v>
      </x:c>
      <x:c r="I715" s="137" t="n">
        <x:v>1649.2489627301802</x:v>
      </x:c>
      <x:c r="J715" s="137" t="n">
        <x:v>480.3827876916589</x:v>
      </x:c>
      <x:c r="K715" s="136" t="str">
        <x:v>map-32</x:v>
      </x:c>
      <x:c r="L715" s="136" t="str">
        <x:v>DrillCamp | Conquest | Corn Crib||Gun | 12-pounder Napoleon (CSA) · Entity-1617 [map-32/012]</x:v>
      </x:c>
      <x:c r="M715" s="35"/>
      <x:c r="N715" s="35"/>
      <x:c r="O715" s="35"/>
      <x:c r="P715" s="35"/>
      <x:c r="Q715" s="35"/>
      <x:c r="R715" s="35"/>
      <x:c r="S715" s="35"/>
      <x:c r="T715" s="35"/>
      <x:c r="U715" s="35"/>
      <x:c r="V715" s="35"/>
      <x:c r="W715" s="35"/>
      <x:c r="X715" s="35"/>
      <x:c r="Y715" s="35"/>
      <x:c r="Z715" s="35"/>
      <x:c r="AA715" s="35"/>
    </x:row>
    <x:row r="716">
      <x:c r="A716" s="136" t="str">
        <x:v>DrillCamp | Conquest | Corn Crib</x:v>
      </x:c>
      <x:c r="B716" s="136" t="str">
        <x:v>Gun | 3-inch Ordnance · Entity-1626 [map-32/013]</x:v>
      </x:c>
      <x:c r="C716" s="136" t="str">
        <x:v>gun_spawn</x:v>
      </x:c>
      <x:c r="D716" s="136" t="str"/>
      <x:c r="E716" s="136" t="str">
        <x:v>3-inch Ordnance · Entity-1626</x:v>
      </x:c>
      <x:c r="F716" s="137" t="n">
        <x:v>1255.3021240234375</x:v>
      </x:c>
      <x:c r="G716" s="137" t="n">
        <x:v>2826.015869140625</x:v>
      </x:c>
      <x:c r="H716" s="137" t="n">
        <x:v>60.94294738769531</x:v>
      </x:c>
      <x:c r="I716" s="137" t="n">
        <x:v>1792.422080680767</x:v>
      </x:c>
      <x:c r="J716" s="137" t="n">
        <x:v>617.7040993975885</x:v>
      </x:c>
      <x:c r="K716" s="136" t="str">
        <x:v>map-32</x:v>
      </x:c>
      <x:c r="L716" s="136" t="str">
        <x:v>DrillCamp | Conquest | Corn Crib||Gun | 3-inch Ordnance · Entity-1626 [map-32/013]</x:v>
      </x:c>
      <x:c r="M716" s="35"/>
      <x:c r="N716" s="35"/>
      <x:c r="O716" s="35"/>
      <x:c r="P716" s="35"/>
      <x:c r="Q716" s="35"/>
      <x:c r="R716" s="35"/>
      <x:c r="S716" s="35"/>
      <x:c r="T716" s="35"/>
      <x:c r="U716" s="35"/>
      <x:c r="V716" s="35"/>
      <x:c r="W716" s="35"/>
      <x:c r="X716" s="35"/>
      <x:c r="Y716" s="35"/>
      <x:c r="Z716" s="35"/>
      <x:c r="AA716" s="35"/>
    </x:row>
    <x:row r="717">
      <x:c r="A717" s="136" t="str">
        <x:v>DrillCamp | Conquest | Corn Crib</x:v>
      </x:c>
      <x:c r="B717" s="136" t="str">
        <x:v>Gun | 10-pounder Parrott · Entity-1606 [map-32/014]</x:v>
      </x:c>
      <x:c r="C717" s="136" t="str">
        <x:v>gun_spawn</x:v>
      </x:c>
      <x:c r="D717" s="136" t="str"/>
      <x:c r="E717" s="136" t="str">
        <x:v>10-pounder Parrott · Entity-1606</x:v>
      </x:c>
      <x:c r="F717" s="137" t="n">
        <x:v>855.6214599609375</x:v>
      </x:c>
      <x:c r="G717" s="137" t="n">
        <x:v>2853.951904296875</x:v>
      </x:c>
      <x:c r="H717" s="137" t="n">
        <x:v>64.85640716552734</x:v>
      </x:c>
      <x:c r="I717" s="137" t="n">
        <x:v>448.49398719525544</x:v>
      </x:c>
      <x:c r="J717" s="137" t="n">
        <x:v>523.9122959614527</x:v>
      </x:c>
      <x:c r="K717" s="136" t="str">
        <x:v>map-32</x:v>
      </x:c>
      <x:c r="L717" s="136" t="str">
        <x:v>DrillCamp | Conquest | Corn Crib||Gun | 10-pounder Parrott · Entity-1606 [map-32/014]</x:v>
      </x:c>
      <x:c r="M717" s="35"/>
      <x:c r="N717" s="35"/>
      <x:c r="O717" s="35"/>
      <x:c r="P717" s="35"/>
      <x:c r="Q717" s="35"/>
      <x:c r="R717" s="35"/>
      <x:c r="S717" s="35"/>
      <x:c r="T717" s="35"/>
      <x:c r="U717" s="35"/>
      <x:c r="V717" s="35"/>
      <x:c r="W717" s="35"/>
      <x:c r="X717" s="35"/>
      <x:c r="Y717" s="35"/>
      <x:c r="Z717" s="35"/>
      <x:c r="AA717" s="35"/>
    </x:row>
    <x:row r="718">
      <x:c r="A718" s="136" t="str">
        <x:v>DrillCamp | Conquest | Corn Crib</x:v>
      </x:c>
      <x:c r="B718" s="136" t="str">
        <x:v>Gun | 3-inch Ordnance · Entity-1622 [map-32/015]</x:v>
      </x:c>
      <x:c r="C718" s="136" t="str">
        <x:v>gun_spawn</x:v>
      </x:c>
      <x:c r="D718" s="136" t="str"/>
      <x:c r="E718" s="136" t="str">
        <x:v>3-inch Ordnance · Entity-1622</x:v>
      </x:c>
      <x:c r="F718" s="137" t="n">
        <x:v>1241.5157470703125</x:v>
      </x:c>
      <x:c r="G718" s="137" t="n">
        <x:v>2832.064697265625</x:v>
      </x:c>
      <x:c r="H718" s="137" t="n">
        <x:v>62.76602554321289</x:v>
      </x:c>
      <x:c r="I718" s="137" t="n">
        <x:v>1746.0933584519282</x:v>
      </x:c>
      <x:c r="J718" s="137" t="n">
        <x:v>597.3959026421859</x:v>
      </x:c>
      <x:c r="K718" s="136" t="str">
        <x:v>map-32</x:v>
      </x:c>
      <x:c r="L718" s="136" t="str">
        <x:v>DrillCamp | Conquest | Corn Crib||Gun | 3-inch Ordnance · Entity-1622 [map-32/015]</x:v>
      </x:c>
      <x:c r="M718" s="35"/>
      <x:c r="N718" s="35"/>
      <x:c r="O718" s="35"/>
      <x:c r="P718" s="35"/>
      <x:c r="Q718" s="35"/>
      <x:c r="R718" s="35"/>
      <x:c r="S718" s="35"/>
      <x:c r="T718" s="35"/>
      <x:c r="U718" s="35"/>
      <x:c r="V718" s="35"/>
      <x:c r="W718" s="35"/>
      <x:c r="X718" s="35"/>
      <x:c r="Y718" s="35"/>
      <x:c r="Z718" s="35"/>
      <x:c r="AA718" s="35"/>
    </x:row>
    <x:row r="719">
      <x:c r="A719" s="136" t="str">
        <x:v>DrillCamp | Conquest | Corn Crib</x:v>
      </x:c>
      <x:c r="B719" s="136" t="str">
        <x:v>Gun | 12-pounder Napoleon (USA) · Entity-1609 [map-32/016]</x:v>
      </x:c>
      <x:c r="C719" s="136" t="str">
        <x:v>gun_spawn</x:v>
      </x:c>
      <x:c r="D719" s="136" t="str"/>
      <x:c r="E719" s="136" t="str">
        <x:v>12-pounder Napoleon (USA) · Entity-1609</x:v>
      </x:c>
      <x:c r="F719" s="137" t="n">
        <x:v>832.8526000976562</x:v>
      </x:c>
      <x:c r="G719" s="137" t="n">
        <x:v>2838.819091796875</x:v>
      </x:c>
      <x:c r="H719" s="137" t="n">
        <x:v>63.08184814453125</x:v>
      </x:c>
      <x:c r="I719" s="137" t="n">
        <x:v>371.84139019903955</x:v>
      </x:c>
      <x:c r="J719" s="137" t="n">
        <x:v>574.7188534237903</x:v>
      </x:c>
      <x:c r="K719" s="136" t="str">
        <x:v>map-32</x:v>
      </x:c>
      <x:c r="L719" s="136" t="str">
        <x:v>DrillCamp | Conquest | Corn Crib||Gun | 12-pounder Napoleon (USA) · Entity-1609 [map-32/016]</x:v>
      </x:c>
      <x:c r="M719" s="35"/>
      <x:c r="N719" s="35"/>
      <x:c r="O719" s="35"/>
      <x:c r="P719" s="35"/>
      <x:c r="Q719" s="35"/>
      <x:c r="R719" s="35"/>
      <x:c r="S719" s="35"/>
      <x:c r="T719" s="35"/>
      <x:c r="U719" s="35"/>
      <x:c r="V719" s="35"/>
      <x:c r="W719" s="35"/>
      <x:c r="X719" s="35"/>
      <x:c r="Y719" s="35"/>
      <x:c r="Z719" s="35"/>
      <x:c r="AA719" s="35"/>
    </x:row>
    <x:row r="720">
      <x:c r="A720" s="136" t="str">
        <x:v>DrillCamp | Conquest | Corn Crib</x:v>
      </x:c>
      <x:c r="B720" s="136" t="str">
        <x:v>Gun | 10-pounder Parrott · Entity-1604 [map-32/017]</x:v>
      </x:c>
      <x:c r="C720" s="136" t="str">
        <x:v>gun_spawn</x:v>
      </x:c>
      <x:c r="D720" s="136" t="str"/>
      <x:c r="E720" s="136" t="str">
        <x:v>10-pounder Parrott · Entity-1604</x:v>
      </x:c>
      <x:c r="F720" s="137" t="n">
        <x:v>869.18310546875</x:v>
      </x:c>
      <x:c r="G720" s="137" t="n">
        <x:v>2862.84521484375</x:v>
      </x:c>
      <x:c r="H720" s="137" t="n">
        <x:v>65.32476043701172</x:v>
      </x:c>
      <x:c r="I720" s="137" t="n">
        <x:v>494.1493372853369</x:v>
      </x:c>
      <x:c r="J720" s="137" t="n">
        <x:v>494.05409919001863</x:v>
      </x:c>
      <x:c r="K720" s="136" t="str">
        <x:v>map-32</x:v>
      </x:c>
      <x:c r="L720" s="136" t="str">
        <x:v>DrillCamp | Conquest | Corn Crib||Gun | 10-pounder Parrott · Entity-1604 [map-32/017]</x:v>
      </x:c>
      <x:c r="M720" s="35"/>
      <x:c r="N720" s="35"/>
      <x:c r="O720" s="35"/>
      <x:c r="P720" s="35"/>
      <x:c r="Q720" s="35"/>
      <x:c r="R720" s="35"/>
      <x:c r="S720" s="35"/>
      <x:c r="T720" s="35"/>
      <x:c r="U720" s="35"/>
      <x:c r="V720" s="35"/>
      <x:c r="W720" s="35"/>
      <x:c r="X720" s="35"/>
      <x:c r="Y720" s="35"/>
      <x:c r="Z720" s="35"/>
      <x:c r="AA720" s="35"/>
    </x:row>
    <x:row r="721">
      <x:c r="A721" s="136" t="str">
        <x:v>DrillCamp | Conquest | Corn Crib</x:v>
      </x:c>
      <x:c r="B721" s="136" t="str">
        <x:v>Gun | 12-pounder Napoleon (USA) · Entity-1608 [map-32/018]</x:v>
      </x:c>
      <x:c r="C721" s="136" t="str">
        <x:v>gun_spawn</x:v>
      </x:c>
      <x:c r="D721" s="136" t="str"/>
      <x:c r="E721" s="136" t="str">
        <x:v>12-pounder Napoleon (USA) · Entity-1608</x:v>
      </x:c>
      <x:c r="F721" s="137" t="n">
        <x:v>841.0144653320312</x:v>
      </x:c>
      <x:c r="G721" s="137" t="n">
        <x:v>2843.995361328125</x:v>
      </x:c>
      <x:c r="H721" s="137" t="n">
        <x:v>63.89765548706055</x:v>
      </x:c>
      <x:c r="I721" s="137" t="n">
        <x:v>399.31738148594195</x:v>
      </x:c>
      <x:c r="J721" s="137" t="n">
        <x:v>557.3401648700268</x:v>
      </x:c>
      <x:c r="K721" s="136" t="str">
        <x:v>map-32</x:v>
      </x:c>
      <x:c r="L721" s="136" t="str">
        <x:v>DrillCamp | Conquest | Corn Crib||Gun | 12-pounder Napoleon (USA) · Entity-1608 [map-32/018]</x:v>
      </x:c>
      <x:c r="M721" s="35"/>
      <x:c r="N721" s="35"/>
      <x:c r="O721" s="35"/>
      <x:c r="P721" s="35"/>
      <x:c r="Q721" s="35"/>
      <x:c r="R721" s="35"/>
      <x:c r="S721" s="35"/>
      <x:c r="T721" s="35"/>
      <x:c r="U721" s="35"/>
      <x:c r="V721" s="35"/>
      <x:c r="W721" s="35"/>
      <x:c r="X721" s="35"/>
      <x:c r="Y721" s="35"/>
      <x:c r="Z721" s="35"/>
      <x:c r="AA721" s="35"/>
    </x:row>
    <x:row r="722">
      <x:c r="A722" s="136" t="str">
        <x:v>DrillCamp | Conquest | Corn Crib</x:v>
      </x:c>
      <x:c r="B722" s="136" t="str">
        <x:v>Gun | 12-pounder Napoleon (USA) · Entity-1621 [map-32/019]</x:v>
      </x:c>
      <x:c r="C722" s="136" t="str">
        <x:v>gun_spawn</x:v>
      </x:c>
      <x:c r="D722" s="136" t="str"/>
      <x:c r="E722" s="136" t="str">
        <x:v>12-pounder Napoleon (USA) · Entity-1621</x:v>
      </x:c>
      <x:c r="F722" s="137" t="n">
        <x:v>1222.371826171875</x:v>
      </x:c>
      <x:c r="G722" s="137" t="n">
        <x:v>2851.3388671875</x:v>
      </x:c>
      <x:c r="H722" s="137" t="n">
        <x:v>64.27972412109375</x:v>
      </x:c>
      <x:c r="I722" s="137" t="n">
        <x:v>1681.8207157422517</x:v>
      </x:c>
      <x:c r="J722" s="137" t="n">
        <x:v>532.6852467958519</x:v>
      </x:c>
      <x:c r="K722" s="136" t="str">
        <x:v>map-32</x:v>
      </x:c>
      <x:c r="L722" s="136" t="str">
        <x:v>DrillCamp | Conquest | Corn Crib||Gun | 12-pounder Napoleon (USA) · Entity-1621 [map-32/019]</x:v>
      </x:c>
      <x:c r="M722" s="35"/>
      <x:c r="N722" s="35"/>
      <x:c r="O722" s="35"/>
      <x:c r="P722" s="35"/>
      <x:c r="Q722" s="35"/>
      <x:c r="R722" s="35"/>
      <x:c r="S722" s="35"/>
      <x:c r="T722" s="35"/>
      <x:c r="U722" s="35"/>
      <x:c r="V722" s="35"/>
      <x:c r="W722" s="35"/>
      <x:c r="X722" s="35"/>
      <x:c r="Y722" s="35"/>
      <x:c r="Z722" s="35"/>
      <x:c r="AA722" s="35"/>
    </x:row>
    <x:row r="723">
      <x:c r="A723" s="136" t="str">
        <x:v>DrillCamp | Conquest | Corn Crib</x:v>
      </x:c>
      <x:c r="B723" s="136" t="str">
        <x:v>Gun | 10-pounder Parrott · Entity-1605 [map-32/020]</x:v>
      </x:c>
      <x:c r="C723" s="136" t="str">
        <x:v>gun_spawn</x:v>
      </x:c>
      <x:c r="D723" s="136" t="str"/>
      <x:c r="E723" s="136" t="str">
        <x:v>10-pounder Parrott · Entity-1605</x:v>
      </x:c>
      <x:c r="F723" s="137" t="n">
        <x:v>861.7816772460938</x:v>
      </x:c>
      <x:c r="G723" s="137" t="n">
        <x:v>2858.052978515625</x:v>
      </x:c>
      <x:c r="H723" s="137" t="n">
        <x:v>64.87346649169922</x:v>
      </x:c>
      <x:c r="I723" s="137" t="n">
        <x:v>469.232729159214</x:v>
      </x:c>
      <x:c r="J723" s="137" t="n">
        <x:v>510.14344347932274</x:v>
      </x:c>
      <x:c r="K723" s="136" t="str">
        <x:v>map-32</x:v>
      </x:c>
      <x:c r="L723" s="136" t="str">
        <x:v>DrillCamp | Conquest | Corn Crib||Gun | 10-pounder Parrott · Entity-1605 [map-32/020]</x:v>
      </x:c>
      <x:c r="M723" s="35"/>
      <x:c r="N723" s="35"/>
      <x:c r="O723" s="35"/>
      <x:c r="P723" s="35"/>
      <x:c r="Q723" s="35"/>
      <x:c r="R723" s="35"/>
      <x:c r="S723" s="35"/>
      <x:c r="T723" s="35"/>
      <x:c r="U723" s="35"/>
      <x:c r="V723" s="35"/>
      <x:c r="W723" s="35"/>
      <x:c r="X723" s="35"/>
      <x:c r="Y723" s="35"/>
      <x:c r="Z723" s="35"/>
      <x:c r="AA723" s="35"/>
    </x:row>
    <x:row r="724">
      <x:c r="A724" s="136" t="str">
        <x:v>DrillCamp | Conquest | Corn Crib</x:v>
      </x:c>
      <x:c r="B724" s="136" t="str">
        <x:v>Gun | 12-pounder Napoleon (CSA) · Entity-1618 [map-32/021]</x:v>
      </x:c>
      <x:c r="C724" s="136" t="str">
        <x:v>gun_spawn</x:v>
      </x:c>
      <x:c r="D724" s="136" t="str"/>
      <x:c r="E724" s="136" t="str">
        <x:v>12-pounder Napoleon (CSA) · Entity-1618</x:v>
      </x:c>
      <x:c r="F724" s="137" t="n">
        <x:v>1217.9031982421875</x:v>
      </x:c>
      <x:c r="G724" s="137" t="n">
        <x:v>2858.490478515625</x:v>
      </x:c>
      <x:c r="H724" s="137" t="n">
        <x:v>64.53551483154297</x:v>
      </x:c>
      <x:c r="I724" s="137" t="n">
        <x:v>1666.8326379685418</x:v>
      </x:c>
      <x:c r="J724" s="137" t="n">
        <x:v>508.67459101784056</x:v>
      </x:c>
      <x:c r="K724" s="136" t="str">
        <x:v>map-32</x:v>
      </x:c>
      <x:c r="L724" s="136" t="str">
        <x:v>DrillCamp | Conquest | Corn Crib||Gun | 12-pounder Napoleon (CSA) · Entity-1618 [map-32/021]</x:v>
      </x:c>
      <x:c r="M724" s="35"/>
      <x:c r="N724" s="35"/>
      <x:c r="O724" s="35"/>
      <x:c r="P724" s="35"/>
      <x:c r="Q724" s="35"/>
      <x:c r="R724" s="35"/>
      <x:c r="S724" s="35"/>
      <x:c r="T724" s="35"/>
      <x:c r="U724" s="35"/>
      <x:c r="V724" s="35"/>
      <x:c r="W724" s="35"/>
      <x:c r="X724" s="35"/>
      <x:c r="Y724" s="35"/>
      <x:c r="Z724" s="35"/>
      <x:c r="AA724" s="35"/>
    </x:row>
    <x:row r="725">
      <x:c r="A725" s="136" t="str">
        <x:v>DrillCamp | Conquest | Corn Crib</x:v>
      </x:c>
      <x:c r="B725" s="136" t="str">
        <x:v>Gun | 3-inch Ordnance · Entity-1625 [map-32/022]</x:v>
      </x:c>
      <x:c r="C725" s="136" t="str">
        <x:v>gun_spawn</x:v>
      </x:c>
      <x:c r="D725" s="136" t="str"/>
      <x:c r="E725" s="136" t="str">
        <x:v>3-inch Ordnance · Entity-1625</x:v>
      </x:c>
      <x:c r="F725" s="137" t="n">
        <x:v>1248.6182861328125</x:v>
      </x:c>
      <x:c r="G725" s="137" t="n">
        <x:v>2829.119384765625</x:v>
      </x:c>
      <x:c r="H725" s="137" t="n">
        <x:v>61.886043548583984</x:v>
      </x:c>
      <x:c r="I725" s="137" t="n">
        <x:v>1769.962178636948</x:v>
      </x:c>
      <x:c r="J725" s="137" t="n">
        <x:v>607.2844272489496</x:v>
      </x:c>
      <x:c r="K725" s="136" t="str">
        <x:v>map-32</x:v>
      </x:c>
      <x:c r="L725" s="136" t="str">
        <x:v>DrillCamp | Conquest | Corn Crib||Gun | 3-inch Ordnance · Entity-1625 [map-32/022]</x:v>
      </x:c>
      <x:c r="M725" s="35"/>
      <x:c r="N725" s="35"/>
      <x:c r="O725" s="35"/>
      <x:c r="P725" s="35"/>
      <x:c r="Q725" s="35"/>
      <x:c r="R725" s="35"/>
      <x:c r="S725" s="35"/>
      <x:c r="T725" s="35"/>
      <x:c r="U725" s="35"/>
      <x:c r="V725" s="35"/>
      <x:c r="W725" s="35"/>
      <x:c r="X725" s="35"/>
      <x:c r="Y725" s="35"/>
      <x:c r="Z725" s="35"/>
      <x:c r="AA725" s="35"/>
    </x:row>
    <x:row r="726">
      <x:c r="A726" s="136" t="str">
        <x:v>DrillCamp | Conquest | Corn Crib</x:v>
      </x:c>
      <x:c r="B726" s="136" t="str">
        <x:v>Gun | 12-pounder Napoleon (USA) · Entity-1607 [map-32/023]</x:v>
      </x:c>
      <x:c r="C726" s="136" t="str">
        <x:v>gun_spawn</x:v>
      </x:c>
      <x:c r="D726" s="136" t="str"/>
      <x:c r="E726" s="136" t="str">
        <x:v>12-pounder Napoleon (USA) · Entity-1607</x:v>
      </x:c>
      <x:c r="F726" s="137" t="n">
        <x:v>848.873779296875</x:v>
      </x:c>
      <x:c r="G726" s="137" t="n">
        <x:v>2849.349365234375</x:v>
      </x:c>
      <x:c r="H726" s="137" t="n">
        <x:v>64.40511322021484</x:v>
      </x:c>
      <x:c r="I726" s="137" t="n">
        <x:v>425.7769059756138</x:v>
      </x:c>
      <x:c r="J726" s="137" t="n">
        <x:v>539.3647550037861</x:v>
      </x:c>
      <x:c r="K726" s="136" t="str">
        <x:v>map-32</x:v>
      </x:c>
      <x:c r="L726" s="136" t="str">
        <x:v>DrillCamp | Conquest | Corn Crib||Gun | 12-pounder Napoleon (USA) · Entity-1607 [map-32/023]</x:v>
      </x:c>
      <x:c r="M726" s="35"/>
      <x:c r="N726" s="35"/>
      <x:c r="O726" s="35"/>
      <x:c r="P726" s="35"/>
      <x:c r="Q726" s="35"/>
      <x:c r="R726" s="35"/>
      <x:c r="S726" s="35"/>
      <x:c r="T726" s="35"/>
      <x:c r="U726" s="35"/>
      <x:c r="V726" s="35"/>
      <x:c r="W726" s="35"/>
      <x:c r="X726" s="35"/>
      <x:c r="Y726" s="35"/>
      <x:c r="Z726" s="35"/>
      <x:c r="AA726" s="35"/>
    </x:row>
    <x:row r="727">
      <x:c r="A727" s="136" t="str">
        <x:v>DrillCamp | Conquest | Orchards</x:v>
      </x:c>
      <x:c r="B727" s="136" t="str">
        <x:v>Spawn | USA CQ2_Spawnpoint_USA_Infantry_1 [map-33/001]</x:v>
      </x:c>
      <x:c r="C727" s="136" t="str">
        <x:v>spawn</x:v>
      </x:c>
      <x:c r="D727" s="136" t="str">
        <x:v>USA</x:v>
      </x:c>
      <x:c r="E727" s="136" t="str">
        <x:v>CQ2_Spawnpoint_USA_Infantry_1</x:v>
      </x:c>
      <x:c r="F727" s="137" t="n">
        <x:v>1430.1611328125</x:v>
      </x:c>
      <x:c r="G727" s="137" t="n">
        <x:v>2631.2890625</x:v>
      </x:c>
      <x:c r="H727" s="137" t="n">
        <x:v>51.479915618896484</x:v>
      </x:c>
      <x:c r="I727" s="137" t="n">
        <x:v>415.01757304394226</x:v>
      </x:c>
      <x:c r="J727" s="137" t="n">
        <x:v>1226.5907944535443</x:v>
      </x:c>
      <x:c r="K727" s="136" t="str">
        <x:v>map-33</x:v>
      </x:c>
      <x:c r="L727" s="136" t="str">
        <x:v>DrillCamp | Conquest | Orchards||Spawn | USA CQ2_Spawnpoint_USA_Infantry_1 [map-33/001]</x:v>
      </x:c>
      <x:c r="M727" s="35"/>
      <x:c r="N727" s="35"/>
      <x:c r="O727" s="35"/>
      <x:c r="P727" s="35"/>
      <x:c r="Q727" s="35"/>
      <x:c r="R727" s="35"/>
      <x:c r="S727" s="35"/>
      <x:c r="T727" s="35"/>
      <x:c r="U727" s="35"/>
      <x:c r="V727" s="35"/>
      <x:c r="W727" s="35"/>
      <x:c r="X727" s="35"/>
      <x:c r="Y727" s="35"/>
      <x:c r="Z727" s="35"/>
      <x:c r="AA727" s="35"/>
    </x:row>
    <x:row r="728">
      <x:c r="A728" s="136" t="str">
        <x:v>DrillCamp | Conquest | Orchards</x:v>
      </x:c>
      <x:c r="B728" s="136" t="str">
        <x:v>Spawn | USA CQ2_Spawnpoint_USA_Infantry_2 [map-33/002]</x:v>
      </x:c>
      <x:c r="C728" s="136" t="str">
        <x:v>spawn</x:v>
      </x:c>
      <x:c r="D728" s="136" t="str">
        <x:v>USA</x:v>
      </x:c>
      <x:c r="E728" s="136" t="str">
        <x:v>CQ2_Spawnpoint_USA_Infantry_2</x:v>
      </x:c>
      <x:c r="F728" s="137" t="n">
        <x:v>1447.446533203125</x:v>
      </x:c>
      <x:c r="G728" s="137" t="n">
        <x:v>2612.659912109375</x:v>
      </x:c>
      <x:c r="H728" s="137" t="n">
        <x:v>50.57426452636719</x:v>
      </x:c>
      <x:c r="I728" s="137" t="n">
        <x:v>444.6414224036348</x:v>
      </x:c>
      <x:c r="J728" s="137" t="n">
        <x:v>1258.517572682543</x:v>
      </x:c>
      <x:c r="K728" s="136" t="str">
        <x:v>map-33</x:v>
      </x:c>
      <x:c r="L728" s="136" t="str">
        <x:v>DrillCamp | Conquest | Orchards||Spawn | USA CQ2_Spawnpoint_USA_Infantry_2 [map-33/002]</x:v>
      </x:c>
      <x:c r="M728" s="35"/>
      <x:c r="N728" s="35"/>
      <x:c r="O728" s="35"/>
      <x:c r="P728" s="35"/>
      <x:c r="Q728" s="35"/>
      <x:c r="R728" s="35"/>
      <x:c r="S728" s="35"/>
      <x:c r="T728" s="35"/>
      <x:c r="U728" s="35"/>
      <x:c r="V728" s="35"/>
      <x:c r="W728" s="35"/>
      <x:c r="X728" s="35"/>
      <x:c r="Y728" s="35"/>
      <x:c r="Z728" s="35"/>
      <x:c r="AA728" s="35"/>
    </x:row>
    <x:row r="729">
      <x:c r="A729" s="136" t="str">
        <x:v>DrillCamp | Conquest | Orchards</x:v>
      </x:c>
      <x:c r="B729" s="136" t="str">
        <x:v>Spawn | CSA CQ2_Spawnpoint_CSA_Infantry_2 [map-33/003]</x:v>
      </x:c>
      <x:c r="C729" s="136" t="str">
        <x:v>spawn</x:v>
      </x:c>
      <x:c r="D729" s="136" t="str">
        <x:v>CSA</x:v>
      </x:c>
      <x:c r="E729" s="136" t="str">
        <x:v>CQ2_Spawnpoint_CSA_Infantry_2</x:v>
      </x:c>
      <x:c r="F729" s="137" t="n">
        <x:v>2149.1630859375</x:v>
      </x:c>
      <x:c r="G729" s="137" t="n">
        <x:v>2298.822509765625</x:v>
      </x:c>
      <x:c r="H729" s="137" t="n">
        <x:v>45.044593811035156</x:v>
      </x:c>
      <x:c r="I729" s="137" t="n">
        <x:v>1647.2485348590867</x:v>
      </x:c>
      <x:c r="J729" s="137" t="n">
        <x:v>1796.3744762177876</x:v>
      </x:c>
      <x:c r="K729" s="136" t="str">
        <x:v>map-33</x:v>
      </x:c>
      <x:c r="L729" s="136" t="str">
        <x:v>DrillCamp | Conquest | Orchards||Spawn | CSA CQ2_Spawnpoint_CSA_Infantry_2 [map-33/003]</x:v>
      </x:c>
      <x:c r="M729" s="35"/>
      <x:c r="N729" s="35"/>
      <x:c r="O729" s="35"/>
      <x:c r="P729" s="35"/>
      <x:c r="Q729" s="35"/>
      <x:c r="R729" s="35"/>
      <x:c r="S729" s="35"/>
      <x:c r="T729" s="35"/>
      <x:c r="U729" s="35"/>
      <x:c r="V729" s="35"/>
      <x:c r="W729" s="35"/>
      <x:c r="X729" s="35"/>
      <x:c r="Y729" s="35"/>
      <x:c r="Z729" s="35"/>
      <x:c r="AA729" s="35"/>
    </x:row>
    <x:row r="730">
      <x:c r="A730" s="136" t="str">
        <x:v>DrillCamp | Conquest | Orchards</x:v>
      </x:c>
      <x:c r="B730" s="136" t="str">
        <x:v>Spawn | CSA CQ2_Spawnpoint_CSA_Cavalry_0 [map-33/004]</x:v>
      </x:c>
      <x:c r="C730" s="136" t="str">
        <x:v>spawn</x:v>
      </x:c>
      <x:c r="D730" s="136" t="str">
        <x:v>CSA</x:v>
      </x:c>
      <x:c r="E730" s="136" t="str">
        <x:v>CQ2_Spawnpoint_CSA_Cavalry_0</x:v>
      </x:c>
      <x:c r="F730" s="137" t="n">
        <x:v>2173.414794921875</x:v>
      </x:c>
      <x:c r="G730" s="137" t="n">
        <x:v>2208.1953125</x:v>
      </x:c>
      <x:c r="H730" s="137" t="n">
        <x:v>49.52664566040039</x:v>
      </x:c>
      <x:c r="I730" s="137" t="n">
        <x:v>1688.8112963475553</x:v>
      </x:c>
      <x:c r="J730" s="137" t="n">
        <x:v>1951.6920493729988</x:v>
      </x:c>
      <x:c r="K730" s="136" t="str">
        <x:v>map-33</x:v>
      </x:c>
      <x:c r="L730" s="136" t="str">
        <x:v>DrillCamp | Conquest | Orchards||Spawn | CSA CQ2_Spawnpoint_CSA_Cavalry_0 [map-33/004]</x:v>
      </x:c>
      <x:c r="M730" s="35"/>
      <x:c r="N730" s="35"/>
      <x:c r="O730" s="35"/>
      <x:c r="P730" s="35"/>
      <x:c r="Q730" s="35"/>
      <x:c r="R730" s="35"/>
      <x:c r="S730" s="35"/>
      <x:c r="T730" s="35"/>
      <x:c r="U730" s="35"/>
      <x:c r="V730" s="35"/>
      <x:c r="W730" s="35"/>
      <x:c r="X730" s="35"/>
      <x:c r="Y730" s="35"/>
      <x:c r="Z730" s="35"/>
      <x:c r="AA730" s="35"/>
    </x:row>
    <x:row r="731">
      <x:c r="A731" s="136" t="str">
        <x:v>DrillCamp | Conquest | Orchards</x:v>
      </x:c>
      <x:c r="B731" s="136" t="str">
        <x:v>Artillery | USA CQ2_Spawnpoint_USA_Artillery_Staging [map-33/005]</x:v>
      </x:c>
      <x:c r="C731" s="136" t="str">
        <x:v>battery</x:v>
      </x:c>
      <x:c r="D731" s="136" t="str">
        <x:v>USA</x:v>
      </x:c>
      <x:c r="E731" s="136" t="str">
        <x:v>CQ2_Spawnpoint_USA_Artillery_Staging</x:v>
      </x:c>
      <x:c r="F731" s="137" t="n">
        <x:v>1466.0858154296875</x:v>
      </x:c>
      <x:c r="G731" s="137" t="n">
        <x:v>2630.04248046875</x:v>
      </x:c>
      <x:c r="H731" s="137" t="n">
        <x:v>49.868186950683594</x:v>
      </x:c>
      <x:c r="I731" s="137" t="n">
        <x:v>476.5855646493625</x:v>
      </x:c>
      <x:c r="J731" s="137" t="n">
        <x:v>1228.7271961262693</x:v>
      </x:c>
      <x:c r="K731" s="136" t="str">
        <x:v>map-33</x:v>
      </x:c>
      <x:c r="L731" s="136" t="str">
        <x:v>DrillCamp | Conquest | Orchards||Artillery | USA CQ2_Spawnpoint_USA_Artillery_Staging [map-33/005]</x:v>
      </x:c>
      <x:c r="M731" s="35"/>
      <x:c r="N731" s="35"/>
      <x:c r="O731" s="35"/>
      <x:c r="P731" s="35"/>
      <x:c r="Q731" s="35"/>
      <x:c r="R731" s="35"/>
      <x:c r="S731" s="35"/>
      <x:c r="T731" s="35"/>
      <x:c r="U731" s="35"/>
      <x:c r="V731" s="35"/>
      <x:c r="W731" s="35"/>
      <x:c r="X731" s="35"/>
      <x:c r="Y731" s="35"/>
      <x:c r="Z731" s="35"/>
      <x:c r="AA731" s="35"/>
    </x:row>
    <x:row r="732">
      <x:c r="A732" s="136" t="str">
        <x:v>DrillCamp | Conquest | Orchards</x:v>
      </x:c>
      <x:c r="B732" s="136" t="str">
        <x:v>Spawn | USA CQ2_Spawnpoint_USA_Cavalry_0 [map-33/006]</x:v>
      </x:c>
      <x:c r="C732" s="136" t="str">
        <x:v>spawn</x:v>
      </x:c>
      <x:c r="D732" s="136" t="str">
        <x:v>USA</x:v>
      </x:c>
      <x:c r="E732" s="136" t="str">
        <x:v>CQ2_Spawnpoint_USA_Cavalry_0</x:v>
      </x:c>
      <x:c r="F732" s="137" t="n">
        <x:v>1275.4267578125</x:v>
      </x:c>
      <x:c r="G732" s="137" t="n">
        <x:v>2750.679443359375</x:v>
      </x:c>
      <x:c r="H732" s="137" t="n">
        <x:v>56.091915130615234</x:v>
      </x:c>
      <x:c r="I732" s="137" t="n">
        <x:v>149.8326359190675</x:v>
      </x:c>
      <x:c r="J732" s="137" t="n">
        <x:v>1021.9786606499974</x:v>
      </x:c>
      <x:c r="K732" s="136" t="str">
        <x:v>map-33</x:v>
      </x:c>
      <x:c r="L732" s="136" t="str">
        <x:v>DrillCamp | Conquest | Orchards||Spawn | USA CQ2_Spawnpoint_USA_Cavalry_0 [map-33/006]</x:v>
      </x:c>
      <x:c r="M732" s="35"/>
      <x:c r="N732" s="35"/>
      <x:c r="O732" s="35"/>
      <x:c r="P732" s="35"/>
      <x:c r="Q732" s="35"/>
      <x:c r="R732" s="35"/>
      <x:c r="S732" s="35"/>
      <x:c r="T732" s="35"/>
      <x:c r="U732" s="35"/>
      <x:c r="V732" s="35"/>
      <x:c r="W732" s="35"/>
      <x:c r="X732" s="35"/>
      <x:c r="Y732" s="35"/>
      <x:c r="Z732" s="35"/>
      <x:c r="AA732" s="35"/>
    </x:row>
    <x:row r="733">
      <x:c r="A733" s="136" t="str">
        <x:v>DrillCamp | Conquest | Orchards</x:v>
      </x:c>
      <x:c r="B733" s="136" t="str">
        <x:v>Spawn | CSA CQ2_Spawnpoint_CSA_Infantry_0 [map-33/007]</x:v>
      </x:c>
      <x:c r="C733" s="136" t="str">
        <x:v>spawn</x:v>
      </x:c>
      <x:c r="D733" s="136" t="str">
        <x:v>CSA</x:v>
      </x:c>
      <x:c r="E733" s="136" t="str">
        <x:v>CQ2_Spawnpoint_CSA_Infantry_0</x:v>
      </x:c>
      <x:c r="F733" s="137" t="n">
        <x:v>2095.3427734375</x:v>
      </x:c>
      <x:c r="G733" s="137" t="n">
        <x:v>2353.67333984375</x:v>
      </x:c>
      <x:c r="H733" s="137" t="n">
        <x:v>42.34144973754883</x:v>
      </x:c>
      <x:c r="I733" s="137" t="n">
        <x:v>1555.0108779948405</x:v>
      </x:c>
      <x:c r="J733" s="137" t="n">
        <x:v>1702.3707105676872</x:v>
      </x:c>
      <x:c r="K733" s="136" t="str">
        <x:v>map-33</x:v>
      </x:c>
      <x:c r="L733" s="136" t="str">
        <x:v>DrillCamp | Conquest | Orchards||Spawn | CSA CQ2_Spawnpoint_CSA_Infantry_0 [map-33/007]</x:v>
      </x:c>
      <x:c r="M733" s="35"/>
      <x:c r="N733" s="35"/>
      <x:c r="O733" s="35"/>
      <x:c r="P733" s="35"/>
      <x:c r="Q733" s="35"/>
      <x:c r="R733" s="35"/>
      <x:c r="S733" s="35"/>
      <x:c r="T733" s="35"/>
      <x:c r="U733" s="35"/>
      <x:c r="V733" s="35"/>
      <x:c r="W733" s="35"/>
      <x:c r="X733" s="35"/>
      <x:c r="Y733" s="35"/>
      <x:c r="Z733" s="35"/>
      <x:c r="AA733" s="35"/>
    </x:row>
    <x:row r="734">
      <x:c r="A734" s="136" t="str">
        <x:v>DrillCamp | Conquest | Orchards</x:v>
      </x:c>
      <x:c r="B734" s="136" t="str">
        <x:v>Artillery | USA CQ2_Spawnpoint_USA_Artillery_Forward [map-33/008]</x:v>
      </x:c>
      <x:c r="C734" s="136" t="str">
        <x:v>battery</x:v>
      </x:c>
      <x:c r="D734" s="136" t="str">
        <x:v>USA</x:v>
      </x:c>
      <x:c r="E734" s="136" t="str">
        <x:v>CQ2_Spawnpoint_USA_Artillery_Forward</x:v>
      </x:c>
      <x:c r="F734" s="137" t="n">
        <x:v>1378.043701171875</x:v>
      </x:c>
      <x:c r="G734" s="137" t="n">
        <x:v>2929.7041015625</x:v>
      </x:c>
      <x:c r="H734" s="137" t="n">
        <x:v>58.689876556396484</x:v>
      </x:c>
      <x:c r="I734" s="137" t="n">
        <x:v>325.69832622028656</x:v>
      </x:c>
      <x:c r="J734" s="137" t="n">
        <x:v>715.1648532500716</x:v>
      </x:c>
      <x:c r="K734" s="136" t="str">
        <x:v>map-33</x:v>
      </x:c>
      <x:c r="L734" s="136" t="str">
        <x:v>DrillCamp | Conquest | Orchards||Artillery | USA CQ2_Spawnpoint_USA_Artillery_Forward [map-33/008]</x:v>
      </x:c>
      <x:c r="M734" s="35"/>
      <x:c r="N734" s="35"/>
      <x:c r="O734" s="35"/>
      <x:c r="P734" s="35"/>
      <x:c r="Q734" s="35"/>
      <x:c r="R734" s="35"/>
      <x:c r="S734" s="35"/>
      <x:c r="T734" s="35"/>
      <x:c r="U734" s="35"/>
      <x:c r="V734" s="35"/>
      <x:c r="W734" s="35"/>
      <x:c r="X734" s="35"/>
      <x:c r="Y734" s="35"/>
      <x:c r="Z734" s="35"/>
      <x:c r="AA734" s="35"/>
    </x:row>
    <x:row r="735">
      <x:c r="A735" s="136" t="str">
        <x:v>DrillCamp | Conquest | Orchards</x:v>
      </x:c>
      <x:c r="B735" s="136" t="str">
        <x:v>Artillery | CSA CQ2_Spawnpoint_CSA_Artillery_Forward [map-33/009]</x:v>
      </x:c>
      <x:c r="C735" s="136" t="str">
        <x:v>battery</x:v>
      </x:c>
      <x:c r="D735" s="136" t="str">
        <x:v>CSA</x:v>
      </x:c>
      <x:c r="E735" s="136" t="str">
        <x:v>CQ2_Spawnpoint_CSA_Artillery_Forward</x:v>
      </x:c>
      <x:c r="F735" s="137" t="n">
        <x:v>2154.6728515625</x:v>
      </x:c>
      <x:c r="G735" s="137" t="n">
        <x:v>2921.472900390625</x:v>
      </x:c>
      <x:c r="H735" s="137" t="n">
        <x:v>44.17229080200195</x:v>
      </x:c>
      <x:c r="I735" s="137" t="n">
        <x:v>1656.6912126793088</x:v>
      </x:c>
      <x:c r="J735" s="137" t="n">
        <x:v>729.271547804697</x:v>
      </x:c>
      <x:c r="K735" s="136" t="str">
        <x:v>map-33</x:v>
      </x:c>
      <x:c r="L735" s="136" t="str">
        <x:v>DrillCamp | Conquest | Orchards||Artillery | CSA CQ2_Spawnpoint_CSA_Artillery_Forward [map-33/009]</x:v>
      </x:c>
      <x:c r="M735" s="35"/>
      <x:c r="N735" s="35"/>
      <x:c r="O735" s="35"/>
      <x:c r="P735" s="35"/>
      <x:c r="Q735" s="35"/>
      <x:c r="R735" s="35"/>
      <x:c r="S735" s="35"/>
      <x:c r="T735" s="35"/>
      <x:c r="U735" s="35"/>
      <x:c r="V735" s="35"/>
      <x:c r="W735" s="35"/>
      <x:c r="X735" s="35"/>
      <x:c r="Y735" s="35"/>
      <x:c r="Z735" s="35"/>
      <x:c r="AA735" s="35"/>
    </x:row>
    <x:row r="736">
      <x:c r="A736" s="136" t="str">
        <x:v>DrillCamp | Conquest | Orchards</x:v>
      </x:c>
      <x:c r="B736" s="136" t="str">
        <x:v>Spawn | USA CQ2_Spawnpoint_USA_Infantry_0 [map-33/010]</x:v>
      </x:c>
      <x:c r="C736" s="136" t="str">
        <x:v>spawn</x:v>
      </x:c>
      <x:c r="D736" s="136" t="str">
        <x:v>USA</x:v>
      </x:c>
      <x:c r="E736" s="136" t="str">
        <x:v>CQ2_Spawnpoint_USA_Infantry_0</x:v>
      </x:c>
      <x:c r="F736" s="137" t="n">
        <x:v>1402.668701171875</x:v>
      </x:c>
      <x:c r="G736" s="137" t="n">
        <x:v>2634.881103515625</x:v>
      </x:c>
      <x:c r="H736" s="137" t="n">
        <x:v>52.93899154663086</x:v>
      </x:c>
      <x:c r="I736" s="137" t="n">
        <x:v>367.90083666245584</x:v>
      </x:c>
      <x:c r="J736" s="137" t="n">
        <x:v>1220.4347275105752</x:v>
      </x:c>
      <x:c r="K736" s="136" t="str">
        <x:v>map-33</x:v>
      </x:c>
      <x:c r="L736" s="136" t="str">
        <x:v>DrillCamp | Conquest | Orchards||Spawn | USA CQ2_Spawnpoint_USA_Infantry_0 [map-33/010]</x:v>
      </x:c>
      <x:c r="M736" s="35"/>
      <x:c r="N736" s="35"/>
      <x:c r="O736" s="35"/>
      <x:c r="P736" s="35"/>
      <x:c r="Q736" s="35"/>
      <x:c r="R736" s="35"/>
      <x:c r="S736" s="35"/>
      <x:c r="T736" s="35"/>
      <x:c r="U736" s="35"/>
      <x:c r="V736" s="35"/>
      <x:c r="W736" s="35"/>
      <x:c r="X736" s="35"/>
      <x:c r="Y736" s="35"/>
      <x:c r="Z736" s="35"/>
      <x:c r="AA736" s="35"/>
    </x:row>
    <x:row r="737">
      <x:c r="A737" s="136" t="str">
        <x:v>DrillCamp | Conquest | Orchards</x:v>
      </x:c>
      <x:c r="B737" s="136" t="str">
        <x:v>Objective | Victory_Conquest_2 [map-33/011]</x:v>
      </x:c>
      <x:c r="C737" s="136" t="str">
        <x:v>objective</x:v>
      </x:c>
      <x:c r="D737" s="136" t="str"/>
      <x:c r="E737" s="136" t="str">
        <x:v>Victory_Conquest_2</x:v>
      </x:c>
      <x:c r="F737" s="137" t="n">
        <x:v>2082.83447265625</x:v>
      </x:c>
      <x:c r="G737" s="137" t="n">
        <x:v>3055.283203125</x:v>
      </x:c>
      <x:c r="H737" s="137" t="n">
        <x:v>50.3582763671875</x:v>
      </x:c>
      <x:c r="I737" s="137" t="n">
        <x:v>1533.5740579203432</x:v>
      </x:c>
      <x:c r="J737" s="137" t="n">
        <x:v>499.94644330044133</x:v>
      </x:c>
      <x:c r="K737" s="136" t="str">
        <x:v>map-33</x:v>
      </x:c>
      <x:c r="L737" s="136" t="str">
        <x:v>DrillCamp | Conquest | Orchards||Objective | Victory_Conquest_2 [map-33/011]</x:v>
      </x:c>
      <x:c r="M737" s="35"/>
      <x:c r="N737" s="35"/>
      <x:c r="O737" s="35"/>
      <x:c r="P737" s="35"/>
      <x:c r="Q737" s="35"/>
      <x:c r="R737" s="35"/>
      <x:c r="S737" s="35"/>
      <x:c r="T737" s="35"/>
      <x:c r="U737" s="35"/>
      <x:c r="V737" s="35"/>
      <x:c r="W737" s="35"/>
      <x:c r="X737" s="35"/>
      <x:c r="Y737" s="35"/>
      <x:c r="Z737" s="35"/>
      <x:c r="AA737" s="35"/>
    </x:row>
    <x:row r="738">
      <x:c r="A738" s="136" t="str">
        <x:v>DrillCamp | Conquest | Orchards</x:v>
      </x:c>
      <x:c r="B738" s="136" t="str">
        <x:v>Spawn | CSA CQ2_Spawnpoint_CSA_Infantry_1 [map-33/012]</x:v>
      </x:c>
      <x:c r="C738" s="136" t="str">
        <x:v>spawn</x:v>
      </x:c>
      <x:c r="D738" s="136" t="str">
        <x:v>CSA</x:v>
      </x:c>
      <x:c r="E738" s="136" t="str">
        <x:v>CQ2_Spawnpoint_CSA_Infantry_1</x:v>
      </x:c>
      <x:c r="F738" s="137" t="n">
        <x:v>2112.17724609375</x:v>
      </x:c>
      <x:c r="G738" s="137" t="n">
        <x:v>2334.64794921875</x:v>
      </x:c>
      <x:c r="H738" s="137" t="n">
        <x:v>42.91282653808594</x:v>
      </x:c>
      <x:c r="I738" s="137" t="n">
        <x:v>1583.8619240075836</x:v>
      </x:c>
      <x:c r="J738" s="137" t="n">
        <x:v>1734.976568294303</x:v>
      </x:c>
      <x:c r="K738" s="136" t="str">
        <x:v>map-33</x:v>
      </x:c>
      <x:c r="L738" s="136" t="str">
        <x:v>DrillCamp | Conquest | Orchards||Spawn | CSA CQ2_Spawnpoint_CSA_Infantry_1 [map-33/012]</x:v>
      </x:c>
      <x:c r="M738" s="35"/>
      <x:c r="N738" s="35"/>
      <x:c r="O738" s="35"/>
      <x:c r="P738" s="35"/>
      <x:c r="Q738" s="35"/>
      <x:c r="R738" s="35"/>
      <x:c r="S738" s="35"/>
      <x:c r="T738" s="35"/>
      <x:c r="U738" s="35"/>
      <x:c r="V738" s="35"/>
      <x:c r="W738" s="35"/>
      <x:c r="X738" s="35"/>
      <x:c r="Y738" s="35"/>
      <x:c r="Z738" s="35"/>
      <x:c r="AA738" s="35"/>
    </x:row>
    <x:row r="739">
      <x:c r="A739" s="136" t="str">
        <x:v>DrillCamp | Conquest | Orchards</x:v>
      </x:c>
      <x:c r="B739" s="136" t="str">
        <x:v>Artillery | CSA CQ2_Spawnpoint_CSA_Artillery_Staging [map-33/013]</x:v>
      </x:c>
      <x:c r="C739" s="136" t="str">
        <x:v>battery</x:v>
      </x:c>
      <x:c r="D739" s="136" t="str">
        <x:v>CSA</x:v>
      </x:c>
      <x:c r="E739" s="136" t="str">
        <x:v>CQ2_Spawnpoint_CSA_Artillery_Staging</x:v>
      </x:c>
      <x:c r="F739" s="137" t="n">
        <x:v>2129.260009765625</x:v>
      </x:c>
      <x:c r="G739" s="137" t="n">
        <x:v>2317.832763671875</x:v>
      </x:c>
      <x:c r="H739" s="137" t="n">
        <x:v>43.96492385864258</x:v>
      </x:c>
      <x:c r="I739" s="137" t="n">
        <x:v>1613.1384930326972</x:v>
      </x:c>
      <x:c r="J739" s="137" t="n">
        <x:v>1763.794559913755</x:v>
      </x:c>
      <x:c r="K739" s="136" t="str">
        <x:v>map-33</x:v>
      </x:c>
      <x:c r="L739" s="136" t="str">
        <x:v>DrillCamp | Conquest | Orchards||Artillery | CSA CQ2_Spawnpoint_CSA_Artillery_Staging [map-33/013]</x:v>
      </x:c>
      <x:c r="M739" s="35"/>
      <x:c r="N739" s="35"/>
      <x:c r="O739" s="35"/>
      <x:c r="P739" s="35"/>
      <x:c r="Q739" s="35"/>
      <x:c r="R739" s="35"/>
      <x:c r="S739" s="35"/>
      <x:c r="T739" s="35"/>
      <x:c r="U739" s="35"/>
      <x:c r="V739" s="35"/>
      <x:c r="W739" s="35"/>
      <x:c r="X739" s="35"/>
      <x:c r="Y739" s="35"/>
      <x:c r="Z739" s="35"/>
      <x:c r="AA739" s="35"/>
    </x:row>
    <x:row r="740">
      <x:c r="A740" s="136" t="str">
        <x:v>DrillCamp | Conquest | Orchards</x:v>
      </x:c>
      <x:c r="B740" s="136" t="str">
        <x:v>Gun | 3-inch Ordnance · Entity-1635 [map-33/014]</x:v>
      </x:c>
      <x:c r="C740" s="136" t="str">
        <x:v>gun_spawn</x:v>
      </x:c>
      <x:c r="D740" s="136" t="str"/>
      <x:c r="E740" s="136" t="str">
        <x:v>3-inch Ordnance · Entity-1635</x:v>
      </x:c>
      <x:c r="F740" s="137" t="n">
        <x:v>2112.93408203125</x:v>
      </x:c>
      <x:c r="G740" s="137" t="n">
        <x:v>2929.278564453125</x:v>
      </x:c>
      <x:c r="H740" s="137" t="n">
        <x:v>44.820098876953125</x:v>
      </x:c>
      <x:c r="I740" s="137" t="n">
        <x:v>1585.1589951367353</x:v>
      </x:c>
      <x:c r="J740" s="137" t="n">
        <x:v>715.8941419526881</x:v>
      </x:c>
      <x:c r="K740" s="136" t="str">
        <x:v>map-33</x:v>
      </x:c>
      <x:c r="L740" s="136" t="str">
        <x:v>DrillCamp | Conquest | Orchards||Gun | 3-inch Ordnance · Entity-1635 [map-33/014]</x:v>
      </x:c>
      <x:c r="M740" s="35"/>
      <x:c r="N740" s="35"/>
      <x:c r="O740" s="35"/>
      <x:c r="P740" s="35"/>
      <x:c r="Q740" s="35"/>
      <x:c r="R740" s="35"/>
      <x:c r="S740" s="35"/>
      <x:c r="T740" s="35"/>
      <x:c r="U740" s="35"/>
      <x:c r="V740" s="35"/>
      <x:c r="W740" s="35"/>
      <x:c r="X740" s="35"/>
      <x:c r="Y740" s="35"/>
      <x:c r="Z740" s="35"/>
      <x:c r="AA740" s="35"/>
    </x:row>
    <x:row r="741">
      <x:c r="A741" s="136" t="str">
        <x:v>DrillCamp | Conquest | Orchards</x:v>
      </x:c>
      <x:c r="B741" s="136" t="str">
        <x:v>Gun | 3-inch Ordnance · Entity-1648 [map-33/015]</x:v>
      </x:c>
      <x:c r="C741" s="136" t="str">
        <x:v>gun_spawn</x:v>
      </x:c>
      <x:c r="D741" s="136" t="str"/>
      <x:c r="E741" s="136" t="str">
        <x:v>3-inch Ordnance · Entity-1648</x:v>
      </x:c>
      <x:c r="F741" s="137" t="n">
        <x:v>1418.78759765625</x:v>
      </x:c>
      <x:c r="G741" s="137" t="n">
        <x:v>2927.380126953125</x:v>
      </x:c>
      <x:c r="H741" s="137" t="n">
        <x:v>58.982765197753906</x:v>
      </x:c>
      <x:c r="I741" s="137" t="n">
        <x:v>395.5255228430886</x:v>
      </x:c>
      <x:c r="J741" s="137" t="n">
        <x:v>719.1476984366496</x:v>
      </x:c>
      <x:c r="K741" s="136" t="str">
        <x:v>map-33</x:v>
      </x:c>
      <x:c r="L741" s="136" t="str">
        <x:v>DrillCamp | Conquest | Orchards||Gun | 3-inch Ordnance · Entity-1648 [map-33/015]</x:v>
      </x:c>
      <x:c r="M741" s="35"/>
      <x:c r="N741" s="35"/>
      <x:c r="O741" s="35"/>
      <x:c r="P741" s="35"/>
      <x:c r="Q741" s="35"/>
      <x:c r="R741" s="35"/>
      <x:c r="S741" s="35"/>
      <x:c r="T741" s="35"/>
      <x:c r="U741" s="35"/>
      <x:c r="V741" s="35"/>
      <x:c r="W741" s="35"/>
      <x:c r="X741" s="35"/>
      <x:c r="Y741" s="35"/>
      <x:c r="Z741" s="35"/>
      <x:c r="AA741" s="35"/>
    </x:row>
    <x:row r="742">
      <x:c r="A742" s="136" t="str">
        <x:v>DrillCamp | Conquest | Orchards</x:v>
      </x:c>
      <x:c r="B742" s="136" t="str">
        <x:v>Gun | 12-pounder Napoleon (CSA) · Entity-1650 [map-33/016]</x:v>
      </x:c>
      <x:c r="C742" s="136" t="str">
        <x:v>gun_spawn</x:v>
      </x:c>
      <x:c r="D742" s="136" t="str"/>
      <x:c r="E742" s="136" t="str">
        <x:v>12-pounder Napoleon (CSA) · Entity-1650</x:v>
      </x:c>
      <x:c r="F742" s="137" t="n">
        <x:v>1418.9415283203125</x:v>
      </x:c>
      <x:c r="G742" s="137" t="n">
        <x:v>2912.140869140625</x:v>
      </x:c>
      <x:c r="H742" s="137" t="n">
        <x:v>58.94121170043945</x:v>
      </x:c>
      <x:c r="I742" s="137" t="n">
        <x:v>395.7893303743563</x:v>
      </x:c>
      <x:c r="J742" s="137" t="n">
        <x:v>745.2648532371752</x:v>
      </x:c>
      <x:c r="K742" s="136" t="str">
        <x:v>map-33</x:v>
      </x:c>
      <x:c r="L742" s="136" t="str">
        <x:v>DrillCamp | Conquest | Orchards||Gun | 12-pounder Napoleon (CSA) · Entity-1650 [map-33/016]</x:v>
      </x:c>
      <x:c r="M742" s="35"/>
      <x:c r="N742" s="35"/>
      <x:c r="O742" s="35"/>
      <x:c r="P742" s="35"/>
      <x:c r="Q742" s="35"/>
      <x:c r="R742" s="35"/>
      <x:c r="S742" s="35"/>
      <x:c r="T742" s="35"/>
      <x:c r="U742" s="35"/>
      <x:c r="V742" s="35"/>
      <x:c r="W742" s="35"/>
      <x:c r="X742" s="35"/>
      <x:c r="Y742" s="35"/>
      <x:c r="Z742" s="35"/>
      <x:c r="AA742" s="35"/>
    </x:row>
    <x:row r="743">
      <x:c r="A743" s="136" t="str">
        <x:v>DrillCamp | Conquest | Orchards</x:v>
      </x:c>
      <x:c r="B743" s="136" t="str">
        <x:v>Gun | 12-pounder Napoleon (USA) · Entity-1639 [map-33/017]</x:v>
      </x:c>
      <x:c r="C743" s="136" t="str">
        <x:v>gun_spawn</x:v>
      </x:c>
      <x:c r="D743" s="136" t="str"/>
      <x:c r="E743" s="136" t="str">
        <x:v>12-pounder Napoleon (USA) · Entity-1639</x:v>
      </x:c>
      <x:c r="F743" s="137" t="n">
        <x:v>2130.789794921875</x:v>
      </x:c>
      <x:c r="G743" s="137" t="n">
        <x:v>2959.077880859375</x:v>
      </x:c>
      <x:c r="H743" s="137" t="n">
        <x:v>46.25581741333008</x:v>
      </x:c>
      <x:c r="I743" s="137" t="n">
        <x:v>1615.7602503537496</x:v>
      </x:c>
      <x:c r="J743" s="137" t="n">
        <x:v>664.8238490875399</x:v>
      </x:c>
      <x:c r="K743" s="136" t="str">
        <x:v>map-33</x:v>
      </x:c>
      <x:c r="L743" s="136" t="str">
        <x:v>DrillCamp | Conquest | Orchards||Gun | 12-pounder Napoleon (USA) · Entity-1639 [map-33/017]</x:v>
      </x:c>
      <x:c r="M743" s="35"/>
      <x:c r="N743" s="35"/>
      <x:c r="O743" s="35"/>
      <x:c r="P743" s="35"/>
      <x:c r="Q743" s="35"/>
      <x:c r="R743" s="35"/>
      <x:c r="S743" s="35"/>
      <x:c r="T743" s="35"/>
      <x:c r="U743" s="35"/>
      <x:c r="V743" s="35"/>
      <x:c r="W743" s="35"/>
      <x:c r="X743" s="35"/>
      <x:c r="Y743" s="35"/>
      <x:c r="Z743" s="35"/>
      <x:c r="AA743" s="35"/>
    </x:row>
    <x:row r="744">
      <x:c r="A744" s="136" t="str">
        <x:v>DrillCamp | Conquest | Orchards</x:v>
      </x:c>
      <x:c r="B744" s="136" t="str">
        <x:v>Gun | 12-pounder Napoleon (USA) · Entity-1638 [map-33/018]</x:v>
      </x:c>
      <x:c r="C744" s="136" t="str">
        <x:v>gun_spawn</x:v>
      </x:c>
      <x:c r="D744" s="136" t="str"/>
      <x:c r="E744" s="136" t="str">
        <x:v>12-pounder Napoleon (USA) · Entity-1638</x:v>
      </x:c>
      <x:c r="F744" s="137" t="n">
        <x:v>2125.64453125</x:v>
      </x:c>
      <x:c r="G744" s="137" t="n">
        <x:v>2950.896484375</x:v>
      </x:c>
      <x:c r="H744" s="137" t="n">
        <x:v>46.14850616455078</x:v>
      </x:c>
      <x:c r="I744" s="137" t="n">
        <x:v>1606.9422587257284</x:v>
      </x:c>
      <x:c r="J744" s="137" t="n">
        <x:v>678.8451879936663</x:v>
      </x:c>
      <x:c r="K744" s="136" t="str">
        <x:v>map-33</x:v>
      </x:c>
      <x:c r="L744" s="136" t="str">
        <x:v>DrillCamp | Conquest | Orchards||Gun | 12-pounder Napoleon (USA) · Entity-1638 [map-33/018]</x:v>
      </x:c>
      <x:c r="M744" s="35"/>
      <x:c r="N744" s="35"/>
      <x:c r="O744" s="35"/>
      <x:c r="P744" s="35"/>
      <x:c r="Q744" s="35"/>
      <x:c r="R744" s="35"/>
      <x:c r="S744" s="35"/>
      <x:c r="T744" s="35"/>
      <x:c r="U744" s="35"/>
      <x:c r="V744" s="35"/>
      <x:c r="W744" s="35"/>
      <x:c r="X744" s="35"/>
      <x:c r="Y744" s="35"/>
      <x:c r="Z744" s="35"/>
      <x:c r="AA744" s="35"/>
    </x:row>
    <x:row r="745">
      <x:c r="A745" s="136" t="str">
        <x:v>DrillCamp | Conquest | Orchards</x:v>
      </x:c>
      <x:c r="B745" s="136" t="str">
        <x:v>Gun | 3-inch Ordnance · Entity-1634 [map-33/019]</x:v>
      </x:c>
      <x:c r="C745" s="136" t="str">
        <x:v>gun_spawn</x:v>
      </x:c>
      <x:c r="D745" s="136" t="str"/>
      <x:c r="E745" s="136" t="str">
        <x:v>3-inch Ordnance · Entity-1634</x:v>
      </x:c>
      <x:c r="F745" s="137" t="n">
        <x:v>2108.310302734375</x:v>
      </x:c>
      <x:c r="G745" s="137" t="n">
        <x:v>2921.770751953125</x:v>
      </x:c>
      <x:c r="H745" s="137" t="n">
        <x:v>44.40179443359375</x:v>
      </x:c>
      <x:c r="I745" s="137" t="n">
        <x:v>1577.2347273577036</x:v>
      </x:c>
      <x:c r="J745" s="137" t="n">
        <x:v>728.7610875538696</x:v>
      </x:c>
      <x:c r="K745" s="136" t="str">
        <x:v>map-33</x:v>
      </x:c>
      <x:c r="L745" s="136" t="str">
        <x:v>DrillCamp | Conquest | Orchards||Gun | 3-inch Ordnance · Entity-1634 [map-33/019]</x:v>
      </x:c>
      <x:c r="M745" s="35"/>
      <x:c r="N745" s="35"/>
      <x:c r="O745" s="35"/>
      <x:c r="P745" s="35"/>
      <x:c r="Q745" s="35"/>
      <x:c r="R745" s="35"/>
      <x:c r="S745" s="35"/>
      <x:c r="T745" s="35"/>
      <x:c r="U745" s="35"/>
      <x:c r="V745" s="35"/>
      <x:c r="W745" s="35"/>
      <x:c r="X745" s="35"/>
      <x:c r="Y745" s="35"/>
      <x:c r="Z745" s="35"/>
      <x:c r="AA745" s="35"/>
    </x:row>
    <x:row r="746">
      <x:c r="A746" s="136" t="str">
        <x:v>DrillCamp | Conquest | Orchards</x:v>
      </x:c>
      <x:c r="B746" s="136" t="str">
        <x:v>Gun | 3-inch Ordnance · Entity-1647 [map-33/020]</x:v>
      </x:c>
      <x:c r="C746" s="136" t="str">
        <x:v>gun_spawn</x:v>
      </x:c>
      <x:c r="D746" s="136" t="str"/>
      <x:c r="E746" s="136" t="str">
        <x:v>3-inch Ordnance · Entity-1647</x:v>
      </x:c>
      <x:c r="F746" s="137" t="n">
        <x:v>1419.118408203125</x:v>
      </x:c>
      <x:c r="G746" s="137" t="n">
        <x:v>2935.062255859375</x:v>
      </x:c>
      <x:c r="H746" s="137" t="n">
        <x:v>59.093955993652344</x:v>
      </x:c>
      <x:c r="I746" s="137" t="n">
        <x:v>396.09246844954026</x:v>
      </x:c>
      <x:c r="J746" s="137" t="n">
        <x:v>705.9820080657215</x:v>
      </x:c>
      <x:c r="K746" s="136" t="str">
        <x:v>map-33</x:v>
      </x:c>
      <x:c r="L746" s="136" t="str">
        <x:v>DrillCamp | Conquest | Orchards||Gun | 3-inch Ordnance · Entity-1647 [map-33/020]</x:v>
      </x:c>
      <x:c r="M746" s="35"/>
      <x:c r="N746" s="35"/>
      <x:c r="O746" s="35"/>
      <x:c r="P746" s="35"/>
      <x:c r="Q746" s="35"/>
      <x:c r="R746" s="35"/>
      <x:c r="S746" s="35"/>
      <x:c r="T746" s="35"/>
      <x:c r="U746" s="35"/>
      <x:c r="V746" s="35"/>
      <x:c r="W746" s="35"/>
      <x:c r="X746" s="35"/>
      <x:c r="Y746" s="35"/>
      <x:c r="Z746" s="35"/>
      <x:c r="AA746" s="35"/>
    </x:row>
    <x:row r="747">
      <x:c r="A747" s="136" t="str">
        <x:v>DrillCamp | Conquest | Orchards</x:v>
      </x:c>
      <x:c r="B747" s="136" t="str">
        <x:v>Gun | 3-inch Ordnance · Entity-1636 [map-33/021]</x:v>
      </x:c>
      <x:c r="C747" s="136" t="str">
        <x:v>gun_spawn</x:v>
      </x:c>
      <x:c r="D747" s="136" t="str"/>
      <x:c r="E747" s="136" t="str">
        <x:v>3-inch Ordnance · Entity-1636</x:v>
      </x:c>
      <x:c r="F747" s="137" t="n">
        <x:v>2116.73388671875</x:v>
      </x:c>
      <x:c r="G747" s="137" t="n">
        <x:v>2935.629150390625</x:v>
      </x:c>
      <x:c r="H747" s="137" t="n">
        <x:v>44.922393798828125</x:v>
      </x:c>
      <x:c r="I747" s="137" t="n">
        <x:v>1591.6711290251585</x:v>
      </x:c>
      <x:c r="J747" s="137" t="n">
        <x:v>705.010459948983</x:v>
      </x:c>
      <x:c r="K747" s="136" t="str">
        <x:v>map-33</x:v>
      </x:c>
      <x:c r="L747" s="136" t="str">
        <x:v>DrillCamp | Conquest | Orchards||Gun | 3-inch Ordnance · Entity-1636 [map-33/021]</x:v>
      </x:c>
      <x:c r="M747" s="35"/>
      <x:c r="N747" s="35"/>
      <x:c r="O747" s="35"/>
      <x:c r="P747" s="35"/>
      <x:c r="Q747" s="35"/>
      <x:c r="R747" s="35"/>
      <x:c r="S747" s="35"/>
      <x:c r="T747" s="35"/>
      <x:c r="U747" s="35"/>
      <x:c r="V747" s="35"/>
      <x:c r="W747" s="35"/>
      <x:c r="X747" s="35"/>
      <x:c r="Y747" s="35"/>
      <x:c r="Z747" s="35"/>
      <x:c r="AA747" s="35"/>
    </x:row>
    <x:row r="748">
      <x:c r="A748" s="136" t="str">
        <x:v>DrillCamp | Conquest | Orchards</x:v>
      </x:c>
      <x:c r="B748" s="136" t="str">
        <x:v>Gun | 12-pounder Napoleon (CSA) · Entity-1651 [map-33/022]</x:v>
      </x:c>
      <x:c r="C748" s="136" t="str">
        <x:v>gun_spawn</x:v>
      </x:c>
      <x:c r="D748" s="136" t="str"/>
      <x:c r="E748" s="136" t="str">
        <x:v>12-pounder Napoleon (CSA) · Entity-1651</x:v>
      </x:c>
      <x:c r="F748" s="137" t="n">
        <x:v>1418.70458984375</x:v>
      </x:c>
      <x:c r="G748" s="137" t="n">
        <x:v>2902.219482421875</x:v>
      </x:c>
      <x:c r="H748" s="137" t="n">
        <x:v>58.98301315307617</x:v>
      </x:c>
      <x:c r="I748" s="137" t="n">
        <x:v>395.3832634289236</x:v>
      </x:c>
      <x:c r="J748" s="137" t="n">
        <x:v>762.2682005102249</x:v>
      </x:c>
      <x:c r="K748" s="136" t="str">
        <x:v>map-33</x:v>
      </x:c>
      <x:c r="L748" s="136" t="str">
        <x:v>DrillCamp | Conquest | Orchards||Gun | 12-pounder Napoleon (CSA) · Entity-1651 [map-33/022]</x:v>
      </x:c>
      <x:c r="M748" s="35"/>
      <x:c r="N748" s="35"/>
      <x:c r="O748" s="35"/>
      <x:c r="P748" s="35"/>
      <x:c r="Q748" s="35"/>
      <x:c r="R748" s="35"/>
      <x:c r="S748" s="35"/>
      <x:c r="T748" s="35"/>
      <x:c r="U748" s="35"/>
      <x:c r="V748" s="35"/>
      <x:c r="W748" s="35"/>
      <x:c r="X748" s="35"/>
      <x:c r="Y748" s="35"/>
      <x:c r="Z748" s="35"/>
      <x:c r="AA748" s="35"/>
    </x:row>
    <x:row r="749">
      <x:c r="A749" s="136" t="str">
        <x:v>DrillCamp | Conquest | Orchards</x:v>
      </x:c>
      <x:c r="B749" s="136" t="str">
        <x:v>Gun | 12-pounder Napoleon (USA) · Entity-1637 [map-33/023]</x:v>
      </x:c>
      <x:c r="C749" s="136" t="str">
        <x:v>gun_spawn</x:v>
      </x:c>
      <x:c r="D749" s="136" t="str"/>
      <x:c r="E749" s="136" t="str">
        <x:v>12-pounder Napoleon (USA) · Entity-1637</x:v>
      </x:c>
      <x:c r="F749" s="137" t="n">
        <x:v>2120.848876953125</x:v>
      </x:c>
      <x:c r="G749" s="137" t="n">
        <x:v>2942.6845703125</x:v>
      </x:c>
      <x:c r="H749" s="137" t="n">
        <x:v>45.57647705078125</x:v>
      </x:c>
      <x:c r="I749" s="137" t="n">
        <x:v>1598.7234302773672</x:v>
      </x:c>
      <x:c r="J749" s="137" t="n">
        <x:v>692.9188281550004</x:v>
      </x:c>
      <x:c r="K749" s="136" t="str">
        <x:v>map-33</x:v>
      </x:c>
      <x:c r="L749" s="136" t="str">
        <x:v>DrillCamp | Conquest | Orchards||Gun | 12-pounder Napoleon (USA) · Entity-1637 [map-33/023]</x:v>
      </x:c>
      <x:c r="M749" s="35"/>
      <x:c r="N749" s="35"/>
      <x:c r="O749" s="35"/>
      <x:c r="P749" s="35"/>
      <x:c r="Q749" s="35"/>
      <x:c r="R749" s="35"/>
      <x:c r="S749" s="35"/>
      <x:c r="T749" s="35"/>
      <x:c r="U749" s="35"/>
      <x:c r="V749" s="35"/>
      <x:c r="W749" s="35"/>
      <x:c r="X749" s="35"/>
      <x:c r="Y749" s="35"/>
      <x:c r="Z749" s="35"/>
      <x:c r="AA749" s="35"/>
    </x:row>
    <x:row r="750">
      <x:c r="A750" s="136" t="str">
        <x:v>DrillCamp | Conquest | Orchards</x:v>
      </x:c>
      <x:c r="B750" s="136" t="str">
        <x:v>Gun | 3-inch Ordnance · Entity-1646 [map-33/024]</x:v>
      </x:c>
      <x:c r="C750" s="136" t="str">
        <x:v>gun_spawn</x:v>
      </x:c>
      <x:c r="D750" s="136" t="str"/>
      <x:c r="E750" s="136" t="str">
        <x:v>3-inch Ordnance · Entity-1646</x:v>
      </x:c>
      <x:c r="F750" s="137" t="n">
        <x:v>1419.7412109375</x:v>
      </x:c>
      <x:c r="G750" s="137" t="n">
        <x:v>2942.40478515625</x:v>
      </x:c>
      <x:c r="H750" s="137" t="n">
        <x:v>59.26011276245117</x:v>
      </x:c>
      <x:c r="I750" s="137" t="n">
        <x:v>397.15983246581936</x:v>
      </x:c>
      <x:c r="J750" s="137" t="n">
        <x:v>693.3983260627448</x:v>
      </x:c>
      <x:c r="K750" s="136" t="str">
        <x:v>map-33</x:v>
      </x:c>
      <x:c r="L750" s="136" t="str">
        <x:v>DrillCamp | Conquest | Orchards||Gun | 3-inch Ordnance · Entity-1646 [map-33/024]</x:v>
      </x:c>
      <x:c r="M750" s="35"/>
      <x:c r="N750" s="35"/>
      <x:c r="O750" s="35"/>
      <x:c r="P750" s="35"/>
      <x:c r="Q750" s="35"/>
      <x:c r="R750" s="35"/>
      <x:c r="S750" s="35"/>
      <x:c r="T750" s="35"/>
      <x:c r="U750" s="35"/>
      <x:c r="V750" s="35"/>
      <x:c r="W750" s="35"/>
      <x:c r="X750" s="35"/>
      <x:c r="Y750" s="35"/>
      <x:c r="Z750" s="35"/>
      <x:c r="AA750" s="35"/>
    </x:row>
    <x:row r="751">
      <x:c r="A751" s="136" t="str">
        <x:v>DrillCamp | Conquest | Orchards</x:v>
      </x:c>
      <x:c r="B751" s="136" t="str">
        <x:v>Gun | 12-pounder Napoleon (USA) · Entity-1649 [map-33/025]</x:v>
      </x:c>
      <x:c r="C751" s="136" t="str">
        <x:v>gun_spawn</x:v>
      </x:c>
      <x:c r="D751" s="136" t="str"/>
      <x:c r="E751" s="136" t="str">
        <x:v>12-pounder Napoleon (USA) · Entity-1649</x:v>
      </x:c>
      <x:c r="F751" s="137" t="n">
        <x:v>1419.1268310546875</x:v>
      </x:c>
      <x:c r="G751" s="137" t="n">
        <x:v>2920.572021484375</x:v>
      </x:c>
      <x:c r="H751" s="137" t="n">
        <x:v>58.93800735473633</x:v>
      </x:c>
      <x:c r="I751" s="137" t="n">
        <x:v>396.1069035959776</x:v>
      </x:c>
      <x:c r="J751" s="137" t="n">
        <x:v>730.8154808584288</x:v>
      </x:c>
      <x:c r="K751" s="136" t="str">
        <x:v>map-33</x:v>
      </x:c>
      <x:c r="L751" s="136" t="str">
        <x:v>DrillCamp | Conquest | Orchards||Gun | 12-pounder Napoleon (USA) · Entity-1649 [map-33/025]</x:v>
      </x:c>
      <x:c r="M751" s="35"/>
      <x:c r="N751" s="35"/>
      <x:c r="O751" s="35"/>
      <x:c r="P751" s="35"/>
      <x:c r="Q751" s="35"/>
      <x:c r="R751" s="35"/>
      <x:c r="S751" s="35"/>
      <x:c r="T751" s="35"/>
      <x:c r="U751" s="35"/>
      <x:c r="V751" s="35"/>
      <x:c r="W751" s="35"/>
      <x:c r="X751" s="35"/>
      <x:c r="Y751" s="35"/>
      <x:c r="Z751" s="35"/>
      <x:c r="AA751" s="35"/>
    </x:row>
    <x:row r="752">
      <x:c r="A752" s="136" t="str">
        <x:v>DrillCamp | Conquest | Railroad Cut</x:v>
      </x:c>
      <x:c r="B752" s="136" t="str">
        <x:v>Spawn | USA CQ3_Spawnpoint_USA_Infantry_1 [map-34/001]</x:v>
      </x:c>
      <x:c r="C752" s="136" t="str">
        <x:v>spawn</x:v>
      </x:c>
      <x:c r="D752" s="136" t="str">
        <x:v>USA</x:v>
      </x:c>
      <x:c r="E752" s="136" t="str">
        <x:v>CQ3_Spawnpoint_USA_Infantry_1</x:v>
      </x:c>
      <x:c r="F752" s="137" t="n">
        <x:v>2078.849609375</x:v>
      </x:c>
      <x:c r="G752" s="137" t="n">
        <x:v>1756.117919921875</x:v>
      </x:c>
      <x:c r="H752" s="137" t="n">
        <x:v>77.4901351928711</x:v>
      </x:c>
      <x:c r="I752" s="137" t="n">
        <x:v>1762.5543334524689</x:v>
      </x:c>
      <x:c r="J752" s="137" t="n">
        <x:v>1146.3844757627112</x:v>
      </x:c>
      <x:c r="K752" s="136" t="str">
        <x:v>map-34</x:v>
      </x:c>
      <x:c r="L752" s="136" t="str">
        <x:v>DrillCamp | Conquest | Railroad Cut||Spawn | USA CQ3_Spawnpoint_USA_Infantry_1 [map-34/001]</x:v>
      </x:c>
      <x:c r="M752" s="35"/>
      <x:c r="N752" s="35"/>
      <x:c r="O752" s="35"/>
      <x:c r="P752" s="35"/>
      <x:c r="Q752" s="35"/>
      <x:c r="R752" s="35"/>
      <x:c r="S752" s="35"/>
      <x:c r="T752" s="35"/>
      <x:c r="U752" s="35"/>
      <x:c r="V752" s="35"/>
      <x:c r="W752" s="35"/>
      <x:c r="X752" s="35"/>
      <x:c r="Y752" s="35"/>
      <x:c r="Z752" s="35"/>
      <x:c r="AA752" s="35"/>
    </x:row>
    <x:row r="753">
      <x:c r="A753" s="136" t="str">
        <x:v>DrillCamp | Conquest | Railroad Cut</x:v>
      </x:c>
      <x:c r="B753" s="136" t="str">
        <x:v>Spawn | USA CQ3_Spawnpoint_USA_Infantry_2 [map-34/002]</x:v>
      </x:c>
      <x:c r="C753" s="136" t="str">
        <x:v>spawn</x:v>
      </x:c>
      <x:c r="D753" s="136" t="str">
        <x:v>USA</x:v>
      </x:c>
      <x:c r="E753" s="136" t="str">
        <x:v>CQ3_Spawnpoint_USA_Infantry_2</x:v>
      </x:c>
      <x:c r="F753" s="137" t="n">
        <x:v>2060.298828125</x:v>
      </x:c>
      <x:c r="G753" s="137" t="n">
        <x:v>1747.185791015625</x:v>
      </x:c>
      <x:c r="H753" s="137" t="n">
        <x:v>77.73980712890625</x:v>
      </x:c>
      <x:c r="I753" s="137" t="n">
        <x:v>1716.1660550931906</x:v>
      </x:c>
      <x:c r="J753" s="137" t="n">
        <x:v>1168.7475564753026</x:v>
      </x:c>
      <x:c r="K753" s="136" t="str">
        <x:v>map-34</x:v>
      </x:c>
      <x:c r="L753" s="136" t="str">
        <x:v>DrillCamp | Conquest | Railroad Cut||Spawn | USA CQ3_Spawnpoint_USA_Infantry_2 [map-34/002]</x:v>
      </x:c>
      <x:c r="M753" s="35"/>
      <x:c r="N753" s="35"/>
      <x:c r="O753" s="35"/>
      <x:c r="P753" s="35"/>
      <x:c r="Q753" s="35"/>
      <x:c r="R753" s="35"/>
      <x:c r="S753" s="35"/>
      <x:c r="T753" s="35"/>
      <x:c r="U753" s="35"/>
      <x:c r="V753" s="35"/>
      <x:c r="W753" s="35"/>
      <x:c r="X753" s="35"/>
      <x:c r="Y753" s="35"/>
      <x:c r="Z753" s="35"/>
      <x:c r="AA753" s="35"/>
    </x:row>
    <x:row r="754">
      <x:c r="A754" s="136" t="str">
        <x:v>DrillCamp | Conquest | Railroad Cut</x:v>
      </x:c>
      <x:c r="B754" s="136" t="str">
        <x:v>Spawn | CSA CQ3_Spawnpoint_CSA_Infantry_2 [map-34/003]</x:v>
      </x:c>
      <x:c r="C754" s="136" t="str">
        <x:v>spawn</x:v>
      </x:c>
      <x:c r="D754" s="136" t="str">
        <x:v>CSA</x:v>
      </x:c>
      <x:c r="E754" s="136" t="str">
        <x:v>CQ3_Spawnpoint_CSA_Infantry_2</x:v>
      </x:c>
      <x:c r="F754" s="137" t="n">
        <x:v>1447.9512939453125</x:v>
      </x:c>
      <x:c r="G754" s="137" t="n">
        <x:v>1495.867431640625</x:v>
      </x:c>
      <x:c r="H754" s="137" t="n">
        <x:v>56.4920654296875</x:v>
      </x:c>
      <x:c r="I754" s="137" t="n">
        <x:v>184.92338205777685</x:v>
      </x:c>
      <x:c r="J754" s="137" t="n">
        <x:v>1797.965161174959</x:v>
      </x:c>
      <x:c r="K754" s="136" t="str">
        <x:v>map-34</x:v>
      </x:c>
      <x:c r="L754" s="136" t="str">
        <x:v>DrillCamp | Conquest | Railroad Cut||Spawn | CSA CQ3_Spawnpoint_CSA_Infantry_2 [map-34/003]</x:v>
      </x:c>
      <x:c r="M754" s="35"/>
      <x:c r="N754" s="35"/>
      <x:c r="O754" s="35"/>
      <x:c r="P754" s="35"/>
      <x:c r="Q754" s="35"/>
      <x:c r="R754" s="35"/>
      <x:c r="S754" s="35"/>
      <x:c r="T754" s="35"/>
      <x:c r="U754" s="35"/>
      <x:c r="V754" s="35"/>
      <x:c r="W754" s="35"/>
      <x:c r="X754" s="35"/>
      <x:c r="Y754" s="35"/>
      <x:c r="Z754" s="35"/>
      <x:c r="AA754" s="35"/>
    </x:row>
    <x:row r="755">
      <x:c r="A755" s="136" t="str">
        <x:v>DrillCamp | Conquest | Railroad Cut</x:v>
      </x:c>
      <x:c r="B755" s="136" t="str">
        <x:v>Spawn | CSA CQ3_Spawnpoint_CSA_Infantry_0 [map-34/004]</x:v>
      </x:c>
      <x:c r="C755" s="136" t="str">
        <x:v>spawn</x:v>
      </x:c>
      <x:c r="D755" s="136" t="str">
        <x:v>CSA</x:v>
      </x:c>
      <x:c r="E755" s="136" t="str">
        <x:v>CQ3_Spawnpoint_CSA_Infantry_0</x:v>
      </x:c>
      <x:c r="F755" s="137" t="n">
        <x:v>1478.1917724609375</x:v>
      </x:c>
      <x:c r="G755" s="137" t="n">
        <x:v>1571.5596923828125</x:v>
      </x:c>
      <x:c r="H755" s="137" t="n">
        <x:v>55.68307113647461</x:v>
      </x:c>
      <x:c r="I755" s="137" t="n">
        <x:v>260.5430401301611</x:v>
      </x:c>
      <x:c r="J755" s="137" t="n">
        <x:v>1608.4569091039853</x:v>
      </x:c>
      <x:c r="K755" s="136" t="str">
        <x:v>map-34</x:v>
      </x:c>
      <x:c r="L755" s="136" t="str">
        <x:v>DrillCamp | Conquest | Railroad Cut||Spawn | CSA CQ3_Spawnpoint_CSA_Infantry_0 [map-34/004]</x:v>
      </x:c>
      <x:c r="M755" s="35"/>
      <x:c r="N755" s="35"/>
      <x:c r="O755" s="35"/>
      <x:c r="P755" s="35"/>
      <x:c r="Q755" s="35"/>
      <x:c r="R755" s="35"/>
      <x:c r="S755" s="35"/>
      <x:c r="T755" s="35"/>
      <x:c r="U755" s="35"/>
      <x:c r="V755" s="35"/>
      <x:c r="W755" s="35"/>
      <x:c r="X755" s="35"/>
      <x:c r="Y755" s="35"/>
      <x:c r="Z755" s="35"/>
      <x:c r="AA755" s="35"/>
    </x:row>
    <x:row r="756">
      <x:c r="A756" s="136" t="str">
        <x:v>DrillCamp | Conquest | Railroad Cut</x:v>
      </x:c>
      <x:c r="B756" s="136" t="str">
        <x:v>Spawn | USA CQ3_Spawnpoint_USA_Infantry_0 [map-34/005]</x:v>
      </x:c>
      <x:c r="C756" s="136" t="str">
        <x:v>spawn</x:v>
      </x:c>
      <x:c r="D756" s="136" t="str">
        <x:v>USA</x:v>
      </x:c>
      <x:c r="E756" s="136" t="str">
        <x:v>CQ3_Spawnpoint_USA_Infantry_0</x:v>
      </x:c>
      <x:c r="F756" s="137" t="n">
        <x:v>2089.919921875</x:v>
      </x:c>
      <x:c r="G756" s="137" t="n">
        <x:v>1761.6024169921875</x:v>
      </x:c>
      <x:c r="H756" s="137" t="n">
        <x:v>77.58934020996094</x:v>
      </x:c>
      <x:c r="I756" s="137" t="n">
        <x:v>1790.236873117703</x:v>
      </x:c>
      <x:c r="J756" s="137" t="n">
        <x:v>1132.6531187773066</x:v>
      </x:c>
      <x:c r="K756" s="136" t="str">
        <x:v>map-34</x:v>
      </x:c>
      <x:c r="L756" s="136" t="str">
        <x:v>DrillCamp | Conquest | Railroad Cut||Spawn | USA CQ3_Spawnpoint_USA_Infantry_0 [map-34/005]</x:v>
      </x:c>
      <x:c r="M756" s="35"/>
      <x:c r="N756" s="35"/>
      <x:c r="O756" s="35"/>
      <x:c r="P756" s="35"/>
      <x:c r="Q756" s="35"/>
      <x:c r="R756" s="35"/>
      <x:c r="S756" s="35"/>
      <x:c r="T756" s="35"/>
      <x:c r="U756" s="35"/>
      <x:c r="V756" s="35"/>
      <x:c r="W756" s="35"/>
      <x:c r="X756" s="35"/>
      <x:c r="Y756" s="35"/>
      <x:c r="Z756" s="35"/>
      <x:c r="AA756" s="35"/>
    </x:row>
    <x:row r="757">
      <x:c r="A757" s="136" t="str">
        <x:v>DrillCamp | Conquest | Railroad Cut</x:v>
      </x:c>
      <x:c r="B757" s="136" t="str">
        <x:v>Spawn | CSA CQ3_Spawnpoint_CSA_Infantry_1 [map-34/006]</x:v>
      </x:c>
      <x:c r="C757" s="136" t="str">
        <x:v>spawn</x:v>
      </x:c>
      <x:c r="D757" s="136" t="str">
        <x:v>CSA</x:v>
      </x:c>
      <x:c r="E757" s="136" t="str">
        <x:v>CQ3_Spawnpoint_CSA_Infantry_1</x:v>
      </x:c>
      <x:c r="F757" s="137" t="n">
        <x:v>1466.757080078125</x:v>
      </x:c>
      <x:c r="G757" s="137" t="n">
        <x:v>1544.9525146484375</x:v>
      </x:c>
      <x:c r="H757" s="137" t="n">
        <x:v>56.08175277709961</x:v>
      </x:c>
      <x:c r="I757" s="137" t="n">
        <x:v>231.94932830432472</x:v>
      </x:c>
      <x:c r="J757" s="137" t="n">
        <x:v>1675.0724348597485</x:v>
      </x:c>
      <x:c r="K757" s="136" t="str">
        <x:v>map-34</x:v>
      </x:c>
      <x:c r="L757" s="136" t="str">
        <x:v>DrillCamp | Conquest | Railroad Cut||Spawn | CSA CQ3_Spawnpoint_CSA_Infantry_1 [map-34/006]</x:v>
      </x:c>
      <x:c r="M757" s="35"/>
      <x:c r="N757" s="35"/>
      <x:c r="O757" s="35"/>
      <x:c r="P757" s="35"/>
      <x:c r="Q757" s="35"/>
      <x:c r="R757" s="35"/>
      <x:c r="S757" s="35"/>
      <x:c r="T757" s="35"/>
      <x:c r="U757" s="35"/>
      <x:c r="V757" s="35"/>
      <x:c r="W757" s="35"/>
      <x:c r="X757" s="35"/>
      <x:c r="Y757" s="35"/>
      <x:c r="Z757" s="35"/>
      <x:c r="AA757" s="35"/>
    </x:row>
    <x:row r="758">
      <x:c r="A758" s="136" t="str">
        <x:v>DrillCamp | Conquest | Railroad Cut</x:v>
      </x:c>
      <x:c r="B758" s="136" t="str">
        <x:v>Artillery | CSA CQ3_Spawnpoint_CSA_Artillery_Forward [map-34/007]</x:v>
      </x:c>
      <x:c r="C758" s="136" t="str">
        <x:v>battery</x:v>
      </x:c>
      <x:c r="D758" s="136" t="str">
        <x:v>CSA</x:v>
      </x:c>
      <x:c r="E758" s="136" t="str">
        <x:v>CQ3_Spawnpoint_CSA_Artillery_Forward</x:v>
      </x:c>
      <x:c r="F758" s="137" t="n">
        <x:v>1664.670166015625</x:v>
      </x:c>
      <x:c r="G758" s="137" t="n">
        <x:v>1558.8297119140625</x:v>
      </x:c>
      <x:c r="H758" s="137" t="n">
        <x:v>55.185203552246094</x:v>
      </x:c>
      <x:c r="I758" s="137" t="n">
        <x:v>726.8528688984754</x:v>
      </x:c>
      <x:c r="J758" s="137" t="n">
        <x:v>1640.3285472856926</x:v>
      </x:c>
      <x:c r="K758" s="136" t="str">
        <x:v>map-34</x:v>
      </x:c>
      <x:c r="L758" s="136" t="str">
        <x:v>DrillCamp | Conquest | Railroad Cut||Artillery | CSA CQ3_Spawnpoint_CSA_Artillery_Forward [map-34/007]</x:v>
      </x:c>
      <x:c r="M758" s="35"/>
      <x:c r="N758" s="35"/>
      <x:c r="O758" s="35"/>
      <x:c r="P758" s="35"/>
      <x:c r="Q758" s="35"/>
      <x:c r="R758" s="35"/>
      <x:c r="S758" s="35"/>
      <x:c r="T758" s="35"/>
      <x:c r="U758" s="35"/>
      <x:c r="V758" s="35"/>
      <x:c r="W758" s="35"/>
      <x:c r="X758" s="35"/>
      <x:c r="Y758" s="35"/>
      <x:c r="Z758" s="35"/>
      <x:c r="AA758" s="35"/>
    </x:row>
    <x:row r="759">
      <x:c r="A759" s="136" t="str">
        <x:v>DrillCamp | Conquest | Railroad Cut</x:v>
      </x:c>
      <x:c r="B759" s="136" t="str">
        <x:v>Artillery | USA CQ3_Spawnpoint_USA_Artillery_Forward [map-34/008]</x:v>
      </x:c>
      <x:c r="C759" s="136" t="str">
        <x:v>battery</x:v>
      </x:c>
      <x:c r="D759" s="136" t="str">
        <x:v>USA</x:v>
      </x:c>
      <x:c r="E759" s="136" t="str">
        <x:v>CQ3_Spawnpoint_USA_Artillery_Forward</x:v>
      </x:c>
      <x:c r="F759" s="137" t="n">
        <x:v>2097.239990234375</x:v>
      </x:c>
      <x:c r="G759" s="137" t="n">
        <x:v>1952.722412109375</x:v>
      </x:c>
      <x:c r="H759" s="137" t="n">
        <x:v>62.315765380859375</x:v>
      </x:c>
      <x:c r="I759" s="137" t="n">
        <x:v>1808.5415129108997</x:v>
      </x:c>
      <x:c r="J759" s="137" t="n">
        <x:v>654.1522013078874</x:v>
      </x:c>
      <x:c r="K759" s="136" t="str">
        <x:v>map-34</x:v>
      </x:c>
      <x:c r="L759" s="136" t="str">
        <x:v>DrillCamp | Conquest | Railroad Cut||Artillery | USA CQ3_Spawnpoint_USA_Artillery_Forward [map-34/008]</x:v>
      </x:c>
      <x:c r="M759" s="35"/>
      <x:c r="N759" s="35"/>
      <x:c r="O759" s="35"/>
      <x:c r="P759" s="35"/>
      <x:c r="Q759" s="35"/>
      <x:c r="R759" s="35"/>
      <x:c r="S759" s="35"/>
      <x:c r="T759" s="35"/>
      <x:c r="U759" s="35"/>
      <x:c r="V759" s="35"/>
      <x:c r="W759" s="35"/>
      <x:c r="X759" s="35"/>
      <x:c r="Y759" s="35"/>
      <x:c r="Z759" s="35"/>
      <x:c r="AA759" s="35"/>
    </x:row>
    <x:row r="760">
      <x:c r="A760" s="136" t="str">
        <x:v>DrillCamp | Conquest | Railroad Cut</x:v>
      </x:c>
      <x:c r="B760" s="136" t="str">
        <x:v>Artillery | CSA CQ3_Spawnpoint_CSA_Artillery_Staging [map-34/009]</x:v>
      </x:c>
      <x:c r="C760" s="136" t="str">
        <x:v>battery</x:v>
      </x:c>
      <x:c r="D760" s="136" t="str">
        <x:v>CSA</x:v>
      </x:c>
      <x:c r="E760" s="136" t="str">
        <x:v>CQ3_Spawnpoint_CSA_Artillery_Staging</x:v>
      </x:c>
      <x:c r="F760" s="137" t="n">
        <x:v>1457.6688232421875</x:v>
      </x:c>
      <x:c r="G760" s="137" t="n">
        <x:v>1521.6400146484375</x:v>
      </x:c>
      <x:c r="H760" s="137" t="n">
        <x:v>56.355796813964844</x:v>
      </x:c>
      <x:c r="I760" s="137" t="n">
        <x:v>209.22313784234157</x:v>
      </x:c>
      <x:c r="J760" s="137" t="n">
        <x:v>1733.4391830990733</x:v>
      </x:c>
      <x:c r="K760" s="136" t="str">
        <x:v>map-34</x:v>
      </x:c>
      <x:c r="L760" s="136" t="str">
        <x:v>DrillCamp | Conquest | Railroad Cut||Artillery | CSA CQ3_Spawnpoint_CSA_Artillery_Staging [map-34/009]</x:v>
      </x:c>
      <x:c r="M760" s="35"/>
      <x:c r="N760" s="35"/>
      <x:c r="O760" s="35"/>
      <x:c r="P760" s="35"/>
      <x:c r="Q760" s="35"/>
      <x:c r="R760" s="35"/>
      <x:c r="S760" s="35"/>
      <x:c r="T760" s="35"/>
      <x:c r="U760" s="35"/>
      <x:c r="V760" s="35"/>
      <x:c r="W760" s="35"/>
      <x:c r="X760" s="35"/>
      <x:c r="Y760" s="35"/>
      <x:c r="Z760" s="35"/>
      <x:c r="AA760" s="35"/>
    </x:row>
    <x:row r="761">
      <x:c r="A761" s="136" t="str">
        <x:v>DrillCamp | Conquest | Railroad Cut</x:v>
      </x:c>
      <x:c r="B761" s="136" t="str">
        <x:v>Objective | Victory_Conquest_3 [map-34/010]</x:v>
      </x:c>
      <x:c r="C761" s="136" t="str">
        <x:v>objective</x:v>
      </x:c>
      <x:c r="D761" s="136" t="str"/>
      <x:c r="E761" s="136" t="str">
        <x:v>Victory_Conquest_3</x:v>
      </x:c>
      <x:c r="F761" s="137" t="n">
        <x:v>1772.6339111328125</x:v>
      </x:c>
      <x:c r="G761" s="137" t="n">
        <x:v>1724.0633544921875</x:v>
      </x:c>
      <x:c r="H761" s="137" t="n">
        <x:v>61.47676467895508</x:v>
      </x:c>
      <x:c r="I761" s="137" t="n">
        <x:v>996.8281434549743</x:v>
      </x:c>
      <x:c r="J761" s="137" t="n">
        <x:v>1226.6384489683103</x:v>
      </x:c>
      <x:c r="K761" s="136" t="str">
        <x:v>map-34</x:v>
      </x:c>
      <x:c r="L761" s="136" t="str">
        <x:v>DrillCamp | Conquest | Railroad Cut||Objective | Victory_Conquest_3 [map-34/010]</x:v>
      </x:c>
      <x:c r="M761" s="35"/>
      <x:c r="N761" s="35"/>
      <x:c r="O761" s="35"/>
      <x:c r="P761" s="35"/>
      <x:c r="Q761" s="35"/>
      <x:c r="R761" s="35"/>
      <x:c r="S761" s="35"/>
      <x:c r="T761" s="35"/>
      <x:c r="U761" s="35"/>
      <x:c r="V761" s="35"/>
      <x:c r="W761" s="35"/>
      <x:c r="X761" s="35"/>
      <x:c r="Y761" s="35"/>
      <x:c r="Z761" s="35"/>
      <x:c r="AA761" s="35"/>
    </x:row>
    <x:row r="762">
      <x:c r="A762" s="136" t="str">
        <x:v>DrillCamp | Conquest | Railroad Cut</x:v>
      </x:c>
      <x:c r="B762" s="136" t="str">
        <x:v>Artillery | USA CQ3_Spawnpoint_USA_Artillery_Staging [map-34/011]</x:v>
      </x:c>
      <x:c r="C762" s="136" t="str">
        <x:v>battery</x:v>
      </x:c>
      <x:c r="D762" s="136" t="str">
        <x:v>USA</x:v>
      </x:c>
      <x:c r="E762" s="136" t="str">
        <x:v>CQ3_Spawnpoint_USA_Artillery_Staging</x:v>
      </x:c>
      <x:c r="F762" s="137" t="n">
        <x:v>2091.148193359375</x:v>
      </x:c>
      <x:c r="G762" s="137" t="n">
        <x:v>1730.58642578125</x:v>
      </x:c>
      <x:c r="H762" s="137" t="n">
        <x:v>77.5945053100586</x:v>
      </x:c>
      <x:c r="I762" s="137" t="n">
        <x:v>1793.3083016872115</x:v>
      </x:c>
      <x:c r="J762" s="137" t="n">
        <x:v>1210.306847480873</x:v>
      </x:c>
      <x:c r="K762" s="136" t="str">
        <x:v>map-34</x:v>
      </x:c>
      <x:c r="L762" s="136" t="str">
        <x:v>DrillCamp | Conquest | Railroad Cut||Artillery | USA CQ3_Spawnpoint_USA_Artillery_Staging [map-34/011]</x:v>
      </x:c>
      <x:c r="M762" s="35"/>
      <x:c r="N762" s="35"/>
      <x:c r="O762" s="35"/>
      <x:c r="P762" s="35"/>
      <x:c r="Q762" s="35"/>
      <x:c r="R762" s="35"/>
      <x:c r="S762" s="35"/>
      <x:c r="T762" s="35"/>
      <x:c r="U762" s="35"/>
      <x:c r="V762" s="35"/>
      <x:c r="W762" s="35"/>
      <x:c r="X762" s="35"/>
      <x:c r="Y762" s="35"/>
      <x:c r="Z762" s="35"/>
      <x:c r="AA762" s="35"/>
    </x:row>
    <x:row r="763">
      <x:c r="A763" s="136" t="str">
        <x:v>DrillCamp | Conquest | Railroad Cut</x:v>
      </x:c>
      <x:c r="B763" s="136" t="str">
        <x:v>Gun | 3-inch Ordnance · Entity-1655 [map-34/012]</x:v>
      </x:c>
      <x:c r="C763" s="136" t="str">
        <x:v>gun_spawn</x:v>
      </x:c>
      <x:c r="D763" s="136" t="str"/>
      <x:c r="E763" s="136" t="str">
        <x:v>3-inch Ordnance · Entity-1655</x:v>
      </x:c>
      <x:c r="F763" s="137" t="n">
        <x:v>1679.070556640625</x:v>
      </x:c>
      <x:c r="G763" s="137" t="n">
        <x:v>1604.6519775390625</x:v>
      </x:c>
      <x:c r="H763" s="137" t="n">
        <x:v>56.886783599853516</x:v>
      </x:c>
      <x:c r="I763" s="137" t="n">
        <x:v>762.8626368857317</x:v>
      </x:c>
      <x:c r="J763" s="137" t="n">
        <x:v>1525.6048307606593</x:v>
      </x:c>
      <x:c r="K763" s="136" t="str">
        <x:v>map-34</x:v>
      </x:c>
      <x:c r="L763" s="136" t="str">
        <x:v>DrillCamp | Conquest | Railroad Cut||Gun | 3-inch Ordnance · Entity-1655 [map-34/012]</x:v>
      </x:c>
      <x:c r="M763" s="35"/>
      <x:c r="N763" s="35"/>
      <x:c r="O763" s="35"/>
      <x:c r="P763" s="35"/>
      <x:c r="Q763" s="35"/>
      <x:c r="R763" s="35"/>
      <x:c r="S763" s="35"/>
      <x:c r="T763" s="35"/>
      <x:c r="U763" s="35"/>
      <x:c r="V763" s="35"/>
      <x:c r="W763" s="35"/>
      <x:c r="X763" s="35"/>
      <x:c r="Y763" s="35"/>
      <x:c r="Z763" s="35"/>
      <x:c r="AA763" s="35"/>
    </x:row>
    <x:row r="764">
      <x:c r="A764" s="136" t="str">
        <x:v>DrillCamp | Conquest | Railroad Cut</x:v>
      </x:c>
      <x:c r="B764" s="136" t="str">
        <x:v>Gun | 3-inch Ordnance · Entity-1676 [map-34/013]</x:v>
      </x:c>
      <x:c r="C764" s="136" t="str">
        <x:v>gun_spawn</x:v>
      </x:c>
      <x:c r="D764" s="136" t="str"/>
      <x:c r="E764" s="136" t="str">
        <x:v>3-inch Ordnance · Entity-1676</x:v>
      </x:c>
      <x:c r="F764" s="137" t="n">
        <x:v>2060.839111328125</x:v>
      </x:c>
      <x:c r="G764" s="137" t="n">
        <x:v>1930.7364501953125</x:v>
      </x:c>
      <x:c r="H764" s="137" t="n">
        <x:v>64.84423828125</x:v>
      </x:c>
      <x:c r="I764" s="137" t="n">
        <x:v>1717.5170929433837</x:v>
      </x:c>
      <x:c r="J764" s="137" t="n">
        <x:v>709.1977392741057</x:v>
      </x:c>
      <x:c r="K764" s="136" t="str">
        <x:v>map-34</x:v>
      </x:c>
      <x:c r="L764" s="136" t="str">
        <x:v>DrillCamp | Conquest | Railroad Cut||Gun | 3-inch Ordnance · Entity-1676 [map-34/013]</x:v>
      </x:c>
      <x:c r="M764" s="35"/>
      <x:c r="N764" s="35"/>
      <x:c r="O764" s="35"/>
      <x:c r="P764" s="35"/>
      <x:c r="Q764" s="35"/>
      <x:c r="R764" s="35"/>
      <x:c r="S764" s="35"/>
      <x:c r="T764" s="35"/>
      <x:c r="U764" s="35"/>
      <x:c r="V764" s="35"/>
      <x:c r="W764" s="35"/>
      <x:c r="X764" s="35"/>
      <x:c r="Y764" s="35"/>
      <x:c r="Z764" s="35"/>
      <x:c r="AA764" s="35"/>
    </x:row>
    <x:row r="765">
      <x:c r="A765" s="136" t="str">
        <x:v>DrillCamp | Conquest | Railroad Cut</x:v>
      </x:c>
      <x:c r="B765" s="136" t="str">
        <x:v>Gun | 12-pounder Napoleon (USA) · Entity-1659 [map-34/014]</x:v>
      </x:c>
      <x:c r="C765" s="136" t="str">
        <x:v>gun_spawn</x:v>
      </x:c>
      <x:c r="D765" s="136" t="str"/>
      <x:c r="E765" s="136" t="str">
        <x:v>12-pounder Napoleon (USA) · Entity-1659</x:v>
      </x:c>
      <x:c r="F765" s="137" t="n">
        <x:v>1715.2489013671875</x:v>
      </x:c>
      <x:c r="G765" s="137" t="n">
        <x:v>1566.5028076171875</x:v>
      </x:c>
      <x:c r="H765" s="137" t="n">
        <x:v>59.24574279785156</x:v>
      </x:c>
      <x:c r="I765" s="137" t="n">
        <x:v>853.3305855471242</x:v>
      </x:c>
      <x:c r="J765" s="137" t="n">
        <x:v>1621.1176670660448</x:v>
      </x:c>
      <x:c r="K765" s="136" t="str">
        <x:v>map-34</x:v>
      </x:c>
      <x:c r="L765" s="136" t="str">
        <x:v>DrillCamp | Conquest | Railroad Cut||Gun | 12-pounder Napoleon (USA) · Entity-1659 [map-34/014]</x:v>
      </x:c>
      <x:c r="M765" s="35"/>
      <x:c r="N765" s="35"/>
      <x:c r="O765" s="35"/>
      <x:c r="P765" s="35"/>
      <x:c r="Q765" s="35"/>
      <x:c r="R765" s="35"/>
      <x:c r="S765" s="35"/>
      <x:c r="T765" s="35"/>
      <x:c r="U765" s="35"/>
      <x:c r="V765" s="35"/>
      <x:c r="W765" s="35"/>
      <x:c r="X765" s="35"/>
      <x:c r="Y765" s="35"/>
      <x:c r="Z765" s="35"/>
      <x:c r="AA765" s="35"/>
    </x:row>
    <x:row r="766">
      <x:c r="A766" s="136" t="str">
        <x:v>DrillCamp | Conquest | Railroad Cut</x:v>
      </x:c>
      <x:c r="B766" s="136" t="str">
        <x:v>Gun | 12-pounder Napoleon (USA) · Entity-1658 [map-34/015]</x:v>
      </x:c>
      <x:c r="C766" s="136" t="str">
        <x:v>gun_spawn</x:v>
      </x:c>
      <x:c r="D766" s="136" t="str"/>
      <x:c r="E766" s="136" t="str">
        <x:v>12-pounder Napoleon (USA) · Entity-1658</x:v>
      </x:c>
      <x:c r="F766" s="137" t="n">
        <x:v>1708.2061767578125</x:v>
      </x:c>
      <x:c r="G766" s="137" t="n">
        <x:v>1573.12158203125</x:v>
      </x:c>
      <x:c r="H766" s="137" t="n">
        <x:v>58.736202239990234</x:v>
      </x:c>
      <x:c r="I766" s="137" t="n">
        <x:v>835.7194744470228</x:v>
      </x:c>
      <x:c r="J766" s="137" t="n">
        <x:v>1604.5464567763515</x:v>
      </x:c>
      <x:c r="K766" s="136" t="str">
        <x:v>map-34</x:v>
      </x:c>
      <x:c r="L766" s="136" t="str">
        <x:v>DrillCamp | Conquest | Railroad Cut||Gun | 12-pounder Napoleon (USA) · Entity-1658 [map-34/015]</x:v>
      </x:c>
      <x:c r="M766" s="35"/>
      <x:c r="N766" s="35"/>
      <x:c r="O766" s="35"/>
      <x:c r="P766" s="35"/>
      <x:c r="Q766" s="35"/>
      <x:c r="R766" s="35"/>
      <x:c r="S766" s="35"/>
      <x:c r="T766" s="35"/>
      <x:c r="U766" s="35"/>
      <x:c r="V766" s="35"/>
      <x:c r="W766" s="35"/>
      <x:c r="X766" s="35"/>
      <x:c r="Y766" s="35"/>
      <x:c r="Z766" s="35"/>
      <x:c r="AA766" s="35"/>
    </x:row>
    <x:row r="767">
      <x:c r="A767" s="136" t="str">
        <x:v>DrillCamp | Conquest | Railroad Cut</x:v>
      </x:c>
      <x:c r="B767" s="136" t="str">
        <x:v>Gun | 12-pounder Napoleon (CSA) · Entity-1673 [map-34/016]</x:v>
      </x:c>
      <x:c r="C767" s="136" t="str">
        <x:v>gun_spawn</x:v>
      </x:c>
      <x:c r="D767" s="136" t="str"/>
      <x:c r="E767" s="136" t="str">
        <x:v>12-pounder Napoleon (CSA) · Entity-1673</x:v>
      </x:c>
      <x:c r="F767" s="137" t="n">
        <x:v>2054.844482421875</x:v>
      </x:c>
      <x:c r="G767" s="137" t="n">
        <x:v>1952.8607177734375</x:v>
      </x:c>
      <x:c r="H767" s="137" t="n">
        <x:v>62.22276306152344</x:v>
      </x:c>
      <x:c r="I767" s="137" t="n">
        <x:v>1702.526860962523</x:v>
      </x:c>
      <x:c r="J767" s="137" t="n">
        <x:v>653.8059299138108</x:v>
      </x:c>
      <x:c r="K767" s="136" t="str">
        <x:v>map-34</x:v>
      </x:c>
      <x:c r="L767" s="136" t="str">
        <x:v>DrillCamp | Conquest | Railroad Cut||Gun | 12-pounder Napoleon (CSA) · Entity-1673 [map-34/016]</x:v>
      </x:c>
      <x:c r="M767" s="35"/>
      <x:c r="N767" s="35"/>
      <x:c r="O767" s="35"/>
      <x:c r="P767" s="35"/>
      <x:c r="Q767" s="35"/>
      <x:c r="R767" s="35"/>
      <x:c r="S767" s="35"/>
      <x:c r="T767" s="35"/>
      <x:c r="U767" s="35"/>
      <x:c r="V767" s="35"/>
      <x:c r="W767" s="35"/>
      <x:c r="X767" s="35"/>
      <x:c r="Y767" s="35"/>
      <x:c r="Z767" s="35"/>
      <x:c r="AA767" s="35"/>
    </x:row>
    <x:row r="768">
      <x:c r="A768" s="136" t="str">
        <x:v>DrillCamp | Conquest | Railroad Cut</x:v>
      </x:c>
      <x:c r="B768" s="136" t="str">
        <x:v>Gun | 3-inch Ordnance · Entity-1677 [map-34/017]</x:v>
      </x:c>
      <x:c r="C768" s="136" t="str">
        <x:v>gun_spawn</x:v>
      </x:c>
      <x:c r="D768" s="136" t="str"/>
      <x:c r="E768" s="136" t="str">
        <x:v>3-inch Ordnance · Entity-1677</x:v>
      </x:c>
      <x:c r="F768" s="137" t="n">
        <x:v>2062.214111328125</x:v>
      </x:c>
      <x:c r="G768" s="137" t="n">
        <x:v>1923.4969482421875</x:v>
      </x:c>
      <x:c r="H768" s="137" t="n">
        <x:v>65.81477355957031</x:v>
      </x:c>
      <x:c r="I768" s="137" t="n">
        <x:v>1720.9554323795737</x:v>
      </x:c>
      <x:c r="J768" s="137" t="n">
        <x:v>727.3230449202675</x:v>
      </x:c>
      <x:c r="K768" s="136" t="str">
        <x:v>map-34</x:v>
      </x:c>
      <x:c r="L768" s="136" t="str">
        <x:v>DrillCamp | Conquest | Railroad Cut||Gun | 3-inch Ordnance · Entity-1677 [map-34/017]</x:v>
      </x:c>
      <x:c r="M768" s="35"/>
      <x:c r="N768" s="35"/>
      <x:c r="O768" s="35"/>
      <x:c r="P768" s="35"/>
      <x:c r="Q768" s="35"/>
      <x:c r="R768" s="35"/>
      <x:c r="S768" s="35"/>
      <x:c r="T768" s="35"/>
      <x:c r="U768" s="35"/>
      <x:c r="V768" s="35"/>
      <x:c r="W768" s="35"/>
      <x:c r="X768" s="35"/>
      <x:c r="Y768" s="35"/>
      <x:c r="Z768" s="35"/>
      <x:c r="AA768" s="35"/>
    </x:row>
    <x:row r="769">
      <x:c r="A769" s="136" t="str">
        <x:v>DrillCamp | Conquest | Railroad Cut</x:v>
      </x:c>
      <x:c r="B769" s="136" t="str">
        <x:v>Gun | 3-inch Ordnance · Entity-1675 [map-34/018]</x:v>
      </x:c>
      <x:c r="C769" s="136" t="str">
        <x:v>gun_spawn</x:v>
      </x:c>
      <x:c r="D769" s="136" t="str"/>
      <x:c r="E769" s="136" t="str">
        <x:v>3-inch Ordnance · Entity-1675</x:v>
      </x:c>
      <x:c r="F769" s="137" t="n">
        <x:v>2059.09130859375</x:v>
      </x:c>
      <x:c r="G769" s="137" t="n">
        <x:v>1938.224365234375</x:v>
      </x:c>
      <x:c r="H769" s="137" t="n">
        <x:v>63.968177795410156</x:v>
      </x:c>
      <x:c r="I769" s="137" t="n">
        <x:v>1713.146519075542</x:v>
      </x:c>
      <x:c r="J769" s="137" t="n">
        <x:v>690.4504898618843</x:v>
      </x:c>
      <x:c r="K769" s="136" t="str">
        <x:v>map-34</x:v>
      </x:c>
      <x:c r="L769" s="136" t="str">
        <x:v>DrillCamp | Conquest | Railroad Cut||Gun | 3-inch Ordnance · Entity-1675 [map-34/018]</x:v>
      </x:c>
      <x:c r="M769" s="35"/>
      <x:c r="N769" s="35"/>
      <x:c r="O769" s="35"/>
      <x:c r="P769" s="35"/>
      <x:c r="Q769" s="35"/>
      <x:c r="R769" s="35"/>
      <x:c r="S769" s="35"/>
      <x:c r="T769" s="35"/>
      <x:c r="U769" s="35"/>
      <x:c r="V769" s="35"/>
      <x:c r="W769" s="35"/>
      <x:c r="X769" s="35"/>
      <x:c r="Y769" s="35"/>
      <x:c r="Z769" s="35"/>
      <x:c r="AA769" s="35"/>
    </x:row>
    <x:row r="770">
      <x:c r="A770" s="136" t="str">
        <x:v>DrillCamp | Conquest | Railroad Cut</x:v>
      </x:c>
      <x:c r="B770" s="136" t="str">
        <x:v>Gun | 12-pounder Napoleon (CSA) · Entity-1672 [map-34/019]</x:v>
      </x:c>
      <x:c r="C770" s="136" t="str">
        <x:v>gun_spawn</x:v>
      </x:c>
      <x:c r="D770" s="136" t="str"/>
      <x:c r="E770" s="136" t="str">
        <x:v>12-pounder Napoleon (CSA) · Entity-1672</x:v>
      </x:c>
      <x:c r="F770" s="137" t="n">
        <x:v>2052.404541015625</x:v>
      </x:c>
      <x:c r="G770" s="137" t="n">
        <x:v>1962.48046875</x:v>
      </x:c>
      <x:c r="H770" s="137" t="n">
        <x:v>61.186553955078125</x:v>
      </x:c>
      <x:c r="I770" s="137" t="n">
        <x:v>1696.4255178649942</x:v>
      </x:c>
      <x:c r="J770" s="137" t="n">
        <x:v>629.7212721819494</x:v>
      </x:c>
      <x:c r="K770" s="136" t="str">
        <x:v>map-34</x:v>
      </x:c>
      <x:c r="L770" s="136" t="str">
        <x:v>DrillCamp | Conquest | Railroad Cut||Gun | 12-pounder Napoleon (CSA) · Entity-1672 [map-34/019]</x:v>
      </x:c>
      <x:c r="M770" s="35"/>
      <x:c r="N770" s="35"/>
      <x:c r="O770" s="35"/>
      <x:c r="P770" s="35"/>
      <x:c r="Q770" s="35"/>
      <x:c r="R770" s="35"/>
      <x:c r="S770" s="35"/>
      <x:c r="T770" s="35"/>
      <x:c r="U770" s="35"/>
      <x:c r="V770" s="35"/>
      <x:c r="W770" s="35"/>
      <x:c r="X770" s="35"/>
      <x:c r="Y770" s="35"/>
      <x:c r="Z770" s="35"/>
      <x:c r="AA770" s="35"/>
    </x:row>
    <x:row r="771">
      <x:c r="A771" s="136" t="str">
        <x:v>DrillCamp | Conquest | Railroad Cut</x:v>
      </x:c>
      <x:c r="B771" s="136" t="str">
        <x:v>Gun | 3-inch Ordnance · Entity-1654 [map-34/020]</x:v>
      </x:c>
      <x:c r="C771" s="136" t="str">
        <x:v>gun_spawn</x:v>
      </x:c>
      <x:c r="D771" s="136" t="str"/>
      <x:c r="E771" s="136" t="str">
        <x:v>3-inch Ordnance · Entity-1654</x:v>
      </x:c>
      <x:c r="F771" s="137" t="n">
        <x:v>1672.5887451171875</x:v>
      </x:c>
      <x:c r="G771" s="137" t="n">
        <x:v>1610.6297607421875</x:v>
      </x:c>
      <x:c r="H771" s="137" t="n">
        <x:v>55.72909927368164</x:v>
      </x:c>
      <x:c r="I771" s="137" t="n">
        <x:v>746.6541509373786</x:v>
      </x:c>
      <x:c r="J771" s="137" t="n">
        <x:v>1510.638449323831</x:v>
      </x:c>
      <x:c r="K771" s="136" t="str">
        <x:v>map-34</x:v>
      </x:c>
      <x:c r="L771" s="136" t="str">
        <x:v>DrillCamp | Conquest | Railroad Cut||Gun | 3-inch Ordnance · Entity-1654 [map-34/020]</x:v>
      </x:c>
      <x:c r="M771" s="35"/>
      <x:c r="N771" s="35"/>
      <x:c r="O771" s="35"/>
      <x:c r="P771" s="35"/>
      <x:c r="Q771" s="35"/>
      <x:c r="R771" s="35"/>
      <x:c r="S771" s="35"/>
      <x:c r="T771" s="35"/>
      <x:c r="U771" s="35"/>
      <x:c r="V771" s="35"/>
      <x:c r="W771" s="35"/>
      <x:c r="X771" s="35"/>
      <x:c r="Y771" s="35"/>
      <x:c r="Z771" s="35"/>
      <x:c r="AA771" s="35"/>
    </x:row>
    <x:row r="772">
      <x:c r="A772" s="136" t="str">
        <x:v>DrillCamp | Conquest | Railroad Cut</x:v>
      </x:c>
      <x:c r="B772" s="136" t="str">
        <x:v>Gun | 3-inch Ordnance · Entity-1656 [map-34/021]</x:v>
      </x:c>
      <x:c r="C772" s="136" t="str">
        <x:v>gun_spawn</x:v>
      </x:c>
      <x:c r="D772" s="136" t="str"/>
      <x:c r="E772" s="136" t="str">
        <x:v>3-inch Ordnance · Entity-1656</x:v>
      </x:c>
      <x:c r="F772" s="137" t="n">
        <x:v>1684.5743408203125</x:v>
      </x:c>
      <x:c r="G772" s="137" t="n">
        <x:v>1599.7047119140625</x:v>
      </x:c>
      <x:c r="H772" s="137" t="n">
        <x:v>57.64564514160156</x:v>
      </x:c>
      <x:c r="I772" s="137" t="n">
        <x:v>776.6254573899485</x:v>
      </x:c>
      <x:c r="J772" s="137" t="n">
        <x:v>1537.9911388446246</x:v>
      </x:c>
      <x:c r="K772" s="136" t="str">
        <x:v>map-34</x:v>
      </x:c>
      <x:c r="L772" s="136" t="str">
        <x:v>DrillCamp | Conquest | Railroad Cut||Gun | 3-inch Ordnance · Entity-1656 [map-34/021]</x:v>
      </x:c>
      <x:c r="M772" s="35"/>
      <x:c r="N772" s="35"/>
      <x:c r="O772" s="35"/>
      <x:c r="P772" s="35"/>
      <x:c r="Q772" s="35"/>
      <x:c r="R772" s="35"/>
      <x:c r="S772" s="35"/>
      <x:c r="T772" s="35"/>
      <x:c r="U772" s="35"/>
      <x:c r="V772" s="35"/>
      <x:c r="W772" s="35"/>
      <x:c r="X772" s="35"/>
      <x:c r="Y772" s="35"/>
      <x:c r="Z772" s="35"/>
      <x:c r="AA772" s="35"/>
    </x:row>
    <x:row r="773">
      <x:c r="A773" s="136" t="str">
        <x:v>DrillCamp | Conquest | Railroad Cut</x:v>
      </x:c>
      <x:c r="B773" s="136" t="str">
        <x:v>Gun | 12-pounder Napoleon (USA) · Entity-1657 [map-34/022]</x:v>
      </x:c>
      <x:c r="C773" s="136" t="str">
        <x:v>gun_spawn</x:v>
      </x:c>
      <x:c r="D773" s="136" t="str"/>
      <x:c r="E773" s="136" t="str">
        <x:v>12-pounder Napoleon (USA) · Entity-1657</x:v>
      </x:c>
      <x:c r="F773" s="137" t="n">
        <x:v>1701.0660400390625</x:v>
      </x:c>
      <x:c r="G773" s="137" t="n">
        <x:v>1579.403076171875</x:v>
      </x:c>
      <x:c r="H773" s="137" t="n">
        <x:v>58.842201232910156</x:v>
      </x:c>
      <x:c r="I773" s="137" t="n">
        <x:v>817.8647736034839</x:v>
      </x:c>
      <x:c r="J773" s="137" t="n">
        <x:v>1588.8196841405274</x:v>
      </x:c>
      <x:c r="K773" s="136" t="str">
        <x:v>map-34</x:v>
      </x:c>
      <x:c r="L773" s="136" t="str">
        <x:v>DrillCamp | Conquest | Railroad Cut||Gun | 12-pounder Napoleon (USA) · Entity-1657 [map-34/022]</x:v>
      </x:c>
      <x:c r="M773" s="35"/>
      <x:c r="N773" s="35"/>
      <x:c r="O773" s="35"/>
      <x:c r="P773" s="35"/>
      <x:c r="Q773" s="35"/>
      <x:c r="R773" s="35"/>
      <x:c r="S773" s="35"/>
      <x:c r="T773" s="35"/>
      <x:c r="U773" s="35"/>
      <x:c r="V773" s="35"/>
      <x:c r="W773" s="35"/>
      <x:c r="X773" s="35"/>
      <x:c r="Y773" s="35"/>
      <x:c r="Z773" s="35"/>
      <x:c r="AA773" s="35"/>
    </x:row>
    <x:row r="774">
      <x:c r="A774" s="136" t="str">
        <x:v>DrillCamp | Conquest | Railroad Cut</x:v>
      </x:c>
      <x:c r="B774" s="136" t="str">
        <x:v>Gun | 12-pounder Napoleon (USA) · Entity-1674 [map-34/023]</x:v>
      </x:c>
      <x:c r="C774" s="136" t="str">
        <x:v>gun_spawn</x:v>
      </x:c>
      <x:c r="D774" s="136" t="str"/>
      <x:c r="E774" s="136" t="str">
        <x:v>12-pounder Napoleon (USA) · Entity-1674</x:v>
      </x:c>
      <x:c r="F774" s="137" t="n">
        <x:v>2056.93359375</x:v>
      </x:c>
      <x:c r="G774" s="137" t="n">
        <x:v>1944.6904296875</x:v>
      </x:c>
      <x:c r="H774" s="137" t="n">
        <x:v>63.207481384277344</x:v>
      </x:c>
      <x:c r="I774" s="137" t="n">
        <x:v>1707.7509146833108</x:v>
      </x:c>
      <x:c r="J774" s="137" t="n">
        <x:v>674.2616145359949</x:v>
      </x:c>
      <x:c r="K774" s="136" t="str">
        <x:v>map-34</x:v>
      </x:c>
      <x:c r="L774" s="136" t="str">
        <x:v>DrillCamp | Conquest | Railroad Cut||Gun | 12-pounder Napoleon (USA) · Entity-1674 [map-34/023]</x:v>
      </x:c>
      <x:c r="M774" s="35"/>
      <x:c r="N774" s="35"/>
      <x:c r="O774" s="35"/>
      <x:c r="P774" s="35"/>
      <x:c r="Q774" s="35"/>
      <x:c r="R774" s="35"/>
      <x:c r="S774" s="35"/>
      <x:c r="T774" s="35"/>
      <x:c r="U774" s="35"/>
      <x:c r="V774" s="35"/>
      <x:c r="W774" s="35"/>
      <x:c r="X774" s="35"/>
      <x:c r="Y774" s="35"/>
      <x:c r="Z774" s="35"/>
      <x:c r="AA774" s="35"/>
    </x:row>
    <x:row r="775">
      <x:c r="A775" s="136" t="str">
        <x:v>DrillCamp | Conquest | Towering Trunks</x:v>
      </x:c>
      <x:c r="B775" s="136" t="str">
        <x:v>Spawn | CSA CQ4_Spawnpoint_CSA_Infantry_2 [map-35/001]</x:v>
      </x:c>
      <x:c r="C775" s="136" t="str">
        <x:v>spawn</x:v>
      </x:c>
      <x:c r="D775" s="136" t="str">
        <x:v>CSA</x:v>
      </x:c>
      <x:c r="E775" s="136" t="str">
        <x:v>CQ4_Spawnpoint_CSA_Infantry_2</x:v>
      </x:c>
      <x:c r="F775" s="137" t="n">
        <x:v>885.7593383789062</x:v>
      </x:c>
      <x:c r="G775" s="137" t="n">
        <x:v>1527.424560546875</x:v>
      </x:c>
      <x:c r="H775" s="137" t="n">
        <x:v>72.97930145263672</x:v>
      </x:c>
      <x:c r="I775" s="137" t="n">
        <x:v>629.0651970644069</x:v>
      </x:c>
      <x:c r="J775" s="137" t="n">
        <x:v>1498.7637864728201</x:v>
      </x:c>
      <x:c r="K775" s="136" t="str">
        <x:v>map-35</x:v>
      </x:c>
      <x:c r="L775" s="136" t="str">
        <x:v>DrillCamp | Conquest | Towering Trunks||Spawn | CSA CQ4_Spawnpoint_CSA_Infantry_2 [map-35/001]</x:v>
      </x:c>
      <x:c r="M775" s="35"/>
      <x:c r="N775" s="35"/>
      <x:c r="O775" s="35"/>
      <x:c r="P775" s="35"/>
      <x:c r="Q775" s="35"/>
      <x:c r="R775" s="35"/>
      <x:c r="S775" s="35"/>
      <x:c r="T775" s="35"/>
      <x:c r="U775" s="35"/>
      <x:c r="V775" s="35"/>
      <x:c r="W775" s="35"/>
      <x:c r="X775" s="35"/>
      <x:c r="Y775" s="35"/>
      <x:c r="Z775" s="35"/>
      <x:c r="AA775" s="35"/>
    </x:row>
    <x:row r="776">
      <x:c r="A776" s="136" t="str">
        <x:v>DrillCamp | Conquest | Towering Trunks</x:v>
      </x:c>
      <x:c r="B776" s="136" t="str">
        <x:v>Spawn | USA CQ4_Spawnpoint_USA_Infantry_2 [map-35/002]</x:v>
      </x:c>
      <x:c r="C776" s="136" t="str">
        <x:v>spawn</x:v>
      </x:c>
      <x:c r="D776" s="136" t="str">
        <x:v>USA</x:v>
      </x:c>
      <x:c r="E776" s="136" t="str">
        <x:v>CQ4_Spawnpoint_USA_Infantry_2</x:v>
      </x:c>
      <x:c r="F776" s="137" t="n">
        <x:v>1075.8701171875</x:v>
      </x:c>
      <x:c r="G776" s="137" t="n">
        <x:v>2390.31982421875</x:v>
      </x:c>
      <x:c r="H776" s="137" t="n">
        <x:v>58.503780364990234</x:v>
      </x:c>
      <x:c r="I776" s="137" t="n">
        <x:v>923.8016657630482</x:v>
      </x:c>
      <x:c r="J776" s="137" t="n">
        <x:v>158.73024922361904</x:v>
      </x:c>
      <x:c r="K776" s="136" t="str">
        <x:v>map-35</x:v>
      </x:c>
      <x:c r="L776" s="136" t="str">
        <x:v>DrillCamp | Conquest | Towering Trunks||Spawn | USA CQ4_Spawnpoint_USA_Infantry_2 [map-35/002]</x:v>
      </x:c>
      <x:c r="M776" s="35"/>
      <x:c r="N776" s="35"/>
      <x:c r="O776" s="35"/>
      <x:c r="P776" s="35"/>
      <x:c r="Q776" s="35"/>
      <x:c r="R776" s="35"/>
      <x:c r="S776" s="35"/>
      <x:c r="T776" s="35"/>
      <x:c r="U776" s="35"/>
      <x:c r="V776" s="35"/>
      <x:c r="W776" s="35"/>
      <x:c r="X776" s="35"/>
      <x:c r="Y776" s="35"/>
      <x:c r="Z776" s="35"/>
      <x:c r="AA776" s="35"/>
    </x:row>
    <x:row r="777">
      <x:c r="A777" s="136" t="str">
        <x:v>DrillCamp | Conquest | Towering Trunks</x:v>
      </x:c>
      <x:c r="B777" s="136" t="str">
        <x:v>Objective | Victory_Conquest_4 [map-35/003]</x:v>
      </x:c>
      <x:c r="C777" s="136" t="str">
        <x:v>objective</x:v>
      </x:c>
      <x:c r="D777" s="136" t="str"/>
      <x:c r="E777" s="136" t="str">
        <x:v>Victory_Conquest_4</x:v>
      </x:c>
      <x:c r="F777" s="137" t="n">
        <x:v>1336.05517578125</x:v>
      </x:c>
      <x:c r="G777" s="137" t="n">
        <x:v>1556.8311767578125</x:v>
      </x:c>
      <x:c r="H777" s="137" t="n">
        <x:v>56.493370056152344</x:v>
      </x:c>
      <x:c r="I777" s="137" t="n">
        <x:v>1327.1771390458098</x:v>
      </x:c>
      <x:c r="J777" s="137" t="n">
        <x:v>1452.5751120521231</x:v>
      </x:c>
      <x:c r="K777" s="136" t="str">
        <x:v>map-35</x:v>
      </x:c>
      <x:c r="L777" s="136" t="str">
        <x:v>DrillCamp | Conquest | Towering Trunks||Objective | Victory_Conquest_4 [map-35/003]</x:v>
      </x:c>
      <x:c r="M777" s="35"/>
      <x:c r="N777" s="35"/>
      <x:c r="O777" s="35"/>
      <x:c r="P777" s="35"/>
      <x:c r="Q777" s="35"/>
      <x:c r="R777" s="35"/>
      <x:c r="S777" s="35"/>
      <x:c r="T777" s="35"/>
      <x:c r="U777" s="35"/>
      <x:c r="V777" s="35"/>
      <x:c r="W777" s="35"/>
      <x:c r="X777" s="35"/>
      <x:c r="Y777" s="35"/>
      <x:c r="Z777" s="35"/>
      <x:c r="AA777" s="35"/>
    </x:row>
    <x:row r="778">
      <x:c r="A778" s="136" t="str">
        <x:v>DrillCamp | Conquest | Towering Trunks</x:v>
      </x:c>
      <x:c r="B778" s="136" t="str">
        <x:v>Spawn | CSA CQ4_Spawnpoint_CSA_Infantry_1 [map-35/004]</x:v>
      </x:c>
      <x:c r="C778" s="136" t="str">
        <x:v>spawn</x:v>
      </x:c>
      <x:c r="D778" s="136" t="str">
        <x:v>CSA</x:v>
      </x:c>
      <x:c r="E778" s="136" t="str">
        <x:v>CQ4_Spawnpoint_CSA_Infantry_1</x:v>
      </x:c>
      <x:c r="F778" s="137" t="n">
        <x:v>896.4156494140625</x:v>
      </x:c>
      <x:c r="G778" s="137" t="n">
        <x:v>1551.9622802734375</x:v>
      </x:c>
      <x:c r="H778" s="137" t="n">
        <x:v>73.2861099243164</x:v>
      </x:c>
      <x:c r="I778" s="137" t="n">
        <x:v>645.5861092585467</x:v>
      </x:c>
      <x:c r="J778" s="137" t="n">
        <x:v>1460.6517539601425</x:v>
      </x:c>
      <x:c r="K778" s="136" t="str">
        <x:v>map-35</x:v>
      </x:c>
      <x:c r="L778" s="136" t="str">
        <x:v>DrillCamp | Conquest | Towering Trunks||Spawn | CSA CQ4_Spawnpoint_CSA_Infantry_1 [map-35/004]</x:v>
      </x:c>
      <x:c r="M778" s="35"/>
      <x:c r="N778" s="35"/>
      <x:c r="O778" s="35"/>
      <x:c r="P778" s="35"/>
      <x:c r="Q778" s="35"/>
      <x:c r="R778" s="35"/>
      <x:c r="S778" s="35"/>
      <x:c r="T778" s="35"/>
      <x:c r="U778" s="35"/>
      <x:c r="V778" s="35"/>
      <x:c r="W778" s="35"/>
      <x:c r="X778" s="35"/>
      <x:c r="Y778" s="35"/>
      <x:c r="Z778" s="35"/>
      <x:c r="AA778" s="35"/>
    </x:row>
    <x:row r="779">
      <x:c r="A779" s="136" t="str">
        <x:v>DrillCamp | Conquest | Towering Trunks</x:v>
      </x:c>
      <x:c r="B779" s="136" t="str">
        <x:v>Spawn | CSA CQ4_Spawnpoint_CSA_Cavalry_0 [map-35/005]</x:v>
      </x:c>
      <x:c r="C779" s="136" t="str">
        <x:v>spawn</x:v>
      </x:c>
      <x:c r="D779" s="136" t="str">
        <x:v>CSA</x:v>
      </x:c>
      <x:c r="E779" s="136" t="str">
        <x:v>CQ4_Spawnpoint_CSA_Cavalry_0</x:v>
      </x:c>
      <x:c r="F779" s="137" t="n">
        <x:v>812.5064697265625</x:v>
      </x:c>
      <x:c r="G779" s="137" t="n">
        <x:v>1300.89990234375</x:v>
      </x:c>
      <x:c r="H779" s="137" t="n">
        <x:v>80.63969421386719</x:v>
      </x:c>
      <x:c r="I779" s="137" t="n">
        <x:v>515.4982969446897</x:v>
      </x:c>
      <x:c r="J779" s="137" t="n">
        <x:v>1850.5727831838492</x:v>
      </x:c>
      <x:c r="K779" s="136" t="str">
        <x:v>map-35</x:v>
      </x:c>
      <x:c r="L779" s="136" t="str">
        <x:v>DrillCamp | Conquest | Towering Trunks||Spawn | CSA CQ4_Spawnpoint_CSA_Cavalry_0 [map-35/005]</x:v>
      </x:c>
      <x:c r="M779" s="35"/>
      <x:c r="N779" s="35"/>
      <x:c r="O779" s="35"/>
      <x:c r="P779" s="35"/>
      <x:c r="Q779" s="35"/>
      <x:c r="R779" s="35"/>
      <x:c r="S779" s="35"/>
      <x:c r="T779" s="35"/>
      <x:c r="U779" s="35"/>
      <x:c r="V779" s="35"/>
      <x:c r="W779" s="35"/>
      <x:c r="X779" s="35"/>
      <x:c r="Y779" s="35"/>
      <x:c r="Z779" s="35"/>
      <x:c r="AA779" s="35"/>
    </x:row>
    <x:row r="780">
      <x:c r="A780" s="136" t="str">
        <x:v>DrillCamp | Conquest | Towering Trunks</x:v>
      </x:c>
      <x:c r="B780" s="136" t="str">
        <x:v>Spawn | USA CQ4_Spawnpoint_USA_Infantry_0 [map-35/006]</x:v>
      </x:c>
      <x:c r="C780" s="136" t="str">
        <x:v>spawn</x:v>
      </x:c>
      <x:c r="D780" s="136" t="str">
        <x:v>USA</x:v>
      </x:c>
      <x:c r="E780" s="136" t="str">
        <x:v>CQ4_Spawnpoint_USA_Infantry_0</x:v>
      </x:c>
      <x:c r="F780" s="137" t="n">
        <x:v>1086.1292724609375</x:v>
      </x:c>
      <x:c r="G780" s="137" t="n">
        <x:v>2295.74853515625</x:v>
      </x:c>
      <x:c r="H780" s="137" t="n">
        <x:v>57.759483337402344</x:v>
      </x:c>
      <x:c r="I780" s="137" t="n">
        <x:v>939.706851234769</x:v>
      </x:c>
      <x:c r="J780" s="137" t="n">
        <x:v>305.55822098062873</x:v>
      </x:c>
      <x:c r="K780" s="136" t="str">
        <x:v>map-35</x:v>
      </x:c>
      <x:c r="L780" s="136" t="str">
        <x:v>DrillCamp | Conquest | Towering Trunks||Spawn | USA CQ4_Spawnpoint_USA_Infantry_0 [map-35/006]</x:v>
      </x:c>
      <x:c r="M780" s="35"/>
      <x:c r="N780" s="35"/>
      <x:c r="O780" s="35"/>
      <x:c r="P780" s="35"/>
      <x:c r="Q780" s="35"/>
      <x:c r="R780" s="35"/>
      <x:c r="S780" s="35"/>
      <x:c r="T780" s="35"/>
      <x:c r="U780" s="35"/>
      <x:c r="V780" s="35"/>
      <x:c r="W780" s="35"/>
      <x:c r="X780" s="35"/>
      <x:c r="Y780" s="35"/>
      <x:c r="Z780" s="35"/>
      <x:c r="AA780" s="35"/>
    </x:row>
    <x:row r="781">
      <x:c r="A781" s="136" t="str">
        <x:v>DrillCamp | Conquest | Towering Trunks</x:v>
      </x:c>
      <x:c r="B781" s="136" t="str">
        <x:v>Spawn | USA CQ4_Spawnpoint_USA_Infantry_1 [map-35/007]</x:v>
      </x:c>
      <x:c r="C781" s="136" t="str">
        <x:v>spawn</x:v>
      </x:c>
      <x:c r="D781" s="136" t="str">
        <x:v>USA</x:v>
      </x:c>
      <x:c r="E781" s="136" t="str">
        <x:v>CQ4_Spawnpoint_USA_Infantry_1</x:v>
      </x:c>
      <x:c r="F781" s="137" t="n">
        <x:v>1083.9976806640625</x:v>
      </x:c>
      <x:c r="G781" s="137" t="n">
        <x:v>2321.75390625</x:v>
      </x:c>
      <x:c r="H781" s="137" t="n">
        <x:v>57.98527908325195</x:v>
      </x:c>
      <x:c r="I781" s="137" t="n">
        <x:v>936.402157819408</x:v>
      </x:c>
      <x:c r="J781" s="137" t="n">
        <x:v>265.18240954195994</x:v>
      </x:c>
      <x:c r="K781" s="136" t="str">
        <x:v>map-35</x:v>
      </x:c>
      <x:c r="L781" s="136" t="str">
        <x:v>DrillCamp | Conquest | Towering Trunks||Spawn | USA CQ4_Spawnpoint_USA_Infantry_1 [map-35/007]</x:v>
      </x:c>
      <x:c r="M781" s="35"/>
      <x:c r="N781" s="35"/>
      <x:c r="O781" s="35"/>
      <x:c r="P781" s="35"/>
      <x:c r="Q781" s="35"/>
      <x:c r="R781" s="35"/>
      <x:c r="S781" s="35"/>
      <x:c r="T781" s="35"/>
      <x:c r="U781" s="35"/>
      <x:c r="V781" s="35"/>
      <x:c r="W781" s="35"/>
      <x:c r="X781" s="35"/>
      <x:c r="Y781" s="35"/>
      <x:c r="Z781" s="35"/>
      <x:c r="AA781" s="35"/>
    </x:row>
    <x:row r="782">
      <x:c r="A782" s="136" t="str">
        <x:v>DrillCamp | Conquest | Towering Trunks</x:v>
      </x:c>
      <x:c r="B782" s="136" t="str">
        <x:v>Artillery | CSA CQ4_Spawnpoint_CSA_Artillery_Staging [map-35/008]</x:v>
      </x:c>
      <x:c r="C782" s="136" t="str">
        <x:v>battery</x:v>
      </x:c>
      <x:c r="D782" s="136" t="str">
        <x:v>CSA</x:v>
      </x:c>
      <x:c r="E782" s="136" t="str">
        <x:v>CQ4_Spawnpoint_CSA_Artillery_Staging</x:v>
      </x:c>
      <x:c r="F782" s="137" t="n">
        <x:v>912.1343994140625</x:v>
      </x:c>
      <x:c r="G782" s="137" t="n">
        <x:v>1527.2264404296875</x:v>
      </x:c>
      <x:c r="H782" s="137" t="n">
        <x:v>72.919677734375</x:v>
      </x:c>
      <x:c r="I782" s="137" t="n">
        <x:v>669.9555263762431</x:v>
      </x:c>
      <x:c r="J782" s="137" t="n">
        <x:v>1499.0404048894104</x:v>
      </x:c>
      <x:c r="K782" s="136" t="str">
        <x:v>map-35</x:v>
      </x:c>
      <x:c r="L782" s="136" t="str">
        <x:v>DrillCamp | Conquest | Towering Trunks||Artillery | CSA CQ4_Spawnpoint_CSA_Artillery_Staging [map-35/008]</x:v>
      </x:c>
      <x:c r="M782" s="35"/>
      <x:c r="N782" s="35"/>
      <x:c r="O782" s="35"/>
      <x:c r="P782" s="35"/>
      <x:c r="Q782" s="35"/>
      <x:c r="R782" s="35"/>
      <x:c r="S782" s="35"/>
      <x:c r="T782" s="35"/>
      <x:c r="U782" s="35"/>
      <x:c r="V782" s="35"/>
      <x:c r="W782" s="35"/>
      <x:c r="X782" s="35"/>
      <x:c r="Y782" s="35"/>
      <x:c r="Z782" s="35"/>
      <x:c r="AA782" s="35"/>
    </x:row>
    <x:row r="783">
      <x:c r="A783" s="136" t="str">
        <x:v>DrillCamp | Conquest | Towering Trunks</x:v>
      </x:c>
      <x:c r="B783" s="136" t="str">
        <x:v>Artillery | USA CQ4_Spawnpoint_USA_Artillery_Staging [map-35/009]</x:v>
      </x:c>
      <x:c r="C783" s="136" t="str">
        <x:v>battery</x:v>
      </x:c>
      <x:c r="D783" s="136" t="str">
        <x:v>USA</x:v>
      </x:c>
      <x:c r="E783" s="136" t="str">
        <x:v>CQ4_Spawnpoint_USA_Artillery_Staging</x:v>
      </x:c>
      <x:c r="F783" s="137" t="n">
        <x:v>1080.90673828125</x:v>
      </x:c>
      <x:c r="G783" s="137" t="n">
        <x:v>2348.289794921875</x:v>
      </x:c>
      <x:c r="H783" s="137" t="n">
        <x:v>56.892250061035156</x:v>
      </x:c>
      <x:c r="I783" s="137" t="n">
        <x:v>931.6101441915098</x:v>
      </x:c>
      <x:c r="J783" s="137" t="n">
        <x:v>223.98399561646175</x:v>
      </x:c>
      <x:c r="K783" s="136" t="str">
        <x:v>map-35</x:v>
      </x:c>
      <x:c r="L783" s="136" t="str">
        <x:v>DrillCamp | Conquest | Towering Trunks||Artillery | USA CQ4_Spawnpoint_USA_Artillery_Staging [map-35/009]</x:v>
      </x:c>
      <x:c r="M783" s="35"/>
      <x:c r="N783" s="35"/>
      <x:c r="O783" s="35"/>
      <x:c r="P783" s="35"/>
      <x:c r="Q783" s="35"/>
      <x:c r="R783" s="35"/>
      <x:c r="S783" s="35"/>
      <x:c r="T783" s="35"/>
      <x:c r="U783" s="35"/>
      <x:c r="V783" s="35"/>
      <x:c r="W783" s="35"/>
      <x:c r="X783" s="35"/>
      <x:c r="Y783" s="35"/>
      <x:c r="Z783" s="35"/>
      <x:c r="AA783" s="35"/>
    </x:row>
    <x:row r="784">
      <x:c r="A784" s="136" t="str">
        <x:v>DrillCamp | Conquest | Towering Trunks</x:v>
      </x:c>
      <x:c r="B784" s="136" t="str">
        <x:v>Artillery | USA CQ4_Spawnpoint_USA_Artillery_Forward [map-35/010]</x:v>
      </x:c>
      <x:c r="C784" s="136" t="str">
        <x:v>battery</x:v>
      </x:c>
      <x:c r="D784" s="136" t="str">
        <x:v>USA</x:v>
      </x:c>
      <x:c r="E784" s="136" t="str">
        <x:v>CQ4_Spawnpoint_USA_Artillery_Forward</x:v>
      </x:c>
      <x:c r="F784" s="137" t="n">
        <x:v>1451.646728515625</x:v>
      </x:c>
      <x:c r="G784" s="137" t="n">
        <x:v>1901.84912109375</x:v>
      </x:c>
      <x:c r="H784" s="137" t="n">
        <x:v>58.08472442626953</x:v>
      </x:c>
      <x:c r="I784" s="137" t="n">
        <x:v>1506.3834222341168</x:v>
      </x:c>
      <x:c r="J784" s="137" t="n">
        <x:v>916.7328406972457</x:v>
      </x:c>
      <x:c r="K784" s="136" t="str">
        <x:v>map-35</x:v>
      </x:c>
      <x:c r="L784" s="136" t="str">
        <x:v>DrillCamp | Conquest | Towering Trunks||Artillery | USA CQ4_Spawnpoint_USA_Artillery_Forward [map-35/010]</x:v>
      </x:c>
      <x:c r="M784" s="35"/>
      <x:c r="N784" s="35"/>
      <x:c r="O784" s="35"/>
      <x:c r="P784" s="35"/>
      <x:c r="Q784" s="35"/>
      <x:c r="R784" s="35"/>
      <x:c r="S784" s="35"/>
      <x:c r="T784" s="35"/>
      <x:c r="U784" s="35"/>
      <x:c r="V784" s="35"/>
      <x:c r="W784" s="35"/>
      <x:c r="X784" s="35"/>
      <x:c r="Y784" s="35"/>
      <x:c r="Z784" s="35"/>
      <x:c r="AA784" s="35"/>
    </x:row>
    <x:row r="785">
      <x:c r="A785" s="136" t="str">
        <x:v>DrillCamp | Conquest | Towering Trunks</x:v>
      </x:c>
      <x:c r="B785" s="136" t="str">
        <x:v>Spawn | CSA CQ4_Spawnpoint_CSA_Infantry_0 [map-35/011]</x:v>
      </x:c>
      <x:c r="C785" s="136" t="str">
        <x:v>spawn</x:v>
      </x:c>
      <x:c r="D785" s="136" t="str">
        <x:v>CSA</x:v>
      </x:c>
      <x:c r="E785" s="136" t="str">
        <x:v>CQ4_Spawnpoint_CSA_Infantry_0</x:v>
      </x:c>
      <x:c r="F785" s="137" t="n">
        <x:v>928.6536865234375</x:v>
      </x:c>
      <x:c r="G785" s="137" t="n">
        <x:v>1550.2115478515625</x:v>
      </x:c>
      <x:c r="H785" s="137" t="n">
        <x:v>72.59893035888672</x:v>
      </x:c>
      <x:c r="I785" s="137" t="n">
        <x:v>695.5660487177364</x:v>
      </x:c>
      <x:c r="J785" s="137" t="n">
        <x:v>1463.33220891447</x:v>
      </x:c>
      <x:c r="K785" s="136" t="str">
        <x:v>map-35</x:v>
      </x:c>
      <x:c r="L785" s="136" t="str">
        <x:v>DrillCamp | Conquest | Towering Trunks||Spawn | CSA CQ4_Spawnpoint_CSA_Infantry_0 [map-35/011]</x:v>
      </x:c>
      <x:c r="M785" s="35"/>
      <x:c r="N785" s="35"/>
      <x:c r="O785" s="35"/>
      <x:c r="P785" s="35"/>
      <x:c r="Q785" s="35"/>
      <x:c r="R785" s="35"/>
      <x:c r="S785" s="35"/>
      <x:c r="T785" s="35"/>
      <x:c r="U785" s="35"/>
      <x:c r="V785" s="35"/>
      <x:c r="W785" s="35"/>
      <x:c r="X785" s="35"/>
      <x:c r="Y785" s="35"/>
      <x:c r="Z785" s="35"/>
      <x:c r="AA785" s="35"/>
    </x:row>
    <x:row r="786">
      <x:c r="A786" s="136" t="str">
        <x:v>DrillCamp | Conquest | Towering Trunks</x:v>
      </x:c>
      <x:c r="B786" s="136" t="str">
        <x:v>Artillery | CSA CQ4_Spawnpoint_CSA_Artillery_Forward [map-35/012]</x:v>
      </x:c>
      <x:c r="C786" s="136" t="str">
        <x:v>battery</x:v>
      </x:c>
      <x:c r="D786" s="136" t="str">
        <x:v>CSA</x:v>
      </x:c>
      <x:c r="E786" s="136" t="str">
        <x:v>CQ4_Spawnpoint_CSA_Artillery_Forward</x:v>
      </x:c>
      <x:c r="F786" s="137" t="n">
        <x:v>1247.2314453125</x:v>
      </x:c>
      <x:c r="G786" s="137" t="n">
        <x:v>1376.9906005859375</x:v>
      </x:c>
      <x:c r="H786" s="137" t="n">
        <x:v>59.25183868408203</x:v>
      </x:c>
      <x:c r="I786" s="137" t="n">
        <x:v>1189.4700988713162</x:v>
      </x:c>
      <x:c r="J786" s="137" t="n">
        <x:v>1731.9164364089431</x:v>
      </x:c>
      <x:c r="K786" s="136" t="str">
        <x:v>map-35</x:v>
      </x:c>
      <x:c r="L786" s="136" t="str">
        <x:v>DrillCamp | Conquest | Towering Trunks||Artillery | CSA CQ4_Spawnpoint_CSA_Artillery_Forward [map-35/012]</x:v>
      </x:c>
      <x:c r="M786" s="35"/>
      <x:c r="N786" s="35"/>
      <x:c r="O786" s="35"/>
      <x:c r="P786" s="35"/>
      <x:c r="Q786" s="35"/>
      <x:c r="R786" s="35"/>
      <x:c r="S786" s="35"/>
      <x:c r="T786" s="35"/>
      <x:c r="U786" s="35"/>
      <x:c r="V786" s="35"/>
      <x:c r="W786" s="35"/>
      <x:c r="X786" s="35"/>
      <x:c r="Y786" s="35"/>
      <x:c r="Z786" s="35"/>
      <x:c r="AA786" s="35"/>
    </x:row>
    <x:row r="787">
      <x:c r="A787" s="136" t="str">
        <x:v>DrillCamp | Conquest | Towering Trunks</x:v>
      </x:c>
      <x:c r="B787" s="136" t="str">
        <x:v>Gun | 3-inch Ordnance · Entity-1679 [map-35/013]</x:v>
      </x:c>
      <x:c r="C787" s="136" t="str">
        <x:v>gun_spawn</x:v>
      </x:c>
      <x:c r="D787" s="136" t="str"/>
      <x:c r="E787" s="136" t="str">
        <x:v>3-inch Ordnance · Entity-1679</x:v>
      </x:c>
      <x:c r="F787" s="137" t="n">
        <x:v>1409.2825927734375</x:v>
      </x:c>
      <x:c r="G787" s="137" t="n">
        <x:v>1895.2388916015625</x:v>
      </x:c>
      <x:c r="H787" s="137" t="n">
        <x:v>58.69883346557617</x:v>
      </x:c>
      <x:c r="I787" s="137" t="n">
        <x:v>1440.7045804221352</x:v>
      </x:c>
      <x:c r="J787" s="137" t="n">
        <x:v>927.0462817911834</x:v>
      </x:c>
      <x:c r="K787" s="136" t="str">
        <x:v>map-35</x:v>
      </x:c>
      <x:c r="L787" s="136" t="str">
        <x:v>DrillCamp | Conquest | Towering Trunks||Gun | 3-inch Ordnance · Entity-1679 [map-35/013]</x:v>
      </x:c>
      <x:c r="M787" s="35"/>
      <x:c r="N787" s="35"/>
      <x:c r="O787" s="35"/>
      <x:c r="P787" s="35"/>
      <x:c r="Q787" s="35"/>
      <x:c r="R787" s="35"/>
      <x:c r="S787" s="35"/>
      <x:c r="T787" s="35"/>
      <x:c r="U787" s="35"/>
      <x:c r="V787" s="35"/>
      <x:c r="W787" s="35"/>
      <x:c r="X787" s="35"/>
      <x:c r="Y787" s="35"/>
      <x:c r="Z787" s="35"/>
      <x:c r="AA787" s="35"/>
    </x:row>
    <x:row r="788">
      <x:c r="A788" s="136" t="str">
        <x:v>DrillCamp | Conquest | Towering Trunks</x:v>
      </x:c>
      <x:c r="B788" s="136" t="str">
        <x:v>Gun | 3-inch Ordnance · Entity-1678 [map-35/014]</x:v>
      </x:c>
      <x:c r="C788" s="136" t="str">
        <x:v>gun_spawn</x:v>
      </x:c>
      <x:c r="D788" s="136" t="str"/>
      <x:c r="E788" s="136" t="str">
        <x:v>3-inch Ordnance · Entity-1678</x:v>
      </x:c>
      <x:c r="F788" s="137" t="n">
        <x:v>1407.851806640625</x:v>
      </x:c>
      <x:c r="G788" s="137" t="n">
        <x:v>1888.010009765625</x:v>
      </x:c>
      <x:c r="H788" s="137" t="n">
        <x:v>58.694793701171875</x:v>
      </x:c>
      <x:c r="I788" s="137" t="n">
        <x:v>1438.4863745166579</x:v>
      </x:c>
      <x:c r="J788" s="137" t="n">
        <x:v>938.2721864151576</x:v>
      </x:c>
      <x:c r="K788" s="136" t="str">
        <x:v>map-35</x:v>
      </x:c>
      <x:c r="L788" s="136" t="str">
        <x:v>DrillCamp | Conquest | Towering Trunks||Gun | 3-inch Ordnance · Entity-1678 [map-35/014]</x:v>
      </x:c>
      <x:c r="M788" s="35"/>
      <x:c r="N788" s="35"/>
      <x:c r="O788" s="35"/>
      <x:c r="P788" s="35"/>
      <x:c r="Q788" s="35"/>
      <x:c r="R788" s="35"/>
      <x:c r="S788" s="35"/>
      <x:c r="T788" s="35"/>
      <x:c r="U788" s="35"/>
      <x:c r="V788" s="35"/>
      <x:c r="W788" s="35"/>
      <x:c r="X788" s="35"/>
      <x:c r="Y788" s="35"/>
      <x:c r="Z788" s="35"/>
      <x:c r="AA788" s="35"/>
    </x:row>
    <x:row r="789">
      <x:c r="A789" s="136" t="str">
        <x:v>DrillCamp | Conquest | Towering Trunks</x:v>
      </x:c>
      <x:c r="B789" s="136" t="str">
        <x:v>Gun | 12-pounder Napoleon (CSA) · Entity-1682 [map-35/015]</x:v>
      </x:c>
      <x:c r="C789" s="136" t="str">
        <x:v>gun_spawn</x:v>
      </x:c>
      <x:c r="D789" s="136" t="str"/>
      <x:c r="E789" s="136" t="str">
        <x:v>12-pounder Napoleon (CSA) · Entity-1682</x:v>
      </x:c>
      <x:c r="F789" s="137" t="n">
        <x:v>1411.99365234375</x:v>
      </x:c>
      <x:c r="G789" s="137" t="n">
        <x:v>1918</x:v>
      </x:c>
      <x:c r="H789" s="137" t="n">
        <x:v>58.68986129760742</x:v>
      </x:c>
      <x:c r="I789" s="137" t="n">
        <x:v>1444.907646282962</x:v>
      </x:c>
      <x:c r="J789" s="137" t="n">
        <x:v>891.7021172380274</x:v>
      </x:c>
      <x:c r="K789" s="136" t="str">
        <x:v>map-35</x:v>
      </x:c>
      <x:c r="L789" s="136" t="str">
        <x:v>DrillCamp | Conquest | Towering Trunks||Gun | 12-pounder Napoleon (CSA) · Entity-1682 [map-35/015]</x:v>
      </x:c>
      <x:c r="M789" s="35"/>
      <x:c r="N789" s="35"/>
      <x:c r="O789" s="35"/>
      <x:c r="P789" s="35"/>
      <x:c r="Q789" s="35"/>
      <x:c r="R789" s="35"/>
      <x:c r="S789" s="35"/>
      <x:c r="T789" s="35"/>
      <x:c r="U789" s="35"/>
      <x:c r="V789" s="35"/>
      <x:c r="W789" s="35"/>
      <x:c r="X789" s="35"/>
      <x:c r="Y789" s="35"/>
      <x:c r="Z789" s="35"/>
      <x:c r="AA789" s="35"/>
    </x:row>
    <x:row r="790">
      <x:c r="A790" s="136" t="str">
        <x:v>DrillCamp | Conquest | Towering Trunks</x:v>
      </x:c>
      <x:c r="B790" s="136" t="str">
        <x:v>Gun | 12-pounder Napoleon (CSA) · Entity-1683 [map-35/016]</x:v>
      </x:c>
      <x:c r="C790" s="136" t="str">
        <x:v>gun_spawn</x:v>
      </x:c>
      <x:c r="D790" s="136" t="str"/>
      <x:c r="E790" s="136" t="str">
        <x:v>12-pounder Napoleon (CSA) · Entity-1683</x:v>
      </x:c>
      <x:c r="F790" s="137" t="n">
        <x:v>1413.3271484375</x:v>
      </x:c>
      <x:c r="G790" s="137" t="n">
        <x:v>1927.8341064453125</x:v>
      </x:c>
      <x:c r="H790" s="137" t="n">
        <x:v>58.98716354370117</x:v>
      </x:c>
      <x:c r="I790" s="137" t="n">
        <x:v>1446.9750194858827</x:v>
      </x:c>
      <x:c r="J790" s="137" t="n">
        <x:v>876.4312170376289</x:v>
      </x:c>
      <x:c r="K790" s="136" t="str">
        <x:v>map-35</x:v>
      </x:c>
      <x:c r="L790" s="136" t="str">
        <x:v>DrillCamp | Conquest | Towering Trunks||Gun | 12-pounder Napoleon (CSA) · Entity-1683 [map-35/016]</x:v>
      </x:c>
      <x:c r="M790" s="35"/>
      <x:c r="N790" s="35"/>
      <x:c r="O790" s="35"/>
      <x:c r="P790" s="35"/>
      <x:c r="Q790" s="35"/>
      <x:c r="R790" s="35"/>
      <x:c r="S790" s="35"/>
      <x:c r="T790" s="35"/>
      <x:c r="U790" s="35"/>
      <x:c r="V790" s="35"/>
      <x:c r="W790" s="35"/>
      <x:c r="X790" s="35"/>
      <x:c r="Y790" s="35"/>
      <x:c r="Z790" s="35"/>
      <x:c r="AA790" s="35"/>
    </x:row>
    <x:row r="791">
      <x:c r="A791" s="136" t="str">
        <x:v>DrillCamp | Conquest | Towering Trunks</x:v>
      </x:c>
      <x:c r="B791" s="136" t="str">
        <x:v>Gun | 12-pounder Napoleon (USA) · Entity-1681 [map-35/017]</x:v>
      </x:c>
      <x:c r="C791" s="136" t="str">
        <x:v>gun_spawn</x:v>
      </x:c>
      <x:c r="D791" s="136" t="str"/>
      <x:c r="E791" s="136" t="str">
        <x:v>12-pounder Napoleon (USA) · Entity-1681</x:v>
      </x:c>
      <x:c r="F791" s="137" t="n">
        <x:v>1410.8773193359375</x:v>
      </x:c>
      <x:c r="G791" s="137" t="n">
        <x:v>1909.640869140625</x:v>
      </x:c>
      <x:c r="H791" s="137" t="n">
        <x:v>58.766658782958984</x:v>
      </x:c>
      <x:c r="I791" s="137" t="n">
        <x:v>1443.1769498402018</x:v>
      </x:c>
      <x:c r="J791" s="137" t="n">
        <x:v>904.6825802318946</x:v>
      </x:c>
      <x:c r="K791" s="136" t="str">
        <x:v>map-35</x:v>
      </x:c>
      <x:c r="L791" s="136" t="str">
        <x:v>DrillCamp | Conquest | Towering Trunks||Gun | 12-pounder Napoleon (USA) · Entity-1681 [map-35/017]</x:v>
      </x:c>
      <x:c r="M791" s="35"/>
      <x:c r="N791" s="35"/>
      <x:c r="O791" s="35"/>
      <x:c r="P791" s="35"/>
      <x:c r="Q791" s="35"/>
      <x:c r="R791" s="35"/>
      <x:c r="S791" s="35"/>
      <x:c r="T791" s="35"/>
      <x:c r="U791" s="35"/>
      <x:c r="V791" s="35"/>
      <x:c r="W791" s="35"/>
      <x:c r="X791" s="35"/>
      <x:c r="Y791" s="35"/>
      <x:c r="Z791" s="35"/>
      <x:c r="AA791" s="35"/>
    </x:row>
    <x:row r="792">
      <x:c r="A792" s="136" t="str">
        <x:v>DrillCamp | Conquest | Towering Trunks</x:v>
      </x:c>
      <x:c r="B792" s="136" t="str">
        <x:v>Gun | 3-inch Ordnance · Entity-1680 [map-35/018]</x:v>
      </x:c>
      <x:c r="C792" s="136" t="str">
        <x:v>gun_spawn</x:v>
      </x:c>
      <x:c r="D792" s="136" t="str"/>
      <x:c r="E792" s="136" t="str">
        <x:v>3-inch Ordnance · Entity-1680</x:v>
      </x:c>
      <x:c r="F792" s="137" t="n">
        <x:v>1410.461181640625</x:v>
      </x:c>
      <x:c r="G792" s="137" t="n">
        <x:v>1902.837158203125</x:v>
      </x:c>
      <x:c r="H792" s="137" t="n">
        <x:v>58.754615783691406</x:v>
      </x:c>
      <x:c r="I792" s="137" t="n">
        <x:v>1442.5317946544862</x:v>
      </x:c>
      <x:c r="J792" s="137" t="n">
        <x:v>915.2471330366302</x:v>
      </x:c>
      <x:c r="K792" s="136" t="str">
        <x:v>map-35</x:v>
      </x:c>
      <x:c r="L792" s="136" t="str">
        <x:v>DrillCamp | Conquest | Towering Trunks||Gun | 3-inch Ordnance · Entity-1680 [map-35/018]</x:v>
      </x:c>
      <x:c r="M792" s="35"/>
      <x:c r="N792" s="35"/>
      <x:c r="O792" s="35"/>
      <x:c r="P792" s="35"/>
      <x:c r="Q792" s="35"/>
      <x:c r="R792" s="35"/>
      <x:c r="S792" s="35"/>
      <x:c r="T792" s="35"/>
      <x:c r="U792" s="35"/>
      <x:c r="V792" s="35"/>
      <x:c r="W792" s="35"/>
      <x:c r="X792" s="35"/>
      <x:c r="Y792" s="35"/>
      <x:c r="Z792" s="35"/>
      <x:c r="AA792" s="35"/>
    </x:row>
    <x:row r="793">
      <x:c r="A793" s="136" t="str">
        <x:v>DrillCamp | Conquest | Towering Trunks</x:v>
      </x:c>
      <x:c r="B793" s="136" t="str">
        <x:v>Gun | 12-pounder Napoleon (USA) · Entity-1694 [map-35/019]</x:v>
      </x:c>
      <x:c r="C793" s="136" t="str">
        <x:v>gun_spawn</x:v>
      </x:c>
      <x:c r="D793" s="136" t="str"/>
      <x:c r="E793" s="136" t="str">
        <x:v>12-pounder Napoleon (USA) · Entity-1694</x:v>
      </x:c>
      <x:c r="F793" s="137" t="n">
        <x:v>1262.5882568359375</x:v>
      </x:c>
      <x:c r="G793" s="137" t="n">
        <x:v>1411.34130859375</x:v>
      </x:c>
      <x:c r="H793" s="137" t="n">
        <x:v>58.75867462158203</x:v>
      </x:c>
      <x:c r="I793" s="137" t="n">
        <x:v>1213.2783880554116</x:v>
      </x:c>
      <x:c r="J793" s="137" t="n">
        <x:v>1678.5623361438356</x:v>
      </x:c>
      <x:c r="K793" s="136" t="str">
        <x:v>map-35</x:v>
      </x:c>
      <x:c r="L793" s="136" t="str">
        <x:v>DrillCamp | Conquest | Towering Trunks||Gun | 12-pounder Napoleon (USA) · Entity-1694 [map-35/019]</x:v>
      </x:c>
      <x:c r="M793" s="35"/>
      <x:c r="N793" s="35"/>
      <x:c r="O793" s="35"/>
      <x:c r="P793" s="35"/>
      <x:c r="Q793" s="35"/>
      <x:c r="R793" s="35"/>
      <x:c r="S793" s="35"/>
      <x:c r="T793" s="35"/>
      <x:c r="U793" s="35"/>
      <x:c r="V793" s="35"/>
      <x:c r="W793" s="35"/>
      <x:c r="X793" s="35"/>
      <x:c r="Y793" s="35"/>
      <x:c r="Z793" s="35"/>
      <x:c r="AA793" s="35"/>
    </x:row>
    <x:row r="794">
      <x:c r="A794" s="136" t="str">
        <x:v>DrillCamp | Conquest | Towering Trunks</x:v>
      </x:c>
      <x:c r="B794" s="136" t="str">
        <x:v>Gun | 12-pounder Napoleon (USA) · Entity-1693 [map-35/020]</x:v>
      </x:c>
      <x:c r="C794" s="136" t="str">
        <x:v>gun_spawn</x:v>
      </x:c>
      <x:c r="D794" s="136" t="str"/>
      <x:c r="E794" s="136" t="str">
        <x:v>12-pounder Napoleon (USA) · Entity-1693</x:v>
      </x:c>
      <x:c r="F794" s="137" t="n">
        <x:v>1253.5419921875</x:v>
      </x:c>
      <x:c r="G794" s="137" t="n">
        <x:v>1414.2742919921875</x:v>
      </x:c>
      <x:c r="H794" s="137" t="n">
        <x:v>58.704742431640625</x:v>
      </x:c>
      <x:c r="I794" s="137" t="n">
        <x:v>1199.2535962256002</x:v>
      </x:c>
      <x:c r="J794" s="137" t="n">
        <x:v>1674.0189508420733</x:v>
      </x:c>
      <x:c r="K794" s="136" t="str">
        <x:v>map-35</x:v>
      </x:c>
      <x:c r="L794" s="136" t="str">
        <x:v>DrillCamp | Conquest | Towering Trunks||Gun | 12-pounder Napoleon (USA) · Entity-1693 [map-35/020]</x:v>
      </x:c>
      <x:c r="M794" s="35"/>
      <x:c r="N794" s="35"/>
      <x:c r="O794" s="35"/>
      <x:c r="P794" s="35"/>
      <x:c r="Q794" s="35"/>
      <x:c r="R794" s="35"/>
      <x:c r="S794" s="35"/>
      <x:c r="T794" s="35"/>
      <x:c r="U794" s="35"/>
      <x:c r="V794" s="35"/>
      <x:c r="W794" s="35"/>
      <x:c r="X794" s="35"/>
      <x:c r="Y794" s="35"/>
      <x:c r="Z794" s="35"/>
      <x:c r="AA794" s="35"/>
    </x:row>
    <x:row r="795">
      <x:c r="A795" s="136" t="str">
        <x:v>DrillCamp | Conquest | Towering Trunks</x:v>
      </x:c>
      <x:c r="B795" s="136" t="str">
        <x:v>Gun | 12-pounder Napoleon (USA) · Entity-1695 [map-35/021]</x:v>
      </x:c>
      <x:c r="C795" s="136" t="str">
        <x:v>gun_spawn</x:v>
      </x:c>
      <x:c r="D795" s="136" t="str"/>
      <x:c r="E795" s="136" t="str">
        <x:v>12-pounder Napoleon (USA) · Entity-1695</x:v>
      </x:c>
      <x:c r="F795" s="137" t="n">
        <x:v>1271.678955078125</x:v>
      </x:c>
      <x:c r="G795" s="137" t="n">
        <x:v>1408.06005859375</x:v>
      </x:c>
      <x:c r="H795" s="137" t="n">
        <x:v>58.77656555175781</x:v>
      </x:c>
      <x:c r="I795" s="137" t="n">
        <x:v>1227.372067091911</x:v>
      </x:c>
      <x:c r="J795" s="137" t="n">
        <x:v>1683.646419787184</x:v>
      </x:c>
      <x:c r="K795" s="136" t="str">
        <x:v>map-35</x:v>
      </x:c>
      <x:c r="L795" s="136" t="str">
        <x:v>DrillCamp | Conquest | Towering Trunks||Gun | 12-pounder Napoleon (USA) · Entity-1695 [map-35/021]</x:v>
      </x:c>
      <x:c r="M795" s="35"/>
      <x:c r="N795" s="35"/>
      <x:c r="O795" s="35"/>
      <x:c r="P795" s="35"/>
      <x:c r="Q795" s="35"/>
      <x:c r="R795" s="35"/>
      <x:c r="S795" s="35"/>
      <x:c r="T795" s="35"/>
      <x:c r="U795" s="35"/>
      <x:c r="V795" s="35"/>
      <x:c r="W795" s="35"/>
      <x:c r="X795" s="35"/>
      <x:c r="Y795" s="35"/>
      <x:c r="Z795" s="35"/>
      <x:c r="AA795" s="35"/>
    </x:row>
    <x:row r="796">
      <x:c r="A796" s="136" t="str">
        <x:v>DrillCamp | Contention | Corn Crib</x:v>
      </x:c>
      <x:c r="B796" s="136" t="str">
        <x:v>Spawn | USA CQ1_Spawnpoint_USA_Infantry_1 [map-36/001]</x:v>
      </x:c>
      <x:c r="C796" s="136" t="str">
        <x:v>spawn</x:v>
      </x:c>
      <x:c r="D796" s="136" t="str">
        <x:v>USA</x:v>
      </x:c>
      <x:c r="E796" s="136" t="str">
        <x:v>CQ1_Spawnpoint_USA_Infantry_1</x:v>
      </x:c>
      <x:c r="F796" s="137" t="n">
        <x:v>1262.23974609375</x:v>
      </x:c>
      <x:c r="G796" s="137" t="n">
        <x:v>2511.865966796875</x:v>
      </x:c>
      <x:c r="H796" s="137" t="n">
        <x:v>52.53315734863281</x:v>
      </x:c>
      <x:c r="I796" s="137" t="n">
        <x:v>1814.0206535496884</x:v>
      </x:c>
      <x:c r="J796" s="137" t="n">
        <x:v>1672.4237732992817</x:v>
      </x:c>
      <x:c r="K796" s="136" t="str">
        <x:v>map-36</x:v>
      </x:c>
      <x:c r="L796" s="136" t="str">
        <x:v>DrillCamp | Contention | Corn Crib||Spawn | USA CQ1_Spawnpoint_USA_Infantry_1 [map-36/001]</x:v>
      </x:c>
      <x:c r="M796" s="35"/>
      <x:c r="N796" s="35"/>
      <x:c r="O796" s="35"/>
      <x:c r="P796" s="35"/>
      <x:c r="Q796" s="35"/>
      <x:c r="R796" s="35"/>
      <x:c r="S796" s="35"/>
      <x:c r="T796" s="35"/>
      <x:c r="U796" s="35"/>
      <x:c r="V796" s="35"/>
      <x:c r="W796" s="35"/>
      <x:c r="X796" s="35"/>
      <x:c r="Y796" s="35"/>
      <x:c r="Z796" s="35"/>
      <x:c r="AA796" s="35"/>
    </x:row>
    <x:row r="797">
      <x:c r="A797" s="136" t="str">
        <x:v>DrillCamp | Contention | Corn Crib</x:v>
      </x:c>
      <x:c r="B797" s="136" t="str">
        <x:v>Artillery | USA CQ1_Spawnpoint_USA_Artillery_Forward [map-36/002]</x:v>
      </x:c>
      <x:c r="C797" s="136" t="str">
        <x:v>battery</x:v>
      </x:c>
      <x:c r="D797" s="136" t="str">
        <x:v>USA</x:v>
      </x:c>
      <x:c r="E797" s="136" t="str">
        <x:v>CQ1_Spawnpoint_USA_Artillery_Forward</x:v>
      </x:c>
      <x:c r="F797" s="137" t="n">
        <x:v>1256.8681640625</x:v>
      </x:c>
      <x:c r="G797" s="137" t="n">
        <x:v>2871.148193359375</x:v>
      </x:c>
      <x:c r="H797" s="137" t="n">
        <x:v>60.696590423583984</x:v>
      </x:c>
      <x:c r="I797" s="137" t="n">
        <x:v>1797.9373124623842</x:v>
      </x:c>
      <x:c r="J797" s="137" t="n">
        <x:v>466.1778696350264</x:v>
      </x:c>
      <x:c r="K797" s="136" t="str">
        <x:v>map-36</x:v>
      </x:c>
      <x:c r="L797" s="136" t="str">
        <x:v>DrillCamp | Contention | Corn Crib||Artillery | USA CQ1_Spawnpoint_USA_Artillery_Forward [map-36/002]</x:v>
      </x:c>
      <x:c r="M797" s="35"/>
      <x:c r="N797" s="35"/>
      <x:c r="O797" s="35"/>
      <x:c r="P797" s="35"/>
      <x:c r="Q797" s="35"/>
      <x:c r="R797" s="35"/>
      <x:c r="S797" s="35"/>
      <x:c r="T797" s="35"/>
      <x:c r="U797" s="35"/>
      <x:c r="V797" s="35"/>
      <x:c r="W797" s="35"/>
      <x:c r="X797" s="35"/>
      <x:c r="Y797" s="35"/>
      <x:c r="Z797" s="35"/>
      <x:c r="AA797" s="35"/>
    </x:row>
    <x:row r="798">
      <x:c r="A798" s="136" t="str">
        <x:v>DrillCamp | Contention | Corn Crib</x:v>
      </x:c>
      <x:c r="B798" s="136" t="str">
        <x:v>Artillery | CSA CQ1_Spawnpoint_CSA_Artillery_Forward [map-36/003]</x:v>
      </x:c>
      <x:c r="C798" s="136" t="str">
        <x:v>battery</x:v>
      </x:c>
      <x:c r="D798" s="136" t="str">
        <x:v>CSA</x:v>
      </x:c>
      <x:c r="E798" s="136" t="str">
        <x:v>CQ1_Spawnpoint_CSA_Artillery_Forward</x:v>
      </x:c>
      <x:c r="F798" s="137" t="n">
        <x:v>828.4625244140625</x:v>
      </x:c>
      <x:c r="G798" s="137" t="n">
        <x:v>2883.108154296875</x:v>
      </x:c>
      <x:c r="H798" s="137" t="n">
        <x:v>67.29790496826172</x:v>
      </x:c>
      <x:c r="I798" s="137" t="n">
        <x:v>357.32221121488703</x:v>
      </x:c>
      <x:c r="J798" s="137" t="n">
        <x:v>426.0237712069645</x:v>
      </x:c>
      <x:c r="K798" s="136" t="str">
        <x:v>map-36</x:v>
      </x:c>
      <x:c r="L798" s="136" t="str">
        <x:v>DrillCamp | Contention | Corn Crib||Artillery | CSA CQ1_Spawnpoint_CSA_Artillery_Forward [map-36/003]</x:v>
      </x:c>
      <x:c r="M798" s="35"/>
      <x:c r="N798" s="35"/>
      <x:c r="O798" s="35"/>
      <x:c r="P798" s="35"/>
      <x:c r="Q798" s="35"/>
      <x:c r="R798" s="35"/>
      <x:c r="S798" s="35"/>
      <x:c r="T798" s="35"/>
      <x:c r="U798" s="35"/>
      <x:c r="V798" s="35"/>
      <x:c r="W798" s="35"/>
      <x:c r="X798" s="35"/>
      <x:c r="Y798" s="35"/>
      <x:c r="Z798" s="35"/>
      <x:c r="AA798" s="35"/>
    </x:row>
    <x:row r="799">
      <x:c r="A799" s="136" t="str">
        <x:v>DrillCamp | Contention | Corn Crib</x:v>
      </x:c>
      <x:c r="B799" s="136" t="str">
        <x:v>Spawn | CSA CQ1_Spawnpoint_CSA_Infantry_1 [map-36/004]</x:v>
      </x:c>
      <x:c r="C799" s="136" t="str">
        <x:v>spawn</x:v>
      </x:c>
      <x:c r="D799" s="136" t="str">
        <x:v>CSA</x:v>
      </x:c>
      <x:c r="E799" s="136" t="str">
        <x:v>CQ1_Spawnpoint_CSA_Infantry_1</x:v>
      </x:c>
      <x:c r="F799" s="137" t="n">
        <x:v>867.8883666992188</x:v>
      </x:c>
      <x:c r="G799" s="137" t="n">
        <x:v>2495.886474609375</x:v>
      </x:c>
      <x:c r="H799" s="137" t="n">
        <x:v>56.35677719116211</x:v>
      </x:c>
      <x:c r="I799" s="137" t="n">
        <x:v>487.77225481079074</x:v>
      </x:c>
      <x:c r="J799" s="137" t="n">
        <x:v>1726.0729537172108</x:v>
      </x:c>
      <x:c r="K799" s="136" t="str">
        <x:v>map-36</x:v>
      </x:c>
      <x:c r="L799" s="136" t="str">
        <x:v>DrillCamp | Contention | Corn Crib||Spawn | CSA CQ1_Spawnpoint_CSA_Infantry_1 [map-36/004]</x:v>
      </x:c>
      <x:c r="M799" s="35"/>
      <x:c r="N799" s="35"/>
      <x:c r="O799" s="35"/>
      <x:c r="P799" s="35"/>
      <x:c r="Q799" s="35"/>
      <x:c r="R799" s="35"/>
      <x:c r="S799" s="35"/>
      <x:c r="T799" s="35"/>
      <x:c r="U799" s="35"/>
      <x:c r="V799" s="35"/>
      <x:c r="W799" s="35"/>
      <x:c r="X799" s="35"/>
      <x:c r="Y799" s="35"/>
      <x:c r="Z799" s="35"/>
      <x:c r="AA799" s="35"/>
    </x:row>
    <x:row r="800">
      <x:c r="A800" s="136" t="str">
        <x:v>DrillCamp | Contention | Corn Crib</x:v>
      </x:c>
      <x:c r="B800" s="136" t="str">
        <x:v>Spawn | USA CQ1_Spawnpoint_USA_Infantry_0 [map-36/005]</x:v>
      </x:c>
      <x:c r="C800" s="136" t="str">
        <x:v>spawn</x:v>
      </x:c>
      <x:c r="D800" s="136" t="str">
        <x:v>USA</x:v>
      </x:c>
      <x:c r="E800" s="136" t="str">
        <x:v>CQ1_Spawnpoint_USA_Infantry_0</x:v>
      </x:c>
      <x:c r="F800" s="137" t="n">
        <x:v>1237.649169921875</x:v>
      </x:c>
      <x:c r="G800" s="137" t="n">
        <x:v>2492.43359375</x:v>
      </x:c>
      <x:c r="H800" s="137" t="n">
        <x:v>52.83546829223633</x:v>
      </x:c>
      <x:c r="I800" s="137" t="n">
        <x:v>1731.218121838064</x:v>
      </x:c>
      <x:c r="J800" s="137" t="n">
        <x:v>1737.6655766874908</x:v>
      </x:c>
      <x:c r="K800" s="136" t="str">
        <x:v>map-36</x:v>
      </x:c>
      <x:c r="L800" s="136" t="str">
        <x:v>DrillCamp | Contention | Corn Crib||Spawn | USA CQ1_Spawnpoint_USA_Infantry_0 [map-36/005]</x:v>
      </x:c>
      <x:c r="M800" s="35"/>
      <x:c r="N800" s="35"/>
      <x:c r="O800" s="35"/>
      <x:c r="P800" s="35"/>
      <x:c r="Q800" s="35"/>
      <x:c r="R800" s="35"/>
      <x:c r="S800" s="35"/>
      <x:c r="T800" s="35"/>
      <x:c r="U800" s="35"/>
      <x:c r="V800" s="35"/>
      <x:c r="W800" s="35"/>
      <x:c r="X800" s="35"/>
      <x:c r="Y800" s="35"/>
      <x:c r="Z800" s="35"/>
      <x:c r="AA800" s="35"/>
    </x:row>
    <x:row r="801">
      <x:c r="A801" s="136" t="str">
        <x:v>DrillCamp | Contention | Corn Crib</x:v>
      </x:c>
      <x:c r="B801" s="136" t="str">
        <x:v>Spawn | USA CQ1_Spawnpoint_USA_Infantry_2 [map-36/006]</x:v>
      </x:c>
      <x:c r="C801" s="136" t="str">
        <x:v>spawn</x:v>
      </x:c>
      <x:c r="D801" s="136" t="str">
        <x:v>USA</x:v>
      </x:c>
      <x:c r="E801" s="136" t="str">
        <x:v>CQ1_Spawnpoint_USA_Infantry_2</x:v>
      </x:c>
      <x:c r="F801" s="137" t="n">
        <x:v>1273.088134765625</x:v>
      </x:c>
      <x:c r="G801" s="137" t="n">
        <x:v>2523.28759765625</x:v>
      </x:c>
      <x:c r="H801" s="137" t="n">
        <x:v>51.75674819946289</x:v>
      </x:c>
      <x:c r="I801" s="137" t="n">
        <x:v>1850.5655578525675</x:v>
      </x:c>
      <x:c r="J801" s="137" t="n">
        <x:v>1634.077051923434</x:v>
      </x:c>
      <x:c r="K801" s="136" t="str">
        <x:v>map-36</x:v>
      </x:c>
      <x:c r="L801" s="136" t="str">
        <x:v>DrillCamp | Contention | Corn Crib||Spawn | USA CQ1_Spawnpoint_USA_Infantry_2 [map-36/006]</x:v>
      </x:c>
      <x:c r="M801" s="35"/>
      <x:c r="N801" s="35"/>
      <x:c r="O801" s="35"/>
      <x:c r="P801" s="35"/>
      <x:c r="Q801" s="35"/>
      <x:c r="R801" s="35"/>
      <x:c r="S801" s="35"/>
      <x:c r="T801" s="35"/>
      <x:c r="U801" s="35"/>
      <x:c r="V801" s="35"/>
      <x:c r="W801" s="35"/>
      <x:c r="X801" s="35"/>
      <x:c r="Y801" s="35"/>
      <x:c r="Z801" s="35"/>
      <x:c r="AA801" s="35"/>
    </x:row>
    <x:row r="802">
      <x:c r="A802" s="136" t="str">
        <x:v>DrillCamp | Contention | Corn Crib</x:v>
      </x:c>
      <x:c r="B802" s="136" t="str">
        <x:v>Artillery | USA CQ1_Spawnpoint_USA_Artillery_Staging [map-36/007]</x:v>
      </x:c>
      <x:c r="C802" s="136" t="str">
        <x:v>battery</x:v>
      </x:c>
      <x:c r="D802" s="136" t="str">
        <x:v>USA</x:v>
      </x:c>
      <x:c r="E802" s="136" t="str">
        <x:v>CQ1_Spawnpoint_USA_Artillery_Staging</x:v>
      </x:c>
      <x:c r="F802" s="137" t="n">
        <x:v>1199.7113037109375</x:v>
      </x:c>
      <x:c r="G802" s="137" t="n">
        <x:v>2489.265869140625</x:v>
      </x:c>
      <x:c r="H802" s="137" t="n">
        <x:v>55.046905517578125</x:v>
      </x:c>
      <x:c r="I802" s="137" t="n">
        <x:v>1603.6197880025886</x:v>
      </x:c>
      <x:c r="J802" s="137" t="n">
        <x:v>1748.3008226069837</x:v>
      </x:c>
      <x:c r="K802" s="136" t="str">
        <x:v>map-36</x:v>
      </x:c>
      <x:c r="L802" s="136" t="str">
        <x:v>DrillCamp | Contention | Corn Crib||Artillery | USA CQ1_Spawnpoint_USA_Artillery_Staging [map-36/007]</x:v>
      </x:c>
      <x:c r="M802" s="35"/>
      <x:c r="N802" s="35"/>
      <x:c r="O802" s="35"/>
      <x:c r="P802" s="35"/>
      <x:c r="Q802" s="35"/>
      <x:c r="R802" s="35"/>
      <x:c r="S802" s="35"/>
      <x:c r="T802" s="35"/>
      <x:c r="U802" s="35"/>
      <x:c r="V802" s="35"/>
      <x:c r="W802" s="35"/>
      <x:c r="X802" s="35"/>
      <x:c r="Y802" s="35"/>
      <x:c r="Z802" s="35"/>
      <x:c r="AA802" s="35"/>
    </x:row>
    <x:row r="803">
      <x:c r="A803" s="136" t="str">
        <x:v>DrillCamp | Contention | Corn Crib</x:v>
      </x:c>
      <x:c r="B803" s="136" t="str">
        <x:v>Spawn | CSA CQ1_Spawnpoint_CSA_Infantry_2 [map-36/008]</x:v>
      </x:c>
      <x:c r="C803" s="136" t="str">
        <x:v>spawn</x:v>
      </x:c>
      <x:c r="D803" s="136" t="str">
        <x:v>CSA</x:v>
      </x:c>
      <x:c r="E803" s="136" t="str">
        <x:v>CQ1_Spawnpoint_CSA_Infantry_2</x:v>
      </x:c>
      <x:c r="F803" s="137" t="n">
        <x:v>840.2236328125</x:v>
      </x:c>
      <x:c r="G803" s="137" t="n">
        <x:v>2472.837646484375</x:v>
      </x:c>
      <x:c r="H803" s="137" t="n">
        <x:v>56.360633850097656</x:v>
      </x:c>
      <x:c r="I803" s="137" t="n">
        <x:v>394.6117316338366</x:v>
      </x:c>
      <x:c r="J803" s="137" t="n">
        <x:v>1803.456560404491</x:v>
      </x:c>
      <x:c r="K803" s="136" t="str">
        <x:v>map-36</x:v>
      </x:c>
      <x:c r="L803" s="136" t="str">
        <x:v>DrillCamp | Contention | Corn Crib||Spawn | CSA CQ1_Spawnpoint_CSA_Infantry_2 [map-36/008]</x:v>
      </x:c>
      <x:c r="M803" s="35"/>
      <x:c r="N803" s="35"/>
      <x:c r="O803" s="35"/>
      <x:c r="P803" s="35"/>
      <x:c r="Q803" s="35"/>
      <x:c r="R803" s="35"/>
      <x:c r="S803" s="35"/>
      <x:c r="T803" s="35"/>
      <x:c r="U803" s="35"/>
      <x:c r="V803" s="35"/>
      <x:c r="W803" s="35"/>
      <x:c r="X803" s="35"/>
      <x:c r="Y803" s="35"/>
      <x:c r="Z803" s="35"/>
      <x:c r="AA803" s="35"/>
    </x:row>
    <x:row r="804">
      <x:c r="A804" s="136" t="str">
        <x:v>DrillCamp | Contention | Corn Crib</x:v>
      </x:c>
      <x:c r="B804" s="136" t="str">
        <x:v>Spawn | CSA CQ1_Spawnpoint_CSA_Infantry_0 [map-36/009]</x:v>
      </x:c>
      <x:c r="C804" s="136" t="str">
        <x:v>spawn</x:v>
      </x:c>
      <x:c r="D804" s="136" t="str">
        <x:v>CSA</x:v>
      </x:c>
      <x:c r="E804" s="136" t="str">
        <x:v>CQ1_Spawnpoint_CSA_Infantry_0</x:v>
      </x:c>
      <x:c r="F804" s="137" t="n">
        <x:v>891.5770263671875</x:v>
      </x:c>
      <x:c r="G804" s="137" t="n">
        <x:v>2505.273193359375</x:v>
      </x:c>
      <x:c r="H804" s="137" t="n">
        <x:v>56.51894760131836</x:v>
      </x:c>
      <x:c r="I804" s="137" t="n">
        <x:v>567.4863595379325</x:v>
      </x:c>
      <x:c r="J804" s="137" t="n">
        <x:v>1694.5581995659468</x:v>
      </x:c>
      <x:c r="K804" s="136" t="str">
        <x:v>map-36</x:v>
      </x:c>
      <x:c r="L804" s="136" t="str">
        <x:v>DrillCamp | Contention | Corn Crib||Spawn | CSA CQ1_Spawnpoint_CSA_Infantry_0 [map-36/009]</x:v>
      </x:c>
      <x:c r="M804" s="35"/>
      <x:c r="N804" s="35"/>
      <x:c r="O804" s="35"/>
      <x:c r="P804" s="35"/>
      <x:c r="Q804" s="35"/>
      <x:c r="R804" s="35"/>
      <x:c r="S804" s="35"/>
      <x:c r="T804" s="35"/>
      <x:c r="U804" s="35"/>
      <x:c r="V804" s="35"/>
      <x:c r="W804" s="35"/>
      <x:c r="X804" s="35"/>
      <x:c r="Y804" s="35"/>
      <x:c r="Z804" s="35"/>
      <x:c r="AA804" s="35"/>
    </x:row>
    <x:row r="805">
      <x:c r="A805" s="136" t="str">
        <x:v>DrillCamp | Contention | Corn Crib</x:v>
      </x:c>
      <x:c r="B805" s="136" t="str">
        <x:v>Objective | Victory_Conquest_1 [map-36/010]</x:v>
      </x:c>
      <x:c r="C805" s="136" t="str">
        <x:v>objective</x:v>
      </x:c>
      <x:c r="D805" s="136" t="str"/>
      <x:c r="E805" s="136" t="str">
        <x:v>Victory_Conquest_1</x:v>
      </x:c>
      <x:c r="F805" s="137" t="n">
        <x:v>1056.5006103515625</x:v>
      </x:c>
      <x:c r="G805" s="137" t="n">
        <x:v>2759.495849609375</x:v>
      </x:c>
      <x:c r="H805" s="137" t="n">
        <x:v>60.290775299072266</x:v>
      </x:c>
      <x:c r="I805" s="137" t="n">
        <x:v>1123.5077407540052</x:v>
      </x:c>
      <x:c r="J805" s="137" t="n">
        <x:v>841.0368866577405</x:v>
      </x:c>
      <x:c r="K805" s="136" t="str">
        <x:v>map-36</x:v>
      </x:c>
      <x:c r="L805" s="136" t="str">
        <x:v>DrillCamp | Contention | Corn Crib||Objective | Victory_Conquest_1 [map-36/010]</x:v>
      </x:c>
      <x:c r="M805" s="35"/>
      <x:c r="N805" s="35"/>
      <x:c r="O805" s="35"/>
      <x:c r="P805" s="35"/>
      <x:c r="Q805" s="35"/>
      <x:c r="R805" s="35"/>
      <x:c r="S805" s="35"/>
      <x:c r="T805" s="35"/>
      <x:c r="U805" s="35"/>
      <x:c r="V805" s="35"/>
      <x:c r="W805" s="35"/>
      <x:c r="X805" s="35"/>
      <x:c r="Y805" s="35"/>
      <x:c r="Z805" s="35"/>
      <x:c r="AA805" s="35"/>
    </x:row>
    <x:row r="806">
      <x:c r="A806" s="136" t="str">
        <x:v>DrillCamp | Contention | Corn Crib</x:v>
      </x:c>
      <x:c r="B806" s="136" t="str">
        <x:v>Artillery | CSA CQ1_Spawnpoint_CSA_Artillery_Staging [map-36/011]</x:v>
      </x:c>
      <x:c r="C806" s="136" t="str">
        <x:v>battery</x:v>
      </x:c>
      <x:c r="D806" s="136" t="str">
        <x:v>CSA</x:v>
      </x:c>
      <x:c r="E806" s="136" t="str">
        <x:v>CQ1_Spawnpoint_CSA_Artillery_Staging</x:v>
      </x:c>
      <x:c r="F806" s="137" t="n">
        <x:v>813.3594360351562</x:v>
      </x:c>
      <x:c r="G806" s="137" t="n">
        <x:v>2504.517822265625</x:v>
      </x:c>
      <x:c r="H806" s="137" t="n">
        <x:v>58.13428497314453</x:v>
      </x:c>
      <x:c r="I806" s="137" t="n">
        <x:v>304.4450439403024</x:v>
      </x:c>
      <x:c r="J806" s="137" t="n">
        <x:v>1697.0942651439743</x:v>
      </x:c>
      <x:c r="K806" s="136" t="str">
        <x:v>map-36</x:v>
      </x:c>
      <x:c r="L806" s="136" t="str">
        <x:v>DrillCamp | Contention | Corn Crib||Artillery | CSA CQ1_Spawnpoint_CSA_Artillery_Staging [map-36/011]</x:v>
      </x:c>
      <x:c r="M806" s="35"/>
      <x:c r="N806" s="35"/>
      <x:c r="O806" s="35"/>
      <x:c r="P806" s="35"/>
      <x:c r="Q806" s="35"/>
      <x:c r="R806" s="35"/>
      <x:c r="S806" s="35"/>
      <x:c r="T806" s="35"/>
      <x:c r="U806" s="35"/>
      <x:c r="V806" s="35"/>
      <x:c r="W806" s="35"/>
      <x:c r="X806" s="35"/>
      <x:c r="Y806" s="35"/>
      <x:c r="Z806" s="35"/>
      <x:c r="AA806" s="35"/>
    </x:row>
    <x:row r="807">
      <x:c r="A807" s="136" t="str">
        <x:v>DrillCamp | Contention | Corn Crib</x:v>
      </x:c>
      <x:c r="B807" s="136" t="str">
        <x:v>Gun | 12-pounder Napoleon (CSA) · Entity-1617 [map-36/012]</x:v>
      </x:c>
      <x:c r="C807" s="136" t="str">
        <x:v>gun_spawn</x:v>
      </x:c>
      <x:c r="D807" s="136" t="str"/>
      <x:c r="E807" s="136" t="str">
        <x:v>12-pounder Napoleon (CSA) · Entity-1617</x:v>
      </x:c>
      <x:c r="F807" s="137" t="n">
        <x:v>1212.66064453125</x:v>
      </x:c>
      <x:c r="G807" s="137" t="n">
        <x:v>2866.917236328125</x:v>
      </x:c>
      <x:c r="H807" s="137" t="n">
        <x:v>64.73258209228516</x:v>
      </x:c>
      <x:c r="I807" s="137" t="n">
        <x:v>1649.2489627301802</x:v>
      </x:c>
      <x:c r="J807" s="137" t="n">
        <x:v>480.3827876916589</x:v>
      </x:c>
      <x:c r="K807" s="136" t="str">
        <x:v>map-36</x:v>
      </x:c>
      <x:c r="L807" s="136" t="str">
        <x:v>DrillCamp | Contention | Corn Crib||Gun | 12-pounder Napoleon (CSA) · Entity-1617 [map-36/012]</x:v>
      </x:c>
      <x:c r="M807" s="35"/>
      <x:c r="N807" s="35"/>
      <x:c r="O807" s="35"/>
      <x:c r="P807" s="35"/>
      <x:c r="Q807" s="35"/>
      <x:c r="R807" s="35"/>
      <x:c r="S807" s="35"/>
      <x:c r="T807" s="35"/>
      <x:c r="U807" s="35"/>
      <x:c r="V807" s="35"/>
      <x:c r="W807" s="35"/>
      <x:c r="X807" s="35"/>
      <x:c r="Y807" s="35"/>
      <x:c r="Z807" s="35"/>
      <x:c r="AA807" s="35"/>
    </x:row>
    <x:row r="808">
      <x:c r="A808" s="136" t="str">
        <x:v>DrillCamp | Contention | Corn Crib</x:v>
      </x:c>
      <x:c r="B808" s="136" t="str">
        <x:v>Gun | 3-inch Ordnance · Entity-1626 [map-36/013]</x:v>
      </x:c>
      <x:c r="C808" s="136" t="str">
        <x:v>gun_spawn</x:v>
      </x:c>
      <x:c r="D808" s="136" t="str"/>
      <x:c r="E808" s="136" t="str">
        <x:v>3-inch Ordnance · Entity-1626</x:v>
      </x:c>
      <x:c r="F808" s="137" t="n">
        <x:v>1255.3021240234375</x:v>
      </x:c>
      <x:c r="G808" s="137" t="n">
        <x:v>2826.015869140625</x:v>
      </x:c>
      <x:c r="H808" s="137" t="n">
        <x:v>60.94294738769531</x:v>
      </x:c>
      <x:c r="I808" s="137" t="n">
        <x:v>1792.422080680767</x:v>
      </x:c>
      <x:c r="J808" s="137" t="n">
        <x:v>617.7040993975885</x:v>
      </x:c>
      <x:c r="K808" s="136" t="str">
        <x:v>map-36</x:v>
      </x:c>
      <x:c r="L808" s="136" t="str">
        <x:v>DrillCamp | Contention | Corn Crib||Gun | 3-inch Ordnance · Entity-1626 [map-36/013]</x:v>
      </x:c>
      <x:c r="M808" s="35"/>
      <x:c r="N808" s="35"/>
      <x:c r="O808" s="35"/>
      <x:c r="P808" s="35"/>
      <x:c r="Q808" s="35"/>
      <x:c r="R808" s="35"/>
      <x:c r="S808" s="35"/>
      <x:c r="T808" s="35"/>
      <x:c r="U808" s="35"/>
      <x:c r="V808" s="35"/>
      <x:c r="W808" s="35"/>
      <x:c r="X808" s="35"/>
      <x:c r="Y808" s="35"/>
      <x:c r="Z808" s="35"/>
      <x:c r="AA808" s="35"/>
    </x:row>
    <x:row r="809">
      <x:c r="A809" s="136" t="str">
        <x:v>DrillCamp | Contention | Corn Crib</x:v>
      </x:c>
      <x:c r="B809" s="136" t="str">
        <x:v>Gun | 10-pounder Parrott · Entity-1606 [map-36/014]</x:v>
      </x:c>
      <x:c r="C809" s="136" t="str">
        <x:v>gun_spawn</x:v>
      </x:c>
      <x:c r="D809" s="136" t="str"/>
      <x:c r="E809" s="136" t="str">
        <x:v>10-pounder Parrott · Entity-1606</x:v>
      </x:c>
      <x:c r="F809" s="137" t="n">
        <x:v>855.6214599609375</x:v>
      </x:c>
      <x:c r="G809" s="137" t="n">
        <x:v>2853.951904296875</x:v>
      </x:c>
      <x:c r="H809" s="137" t="n">
        <x:v>64.85640716552734</x:v>
      </x:c>
      <x:c r="I809" s="137" t="n">
        <x:v>448.49398719525544</x:v>
      </x:c>
      <x:c r="J809" s="137" t="n">
        <x:v>523.9122959614527</x:v>
      </x:c>
      <x:c r="K809" s="136" t="str">
        <x:v>map-36</x:v>
      </x:c>
      <x:c r="L809" s="136" t="str">
        <x:v>DrillCamp | Contention | Corn Crib||Gun | 10-pounder Parrott · Entity-1606 [map-36/014]</x:v>
      </x:c>
      <x:c r="M809" s="35"/>
      <x:c r="N809" s="35"/>
      <x:c r="O809" s="35"/>
      <x:c r="P809" s="35"/>
      <x:c r="Q809" s="35"/>
      <x:c r="R809" s="35"/>
      <x:c r="S809" s="35"/>
      <x:c r="T809" s="35"/>
      <x:c r="U809" s="35"/>
      <x:c r="V809" s="35"/>
      <x:c r="W809" s="35"/>
      <x:c r="X809" s="35"/>
      <x:c r="Y809" s="35"/>
      <x:c r="Z809" s="35"/>
      <x:c r="AA809" s="35"/>
    </x:row>
    <x:row r="810">
      <x:c r="A810" s="136" t="str">
        <x:v>DrillCamp | Contention | Corn Crib</x:v>
      </x:c>
      <x:c r="B810" s="136" t="str">
        <x:v>Gun | 3-inch Ordnance · Entity-1622 [map-36/015]</x:v>
      </x:c>
      <x:c r="C810" s="136" t="str">
        <x:v>gun_spawn</x:v>
      </x:c>
      <x:c r="D810" s="136" t="str"/>
      <x:c r="E810" s="136" t="str">
        <x:v>3-inch Ordnance · Entity-1622</x:v>
      </x:c>
      <x:c r="F810" s="137" t="n">
        <x:v>1241.5157470703125</x:v>
      </x:c>
      <x:c r="G810" s="137" t="n">
        <x:v>2832.064697265625</x:v>
      </x:c>
      <x:c r="H810" s="137" t="n">
        <x:v>62.76602554321289</x:v>
      </x:c>
      <x:c r="I810" s="137" t="n">
        <x:v>1746.0933584519282</x:v>
      </x:c>
      <x:c r="J810" s="137" t="n">
        <x:v>597.3959026421859</x:v>
      </x:c>
      <x:c r="K810" s="136" t="str">
        <x:v>map-36</x:v>
      </x:c>
      <x:c r="L810" s="136" t="str">
        <x:v>DrillCamp | Contention | Corn Crib||Gun | 3-inch Ordnance · Entity-1622 [map-36/015]</x:v>
      </x:c>
      <x:c r="M810" s="35"/>
      <x:c r="N810" s="35"/>
      <x:c r="O810" s="35"/>
      <x:c r="P810" s="35"/>
      <x:c r="Q810" s="35"/>
      <x:c r="R810" s="35"/>
      <x:c r="S810" s="35"/>
      <x:c r="T810" s="35"/>
      <x:c r="U810" s="35"/>
      <x:c r="V810" s="35"/>
      <x:c r="W810" s="35"/>
      <x:c r="X810" s="35"/>
      <x:c r="Y810" s="35"/>
      <x:c r="Z810" s="35"/>
      <x:c r="AA810" s="35"/>
    </x:row>
    <x:row r="811">
      <x:c r="A811" s="136" t="str">
        <x:v>DrillCamp | Contention | Corn Crib</x:v>
      </x:c>
      <x:c r="B811" s="136" t="str">
        <x:v>Gun | 12-pounder Napoleon (USA) · Entity-1609 [map-36/016]</x:v>
      </x:c>
      <x:c r="C811" s="136" t="str">
        <x:v>gun_spawn</x:v>
      </x:c>
      <x:c r="D811" s="136" t="str"/>
      <x:c r="E811" s="136" t="str">
        <x:v>12-pounder Napoleon (USA) · Entity-1609</x:v>
      </x:c>
      <x:c r="F811" s="137" t="n">
        <x:v>832.8526000976562</x:v>
      </x:c>
      <x:c r="G811" s="137" t="n">
        <x:v>2838.819091796875</x:v>
      </x:c>
      <x:c r="H811" s="137" t="n">
        <x:v>63.08184814453125</x:v>
      </x:c>
      <x:c r="I811" s="137" t="n">
        <x:v>371.84139019903955</x:v>
      </x:c>
      <x:c r="J811" s="137" t="n">
        <x:v>574.7188534237903</x:v>
      </x:c>
      <x:c r="K811" s="136" t="str">
        <x:v>map-36</x:v>
      </x:c>
      <x:c r="L811" s="136" t="str">
        <x:v>DrillCamp | Contention | Corn Crib||Gun | 12-pounder Napoleon (USA) · Entity-1609 [map-36/016]</x:v>
      </x:c>
      <x:c r="M811" s="35"/>
      <x:c r="N811" s="35"/>
      <x:c r="O811" s="35"/>
      <x:c r="P811" s="35"/>
      <x:c r="Q811" s="35"/>
      <x:c r="R811" s="35"/>
      <x:c r="S811" s="35"/>
      <x:c r="T811" s="35"/>
      <x:c r="U811" s="35"/>
      <x:c r="V811" s="35"/>
      <x:c r="W811" s="35"/>
      <x:c r="X811" s="35"/>
      <x:c r="Y811" s="35"/>
      <x:c r="Z811" s="35"/>
      <x:c r="AA811" s="35"/>
    </x:row>
    <x:row r="812">
      <x:c r="A812" s="136" t="str">
        <x:v>DrillCamp | Contention | Corn Crib</x:v>
      </x:c>
      <x:c r="B812" s="136" t="str">
        <x:v>Gun | 10-pounder Parrott · Entity-1604 [map-36/017]</x:v>
      </x:c>
      <x:c r="C812" s="136" t="str">
        <x:v>gun_spawn</x:v>
      </x:c>
      <x:c r="D812" s="136" t="str"/>
      <x:c r="E812" s="136" t="str">
        <x:v>10-pounder Parrott · Entity-1604</x:v>
      </x:c>
      <x:c r="F812" s="137" t="n">
        <x:v>869.18310546875</x:v>
      </x:c>
      <x:c r="G812" s="137" t="n">
        <x:v>2862.84521484375</x:v>
      </x:c>
      <x:c r="H812" s="137" t="n">
        <x:v>65.32476043701172</x:v>
      </x:c>
      <x:c r="I812" s="137" t="n">
        <x:v>494.1493372853369</x:v>
      </x:c>
      <x:c r="J812" s="137" t="n">
        <x:v>494.05409919001863</x:v>
      </x:c>
      <x:c r="K812" s="136" t="str">
        <x:v>map-36</x:v>
      </x:c>
      <x:c r="L812" s="136" t="str">
        <x:v>DrillCamp | Contention | Corn Crib||Gun | 10-pounder Parrott · Entity-1604 [map-36/017]</x:v>
      </x:c>
      <x:c r="M812" s="35"/>
      <x:c r="N812" s="35"/>
      <x:c r="O812" s="35"/>
      <x:c r="P812" s="35"/>
      <x:c r="Q812" s="35"/>
      <x:c r="R812" s="35"/>
      <x:c r="S812" s="35"/>
      <x:c r="T812" s="35"/>
      <x:c r="U812" s="35"/>
      <x:c r="V812" s="35"/>
      <x:c r="W812" s="35"/>
      <x:c r="X812" s="35"/>
      <x:c r="Y812" s="35"/>
      <x:c r="Z812" s="35"/>
      <x:c r="AA812" s="35"/>
    </x:row>
    <x:row r="813">
      <x:c r="A813" s="136" t="str">
        <x:v>DrillCamp | Contention | Corn Crib</x:v>
      </x:c>
      <x:c r="B813" s="136" t="str">
        <x:v>Gun | 12-pounder Napoleon (USA) · Entity-1608 [map-36/018]</x:v>
      </x:c>
      <x:c r="C813" s="136" t="str">
        <x:v>gun_spawn</x:v>
      </x:c>
      <x:c r="D813" s="136" t="str"/>
      <x:c r="E813" s="136" t="str">
        <x:v>12-pounder Napoleon (USA) · Entity-1608</x:v>
      </x:c>
      <x:c r="F813" s="137" t="n">
        <x:v>841.0144653320312</x:v>
      </x:c>
      <x:c r="G813" s="137" t="n">
        <x:v>2843.995361328125</x:v>
      </x:c>
      <x:c r="H813" s="137" t="n">
        <x:v>63.89765548706055</x:v>
      </x:c>
      <x:c r="I813" s="137" t="n">
        <x:v>399.31738148594195</x:v>
      </x:c>
      <x:c r="J813" s="137" t="n">
        <x:v>557.3401648700268</x:v>
      </x:c>
      <x:c r="K813" s="136" t="str">
        <x:v>map-36</x:v>
      </x:c>
      <x:c r="L813" s="136" t="str">
        <x:v>DrillCamp | Contention | Corn Crib||Gun | 12-pounder Napoleon (USA) · Entity-1608 [map-36/018]</x:v>
      </x:c>
      <x:c r="M813" s="35"/>
      <x:c r="N813" s="35"/>
      <x:c r="O813" s="35"/>
      <x:c r="P813" s="35"/>
      <x:c r="Q813" s="35"/>
      <x:c r="R813" s="35"/>
      <x:c r="S813" s="35"/>
      <x:c r="T813" s="35"/>
      <x:c r="U813" s="35"/>
      <x:c r="V813" s="35"/>
      <x:c r="W813" s="35"/>
      <x:c r="X813" s="35"/>
      <x:c r="Y813" s="35"/>
      <x:c r="Z813" s="35"/>
      <x:c r="AA813" s="35"/>
    </x:row>
    <x:row r="814">
      <x:c r="A814" s="136" t="str">
        <x:v>DrillCamp | Contention | Corn Crib</x:v>
      </x:c>
      <x:c r="B814" s="136" t="str">
        <x:v>Gun | 12-pounder Napoleon (USA) · Entity-1621 [map-36/019]</x:v>
      </x:c>
      <x:c r="C814" s="136" t="str">
        <x:v>gun_spawn</x:v>
      </x:c>
      <x:c r="D814" s="136" t="str"/>
      <x:c r="E814" s="136" t="str">
        <x:v>12-pounder Napoleon (USA) · Entity-1621</x:v>
      </x:c>
      <x:c r="F814" s="137" t="n">
        <x:v>1222.371826171875</x:v>
      </x:c>
      <x:c r="G814" s="137" t="n">
        <x:v>2851.3388671875</x:v>
      </x:c>
      <x:c r="H814" s="137" t="n">
        <x:v>64.27972412109375</x:v>
      </x:c>
      <x:c r="I814" s="137" t="n">
        <x:v>1681.8207157422517</x:v>
      </x:c>
      <x:c r="J814" s="137" t="n">
        <x:v>532.6852467958519</x:v>
      </x:c>
      <x:c r="K814" s="136" t="str">
        <x:v>map-36</x:v>
      </x:c>
      <x:c r="L814" s="136" t="str">
        <x:v>DrillCamp | Contention | Corn Crib||Gun | 12-pounder Napoleon (USA) · Entity-1621 [map-36/019]</x:v>
      </x:c>
      <x:c r="M814" s="35"/>
      <x:c r="N814" s="35"/>
      <x:c r="O814" s="35"/>
      <x:c r="P814" s="35"/>
      <x:c r="Q814" s="35"/>
      <x:c r="R814" s="35"/>
      <x:c r="S814" s="35"/>
      <x:c r="T814" s="35"/>
      <x:c r="U814" s="35"/>
      <x:c r="V814" s="35"/>
      <x:c r="W814" s="35"/>
      <x:c r="X814" s="35"/>
      <x:c r="Y814" s="35"/>
      <x:c r="Z814" s="35"/>
      <x:c r="AA814" s="35"/>
    </x:row>
    <x:row r="815">
      <x:c r="A815" s="136" t="str">
        <x:v>DrillCamp | Contention | Corn Crib</x:v>
      </x:c>
      <x:c r="B815" s="136" t="str">
        <x:v>Gun | 10-pounder Parrott · Entity-1605 [map-36/020]</x:v>
      </x:c>
      <x:c r="C815" s="136" t="str">
        <x:v>gun_spawn</x:v>
      </x:c>
      <x:c r="D815" s="136" t="str"/>
      <x:c r="E815" s="136" t="str">
        <x:v>10-pounder Parrott · Entity-1605</x:v>
      </x:c>
      <x:c r="F815" s="137" t="n">
        <x:v>861.7816772460938</x:v>
      </x:c>
      <x:c r="G815" s="137" t="n">
        <x:v>2858.052978515625</x:v>
      </x:c>
      <x:c r="H815" s="137" t="n">
        <x:v>64.87346649169922</x:v>
      </x:c>
      <x:c r="I815" s="137" t="n">
        <x:v>469.232729159214</x:v>
      </x:c>
      <x:c r="J815" s="137" t="n">
        <x:v>510.14344347932274</x:v>
      </x:c>
      <x:c r="K815" s="136" t="str">
        <x:v>map-36</x:v>
      </x:c>
      <x:c r="L815" s="136" t="str">
        <x:v>DrillCamp | Contention | Corn Crib||Gun | 10-pounder Parrott · Entity-1605 [map-36/020]</x:v>
      </x:c>
      <x:c r="M815" s="35"/>
      <x:c r="N815" s="35"/>
      <x:c r="O815" s="35"/>
      <x:c r="P815" s="35"/>
      <x:c r="Q815" s="35"/>
      <x:c r="R815" s="35"/>
      <x:c r="S815" s="35"/>
      <x:c r="T815" s="35"/>
      <x:c r="U815" s="35"/>
      <x:c r="V815" s="35"/>
      <x:c r="W815" s="35"/>
      <x:c r="X815" s="35"/>
      <x:c r="Y815" s="35"/>
      <x:c r="Z815" s="35"/>
      <x:c r="AA815" s="35"/>
    </x:row>
    <x:row r="816">
      <x:c r="A816" s="136" t="str">
        <x:v>DrillCamp | Contention | Corn Crib</x:v>
      </x:c>
      <x:c r="B816" s="136" t="str">
        <x:v>Gun | 12-pounder Napoleon (CSA) · Entity-1618 [map-36/021]</x:v>
      </x:c>
      <x:c r="C816" s="136" t="str">
        <x:v>gun_spawn</x:v>
      </x:c>
      <x:c r="D816" s="136" t="str"/>
      <x:c r="E816" s="136" t="str">
        <x:v>12-pounder Napoleon (CSA) · Entity-1618</x:v>
      </x:c>
      <x:c r="F816" s="137" t="n">
        <x:v>1217.9031982421875</x:v>
      </x:c>
      <x:c r="G816" s="137" t="n">
        <x:v>2858.490478515625</x:v>
      </x:c>
      <x:c r="H816" s="137" t="n">
        <x:v>64.53551483154297</x:v>
      </x:c>
      <x:c r="I816" s="137" t="n">
        <x:v>1666.8326379685418</x:v>
      </x:c>
      <x:c r="J816" s="137" t="n">
        <x:v>508.67459101784056</x:v>
      </x:c>
      <x:c r="K816" s="136" t="str">
        <x:v>map-36</x:v>
      </x:c>
      <x:c r="L816" s="136" t="str">
        <x:v>DrillCamp | Contention | Corn Crib||Gun | 12-pounder Napoleon (CSA) · Entity-1618 [map-36/021]</x:v>
      </x:c>
      <x:c r="M816" s="35"/>
      <x:c r="N816" s="35"/>
      <x:c r="O816" s="35"/>
      <x:c r="P816" s="35"/>
      <x:c r="Q816" s="35"/>
      <x:c r="R816" s="35"/>
      <x:c r="S816" s="35"/>
      <x:c r="T816" s="35"/>
      <x:c r="U816" s="35"/>
      <x:c r="V816" s="35"/>
      <x:c r="W816" s="35"/>
      <x:c r="X816" s="35"/>
      <x:c r="Y816" s="35"/>
      <x:c r="Z816" s="35"/>
      <x:c r="AA816" s="35"/>
    </x:row>
    <x:row r="817">
      <x:c r="A817" s="136" t="str">
        <x:v>DrillCamp | Contention | Corn Crib</x:v>
      </x:c>
      <x:c r="B817" s="136" t="str">
        <x:v>Gun | 3-inch Ordnance · Entity-1625 [map-36/022]</x:v>
      </x:c>
      <x:c r="C817" s="136" t="str">
        <x:v>gun_spawn</x:v>
      </x:c>
      <x:c r="D817" s="136" t="str"/>
      <x:c r="E817" s="136" t="str">
        <x:v>3-inch Ordnance · Entity-1625</x:v>
      </x:c>
      <x:c r="F817" s="137" t="n">
        <x:v>1248.6182861328125</x:v>
      </x:c>
      <x:c r="G817" s="137" t="n">
        <x:v>2829.119384765625</x:v>
      </x:c>
      <x:c r="H817" s="137" t="n">
        <x:v>61.886043548583984</x:v>
      </x:c>
      <x:c r="I817" s="137" t="n">
        <x:v>1769.962178636948</x:v>
      </x:c>
      <x:c r="J817" s="137" t="n">
        <x:v>607.2844272489496</x:v>
      </x:c>
      <x:c r="K817" s="136" t="str">
        <x:v>map-36</x:v>
      </x:c>
      <x:c r="L817" s="136" t="str">
        <x:v>DrillCamp | Contention | Corn Crib||Gun | 3-inch Ordnance · Entity-1625 [map-36/022]</x:v>
      </x:c>
      <x:c r="M817" s="35"/>
      <x:c r="N817" s="35"/>
      <x:c r="O817" s="35"/>
      <x:c r="P817" s="35"/>
      <x:c r="Q817" s="35"/>
      <x:c r="R817" s="35"/>
      <x:c r="S817" s="35"/>
      <x:c r="T817" s="35"/>
      <x:c r="U817" s="35"/>
      <x:c r="V817" s="35"/>
      <x:c r="W817" s="35"/>
      <x:c r="X817" s="35"/>
      <x:c r="Y817" s="35"/>
      <x:c r="Z817" s="35"/>
      <x:c r="AA817" s="35"/>
    </x:row>
    <x:row r="818">
      <x:c r="A818" s="136" t="str">
        <x:v>DrillCamp | Contention | Corn Crib</x:v>
      </x:c>
      <x:c r="B818" s="136" t="str">
        <x:v>Gun | 12-pounder Napoleon (USA) · Entity-1607 [map-36/023]</x:v>
      </x:c>
      <x:c r="C818" s="136" t="str">
        <x:v>gun_spawn</x:v>
      </x:c>
      <x:c r="D818" s="136" t="str"/>
      <x:c r="E818" s="136" t="str">
        <x:v>12-pounder Napoleon (USA) · Entity-1607</x:v>
      </x:c>
      <x:c r="F818" s="137" t="n">
        <x:v>848.873779296875</x:v>
      </x:c>
      <x:c r="G818" s="137" t="n">
        <x:v>2849.349365234375</x:v>
      </x:c>
      <x:c r="H818" s="137" t="n">
        <x:v>64.40511322021484</x:v>
      </x:c>
      <x:c r="I818" s="137" t="n">
        <x:v>425.7769059756138</x:v>
      </x:c>
      <x:c r="J818" s="137" t="n">
        <x:v>539.3647550037861</x:v>
      </x:c>
      <x:c r="K818" s="136" t="str">
        <x:v>map-36</x:v>
      </x:c>
      <x:c r="L818" s="136" t="str">
        <x:v>DrillCamp | Contention | Corn Crib||Gun | 12-pounder Napoleon (USA) · Entity-1607 [map-36/023]</x:v>
      </x:c>
      <x:c r="M818" s="35"/>
      <x:c r="N818" s="35"/>
      <x:c r="O818" s="35"/>
      <x:c r="P818" s="35"/>
      <x:c r="Q818" s="35"/>
      <x:c r="R818" s="35"/>
      <x:c r="S818" s="35"/>
      <x:c r="T818" s="35"/>
      <x:c r="U818" s="35"/>
      <x:c r="V818" s="35"/>
      <x:c r="W818" s="35"/>
      <x:c r="X818" s="35"/>
      <x:c r="Y818" s="35"/>
      <x:c r="Z818" s="35"/>
      <x:c r="AA818" s="35"/>
    </x:row>
    <x:row r="819">
      <x:c r="A819" s="136" t="str">
        <x:v>DrillCamp | Contention | Orchards</x:v>
      </x:c>
      <x:c r="B819" s="136" t="str">
        <x:v>Spawn | USA CQ2_Spawnpoint_USA_Infantry_1 [map-37/001]</x:v>
      </x:c>
      <x:c r="C819" s="136" t="str">
        <x:v>spawn</x:v>
      </x:c>
      <x:c r="D819" s="136" t="str">
        <x:v>USA</x:v>
      </x:c>
      <x:c r="E819" s="136" t="str">
        <x:v>CQ2_Spawnpoint_USA_Infantry_1</x:v>
      </x:c>
      <x:c r="F819" s="137" t="n">
        <x:v>1430.1611328125</x:v>
      </x:c>
      <x:c r="G819" s="137" t="n">
        <x:v>2631.2890625</x:v>
      </x:c>
      <x:c r="H819" s="137" t="n">
        <x:v>51.479915618896484</x:v>
      </x:c>
      <x:c r="I819" s="137" t="n">
        <x:v>415.01757304394226</x:v>
      </x:c>
      <x:c r="J819" s="137" t="n">
        <x:v>1226.5907944535443</x:v>
      </x:c>
      <x:c r="K819" s="136" t="str">
        <x:v>map-37</x:v>
      </x:c>
      <x:c r="L819" s="136" t="str">
        <x:v>DrillCamp | Contention | Orchards||Spawn | USA CQ2_Spawnpoint_USA_Infantry_1 [map-37/001]</x:v>
      </x:c>
      <x:c r="M819" s="35"/>
      <x:c r="N819" s="35"/>
      <x:c r="O819" s="35"/>
      <x:c r="P819" s="35"/>
      <x:c r="Q819" s="35"/>
      <x:c r="R819" s="35"/>
      <x:c r="S819" s="35"/>
      <x:c r="T819" s="35"/>
      <x:c r="U819" s="35"/>
      <x:c r="V819" s="35"/>
      <x:c r="W819" s="35"/>
      <x:c r="X819" s="35"/>
      <x:c r="Y819" s="35"/>
      <x:c r="Z819" s="35"/>
      <x:c r="AA819" s="35"/>
    </x:row>
    <x:row r="820">
      <x:c r="A820" s="136" t="str">
        <x:v>DrillCamp | Contention | Orchards</x:v>
      </x:c>
      <x:c r="B820" s="136" t="str">
        <x:v>Spawn | USA CQ2_Spawnpoint_USA_Infantry_2 [map-37/002]</x:v>
      </x:c>
      <x:c r="C820" s="136" t="str">
        <x:v>spawn</x:v>
      </x:c>
      <x:c r="D820" s="136" t="str">
        <x:v>USA</x:v>
      </x:c>
      <x:c r="E820" s="136" t="str">
        <x:v>CQ2_Spawnpoint_USA_Infantry_2</x:v>
      </x:c>
      <x:c r="F820" s="137" t="n">
        <x:v>1447.446533203125</x:v>
      </x:c>
      <x:c r="G820" s="137" t="n">
        <x:v>2612.659912109375</x:v>
      </x:c>
      <x:c r="H820" s="137" t="n">
        <x:v>50.57426452636719</x:v>
      </x:c>
      <x:c r="I820" s="137" t="n">
        <x:v>444.6414224036348</x:v>
      </x:c>
      <x:c r="J820" s="137" t="n">
        <x:v>1258.517572682543</x:v>
      </x:c>
      <x:c r="K820" s="136" t="str">
        <x:v>map-37</x:v>
      </x:c>
      <x:c r="L820" s="136" t="str">
        <x:v>DrillCamp | Contention | Orchards||Spawn | USA CQ2_Spawnpoint_USA_Infantry_2 [map-37/002]</x:v>
      </x:c>
      <x:c r="M820" s="35"/>
      <x:c r="N820" s="35"/>
      <x:c r="O820" s="35"/>
      <x:c r="P820" s="35"/>
      <x:c r="Q820" s="35"/>
      <x:c r="R820" s="35"/>
      <x:c r="S820" s="35"/>
      <x:c r="T820" s="35"/>
      <x:c r="U820" s="35"/>
      <x:c r="V820" s="35"/>
      <x:c r="W820" s="35"/>
      <x:c r="X820" s="35"/>
      <x:c r="Y820" s="35"/>
      <x:c r="Z820" s="35"/>
      <x:c r="AA820" s="35"/>
    </x:row>
    <x:row r="821">
      <x:c r="A821" s="136" t="str">
        <x:v>DrillCamp | Contention | Orchards</x:v>
      </x:c>
      <x:c r="B821" s="136" t="str">
        <x:v>Spawn | CSA CQ2_Spawnpoint_CSA_Infantry_2 [map-37/003]</x:v>
      </x:c>
      <x:c r="C821" s="136" t="str">
        <x:v>spawn</x:v>
      </x:c>
      <x:c r="D821" s="136" t="str">
        <x:v>CSA</x:v>
      </x:c>
      <x:c r="E821" s="136" t="str">
        <x:v>CQ2_Spawnpoint_CSA_Infantry_2</x:v>
      </x:c>
      <x:c r="F821" s="137" t="n">
        <x:v>2149.1630859375</x:v>
      </x:c>
      <x:c r="G821" s="137" t="n">
        <x:v>2298.822509765625</x:v>
      </x:c>
      <x:c r="H821" s="137" t="n">
        <x:v>45.044593811035156</x:v>
      </x:c>
      <x:c r="I821" s="137" t="n">
        <x:v>1647.2485348590867</x:v>
      </x:c>
      <x:c r="J821" s="137" t="n">
        <x:v>1796.3744762177876</x:v>
      </x:c>
      <x:c r="K821" s="136" t="str">
        <x:v>map-37</x:v>
      </x:c>
      <x:c r="L821" s="136" t="str">
        <x:v>DrillCamp | Contention | Orchards||Spawn | CSA CQ2_Spawnpoint_CSA_Infantry_2 [map-37/003]</x:v>
      </x:c>
      <x:c r="M821" s="35"/>
      <x:c r="N821" s="35"/>
      <x:c r="O821" s="35"/>
      <x:c r="P821" s="35"/>
      <x:c r="Q821" s="35"/>
      <x:c r="R821" s="35"/>
      <x:c r="S821" s="35"/>
      <x:c r="T821" s="35"/>
      <x:c r="U821" s="35"/>
      <x:c r="V821" s="35"/>
      <x:c r="W821" s="35"/>
      <x:c r="X821" s="35"/>
      <x:c r="Y821" s="35"/>
      <x:c r="Z821" s="35"/>
      <x:c r="AA821" s="35"/>
    </x:row>
    <x:row r="822">
      <x:c r="A822" s="136" t="str">
        <x:v>DrillCamp | Contention | Orchards</x:v>
      </x:c>
      <x:c r="B822" s="136" t="str">
        <x:v>Spawn | CSA CQ2_Spawnpoint_CSA_Cavalry_0 [map-37/004]</x:v>
      </x:c>
      <x:c r="C822" s="136" t="str">
        <x:v>spawn</x:v>
      </x:c>
      <x:c r="D822" s="136" t="str">
        <x:v>CSA</x:v>
      </x:c>
      <x:c r="E822" s="136" t="str">
        <x:v>CQ2_Spawnpoint_CSA_Cavalry_0</x:v>
      </x:c>
      <x:c r="F822" s="137" t="n">
        <x:v>2173.414794921875</x:v>
      </x:c>
      <x:c r="G822" s="137" t="n">
        <x:v>2208.1953125</x:v>
      </x:c>
      <x:c r="H822" s="137" t="n">
        <x:v>49.52664566040039</x:v>
      </x:c>
      <x:c r="I822" s="137" t="n">
        <x:v>1688.8112963475553</x:v>
      </x:c>
      <x:c r="J822" s="137" t="n">
        <x:v>1951.6920493729988</x:v>
      </x:c>
      <x:c r="K822" s="136" t="str">
        <x:v>map-37</x:v>
      </x:c>
      <x:c r="L822" s="136" t="str">
        <x:v>DrillCamp | Contention | Orchards||Spawn | CSA CQ2_Spawnpoint_CSA_Cavalry_0 [map-37/004]</x:v>
      </x:c>
      <x:c r="M822" s="35"/>
      <x:c r="N822" s="35"/>
      <x:c r="O822" s="35"/>
      <x:c r="P822" s="35"/>
      <x:c r="Q822" s="35"/>
      <x:c r="R822" s="35"/>
      <x:c r="S822" s="35"/>
      <x:c r="T822" s="35"/>
      <x:c r="U822" s="35"/>
      <x:c r="V822" s="35"/>
      <x:c r="W822" s="35"/>
      <x:c r="X822" s="35"/>
      <x:c r="Y822" s="35"/>
      <x:c r="Z822" s="35"/>
      <x:c r="AA822" s="35"/>
    </x:row>
    <x:row r="823">
      <x:c r="A823" s="136" t="str">
        <x:v>DrillCamp | Contention | Orchards</x:v>
      </x:c>
      <x:c r="B823" s="136" t="str">
        <x:v>Artillery | USA CQ2_Spawnpoint_USA_Artillery_Staging [map-37/005]</x:v>
      </x:c>
      <x:c r="C823" s="136" t="str">
        <x:v>battery</x:v>
      </x:c>
      <x:c r="D823" s="136" t="str">
        <x:v>USA</x:v>
      </x:c>
      <x:c r="E823" s="136" t="str">
        <x:v>CQ2_Spawnpoint_USA_Artillery_Staging</x:v>
      </x:c>
      <x:c r="F823" s="137" t="n">
        <x:v>1466.0858154296875</x:v>
      </x:c>
      <x:c r="G823" s="137" t="n">
        <x:v>2630.04248046875</x:v>
      </x:c>
      <x:c r="H823" s="137" t="n">
        <x:v>49.868186950683594</x:v>
      </x:c>
      <x:c r="I823" s="137" t="n">
        <x:v>476.5855646493625</x:v>
      </x:c>
      <x:c r="J823" s="137" t="n">
        <x:v>1228.7271961262693</x:v>
      </x:c>
      <x:c r="K823" s="136" t="str">
        <x:v>map-37</x:v>
      </x:c>
      <x:c r="L823" s="136" t="str">
        <x:v>DrillCamp | Contention | Orchards||Artillery | USA CQ2_Spawnpoint_USA_Artillery_Staging [map-37/005]</x:v>
      </x:c>
      <x:c r="M823" s="35"/>
      <x:c r="N823" s="35"/>
      <x:c r="O823" s="35"/>
      <x:c r="P823" s="35"/>
      <x:c r="Q823" s="35"/>
      <x:c r="R823" s="35"/>
      <x:c r="S823" s="35"/>
      <x:c r="T823" s="35"/>
      <x:c r="U823" s="35"/>
      <x:c r="V823" s="35"/>
      <x:c r="W823" s="35"/>
      <x:c r="X823" s="35"/>
      <x:c r="Y823" s="35"/>
      <x:c r="Z823" s="35"/>
      <x:c r="AA823" s="35"/>
    </x:row>
    <x:row r="824">
      <x:c r="A824" s="136" t="str">
        <x:v>DrillCamp | Contention | Orchards</x:v>
      </x:c>
      <x:c r="B824" s="136" t="str">
        <x:v>Spawn | USA CQ2_Spawnpoint_USA_Cavalry_0 [map-37/006]</x:v>
      </x:c>
      <x:c r="C824" s="136" t="str">
        <x:v>spawn</x:v>
      </x:c>
      <x:c r="D824" s="136" t="str">
        <x:v>USA</x:v>
      </x:c>
      <x:c r="E824" s="136" t="str">
        <x:v>CQ2_Spawnpoint_USA_Cavalry_0</x:v>
      </x:c>
      <x:c r="F824" s="137" t="n">
        <x:v>1275.4267578125</x:v>
      </x:c>
      <x:c r="G824" s="137" t="n">
        <x:v>2750.679443359375</x:v>
      </x:c>
      <x:c r="H824" s="137" t="n">
        <x:v>56.091915130615234</x:v>
      </x:c>
      <x:c r="I824" s="137" t="n">
        <x:v>149.8326359190675</x:v>
      </x:c>
      <x:c r="J824" s="137" t="n">
        <x:v>1021.9786606499974</x:v>
      </x:c>
      <x:c r="K824" s="136" t="str">
        <x:v>map-37</x:v>
      </x:c>
      <x:c r="L824" s="136" t="str">
        <x:v>DrillCamp | Contention | Orchards||Spawn | USA CQ2_Spawnpoint_USA_Cavalry_0 [map-37/006]</x:v>
      </x:c>
      <x:c r="M824" s="35"/>
      <x:c r="N824" s="35"/>
      <x:c r="O824" s="35"/>
      <x:c r="P824" s="35"/>
      <x:c r="Q824" s="35"/>
      <x:c r="R824" s="35"/>
      <x:c r="S824" s="35"/>
      <x:c r="T824" s="35"/>
      <x:c r="U824" s="35"/>
      <x:c r="V824" s="35"/>
      <x:c r="W824" s="35"/>
      <x:c r="X824" s="35"/>
      <x:c r="Y824" s="35"/>
      <x:c r="Z824" s="35"/>
      <x:c r="AA824" s="35"/>
    </x:row>
    <x:row r="825">
      <x:c r="A825" s="136" t="str">
        <x:v>DrillCamp | Contention | Orchards</x:v>
      </x:c>
      <x:c r="B825" s="136" t="str">
        <x:v>Spawn | CSA CQ2_Spawnpoint_CSA_Infantry_0 [map-37/007]</x:v>
      </x:c>
      <x:c r="C825" s="136" t="str">
        <x:v>spawn</x:v>
      </x:c>
      <x:c r="D825" s="136" t="str">
        <x:v>CSA</x:v>
      </x:c>
      <x:c r="E825" s="136" t="str">
        <x:v>CQ2_Spawnpoint_CSA_Infantry_0</x:v>
      </x:c>
      <x:c r="F825" s="137" t="n">
        <x:v>2095.3427734375</x:v>
      </x:c>
      <x:c r="G825" s="137" t="n">
        <x:v>2353.67333984375</x:v>
      </x:c>
      <x:c r="H825" s="137" t="n">
        <x:v>42.34144973754883</x:v>
      </x:c>
      <x:c r="I825" s="137" t="n">
        <x:v>1555.0108779948405</x:v>
      </x:c>
      <x:c r="J825" s="137" t="n">
        <x:v>1702.3707105676872</x:v>
      </x:c>
      <x:c r="K825" s="136" t="str">
        <x:v>map-37</x:v>
      </x:c>
      <x:c r="L825" s="136" t="str">
        <x:v>DrillCamp | Contention | Orchards||Spawn | CSA CQ2_Spawnpoint_CSA_Infantry_0 [map-37/007]</x:v>
      </x:c>
      <x:c r="M825" s="35"/>
      <x:c r="N825" s="35"/>
      <x:c r="O825" s="35"/>
      <x:c r="P825" s="35"/>
      <x:c r="Q825" s="35"/>
      <x:c r="R825" s="35"/>
      <x:c r="S825" s="35"/>
      <x:c r="T825" s="35"/>
      <x:c r="U825" s="35"/>
      <x:c r="V825" s="35"/>
      <x:c r="W825" s="35"/>
      <x:c r="X825" s="35"/>
      <x:c r="Y825" s="35"/>
      <x:c r="Z825" s="35"/>
      <x:c r="AA825" s="35"/>
    </x:row>
    <x:row r="826">
      <x:c r="A826" s="136" t="str">
        <x:v>DrillCamp | Contention | Orchards</x:v>
      </x:c>
      <x:c r="B826" s="136" t="str">
        <x:v>Artillery | USA CQ2_Spawnpoint_USA_Artillery_Forward [map-37/008]</x:v>
      </x:c>
      <x:c r="C826" s="136" t="str">
        <x:v>battery</x:v>
      </x:c>
      <x:c r="D826" s="136" t="str">
        <x:v>USA</x:v>
      </x:c>
      <x:c r="E826" s="136" t="str">
        <x:v>CQ2_Spawnpoint_USA_Artillery_Forward</x:v>
      </x:c>
      <x:c r="F826" s="137" t="n">
        <x:v>1378.043701171875</x:v>
      </x:c>
      <x:c r="G826" s="137" t="n">
        <x:v>2929.7041015625</x:v>
      </x:c>
      <x:c r="H826" s="137" t="n">
        <x:v>58.689876556396484</x:v>
      </x:c>
      <x:c r="I826" s="137" t="n">
        <x:v>325.69832622028656</x:v>
      </x:c>
      <x:c r="J826" s="137" t="n">
        <x:v>715.1648532500716</x:v>
      </x:c>
      <x:c r="K826" s="136" t="str">
        <x:v>map-37</x:v>
      </x:c>
      <x:c r="L826" s="136" t="str">
        <x:v>DrillCamp | Contention | Orchards||Artillery | USA CQ2_Spawnpoint_USA_Artillery_Forward [map-37/008]</x:v>
      </x:c>
      <x:c r="M826" s="35"/>
      <x:c r="N826" s="35"/>
      <x:c r="O826" s="35"/>
      <x:c r="P826" s="35"/>
      <x:c r="Q826" s="35"/>
      <x:c r="R826" s="35"/>
      <x:c r="S826" s="35"/>
      <x:c r="T826" s="35"/>
      <x:c r="U826" s="35"/>
      <x:c r="V826" s="35"/>
      <x:c r="W826" s="35"/>
      <x:c r="X826" s="35"/>
      <x:c r="Y826" s="35"/>
      <x:c r="Z826" s="35"/>
      <x:c r="AA826" s="35"/>
    </x:row>
    <x:row r="827">
      <x:c r="A827" s="136" t="str">
        <x:v>DrillCamp | Contention | Orchards</x:v>
      </x:c>
      <x:c r="B827" s="136" t="str">
        <x:v>Artillery | CSA CQ2_Spawnpoint_CSA_Artillery_Forward [map-37/009]</x:v>
      </x:c>
      <x:c r="C827" s="136" t="str">
        <x:v>battery</x:v>
      </x:c>
      <x:c r="D827" s="136" t="str">
        <x:v>CSA</x:v>
      </x:c>
      <x:c r="E827" s="136" t="str">
        <x:v>CQ2_Spawnpoint_CSA_Artillery_Forward</x:v>
      </x:c>
      <x:c r="F827" s="137" t="n">
        <x:v>2154.6728515625</x:v>
      </x:c>
      <x:c r="G827" s="137" t="n">
        <x:v>2921.472900390625</x:v>
      </x:c>
      <x:c r="H827" s="137" t="n">
        <x:v>44.17229080200195</x:v>
      </x:c>
      <x:c r="I827" s="137" t="n">
        <x:v>1656.6912126793088</x:v>
      </x:c>
      <x:c r="J827" s="137" t="n">
        <x:v>729.271547804697</x:v>
      </x:c>
      <x:c r="K827" s="136" t="str">
        <x:v>map-37</x:v>
      </x:c>
      <x:c r="L827" s="136" t="str">
        <x:v>DrillCamp | Contention | Orchards||Artillery | CSA CQ2_Spawnpoint_CSA_Artillery_Forward [map-37/009]</x:v>
      </x:c>
      <x:c r="M827" s="35"/>
      <x:c r="N827" s="35"/>
      <x:c r="O827" s="35"/>
      <x:c r="P827" s="35"/>
      <x:c r="Q827" s="35"/>
      <x:c r="R827" s="35"/>
      <x:c r="S827" s="35"/>
      <x:c r="T827" s="35"/>
      <x:c r="U827" s="35"/>
      <x:c r="V827" s="35"/>
      <x:c r="W827" s="35"/>
      <x:c r="X827" s="35"/>
      <x:c r="Y827" s="35"/>
      <x:c r="Z827" s="35"/>
      <x:c r="AA827" s="35"/>
    </x:row>
    <x:row r="828">
      <x:c r="A828" s="136" t="str">
        <x:v>DrillCamp | Contention | Orchards</x:v>
      </x:c>
      <x:c r="B828" s="136" t="str">
        <x:v>Spawn | USA CQ2_Spawnpoint_USA_Infantry_0 [map-37/010]</x:v>
      </x:c>
      <x:c r="C828" s="136" t="str">
        <x:v>spawn</x:v>
      </x:c>
      <x:c r="D828" s="136" t="str">
        <x:v>USA</x:v>
      </x:c>
      <x:c r="E828" s="136" t="str">
        <x:v>CQ2_Spawnpoint_USA_Infantry_0</x:v>
      </x:c>
      <x:c r="F828" s="137" t="n">
        <x:v>1402.668701171875</x:v>
      </x:c>
      <x:c r="G828" s="137" t="n">
        <x:v>2634.881103515625</x:v>
      </x:c>
      <x:c r="H828" s="137" t="n">
        <x:v>52.93899154663086</x:v>
      </x:c>
      <x:c r="I828" s="137" t="n">
        <x:v>367.90083666245584</x:v>
      </x:c>
      <x:c r="J828" s="137" t="n">
        <x:v>1220.4347275105752</x:v>
      </x:c>
      <x:c r="K828" s="136" t="str">
        <x:v>map-37</x:v>
      </x:c>
      <x:c r="L828" s="136" t="str">
        <x:v>DrillCamp | Contention | Orchards||Spawn | USA CQ2_Spawnpoint_USA_Infantry_0 [map-37/010]</x:v>
      </x:c>
      <x:c r="M828" s="35"/>
      <x:c r="N828" s="35"/>
      <x:c r="O828" s="35"/>
      <x:c r="P828" s="35"/>
      <x:c r="Q828" s="35"/>
      <x:c r="R828" s="35"/>
      <x:c r="S828" s="35"/>
      <x:c r="T828" s="35"/>
      <x:c r="U828" s="35"/>
      <x:c r="V828" s="35"/>
      <x:c r="W828" s="35"/>
      <x:c r="X828" s="35"/>
      <x:c r="Y828" s="35"/>
      <x:c r="Z828" s="35"/>
      <x:c r="AA828" s="35"/>
    </x:row>
    <x:row r="829">
      <x:c r="A829" s="136" t="str">
        <x:v>DrillCamp | Contention | Orchards</x:v>
      </x:c>
      <x:c r="B829" s="136" t="str">
        <x:v>Objective | Victory_Conquest_2 [map-37/011]</x:v>
      </x:c>
      <x:c r="C829" s="136" t="str">
        <x:v>objective</x:v>
      </x:c>
      <x:c r="D829" s="136" t="str"/>
      <x:c r="E829" s="136" t="str">
        <x:v>Victory_Conquest_2</x:v>
      </x:c>
      <x:c r="F829" s="137" t="n">
        <x:v>2082.83447265625</x:v>
      </x:c>
      <x:c r="G829" s="137" t="n">
        <x:v>3055.283203125</x:v>
      </x:c>
      <x:c r="H829" s="137" t="n">
        <x:v>50.3582763671875</x:v>
      </x:c>
      <x:c r="I829" s="137" t="n">
        <x:v>1533.5740579203432</x:v>
      </x:c>
      <x:c r="J829" s="137" t="n">
        <x:v>499.94644330044133</x:v>
      </x:c>
      <x:c r="K829" s="136" t="str">
        <x:v>map-37</x:v>
      </x:c>
      <x:c r="L829" s="136" t="str">
        <x:v>DrillCamp | Contention | Orchards||Objective | Victory_Conquest_2 [map-37/011]</x:v>
      </x:c>
      <x:c r="M829" s="35"/>
      <x:c r="N829" s="35"/>
      <x:c r="O829" s="35"/>
      <x:c r="P829" s="35"/>
      <x:c r="Q829" s="35"/>
      <x:c r="R829" s="35"/>
      <x:c r="S829" s="35"/>
      <x:c r="T829" s="35"/>
      <x:c r="U829" s="35"/>
      <x:c r="V829" s="35"/>
      <x:c r="W829" s="35"/>
      <x:c r="X829" s="35"/>
      <x:c r="Y829" s="35"/>
      <x:c r="Z829" s="35"/>
      <x:c r="AA829" s="35"/>
    </x:row>
    <x:row r="830">
      <x:c r="A830" s="136" t="str">
        <x:v>DrillCamp | Contention | Orchards</x:v>
      </x:c>
      <x:c r="B830" s="136" t="str">
        <x:v>Spawn | CSA CQ2_Spawnpoint_CSA_Infantry_1 [map-37/012]</x:v>
      </x:c>
      <x:c r="C830" s="136" t="str">
        <x:v>spawn</x:v>
      </x:c>
      <x:c r="D830" s="136" t="str">
        <x:v>CSA</x:v>
      </x:c>
      <x:c r="E830" s="136" t="str">
        <x:v>CQ2_Spawnpoint_CSA_Infantry_1</x:v>
      </x:c>
      <x:c r="F830" s="137" t="n">
        <x:v>2112.17724609375</x:v>
      </x:c>
      <x:c r="G830" s="137" t="n">
        <x:v>2334.64794921875</x:v>
      </x:c>
      <x:c r="H830" s="137" t="n">
        <x:v>42.91282653808594</x:v>
      </x:c>
      <x:c r="I830" s="137" t="n">
        <x:v>1583.8619240075836</x:v>
      </x:c>
      <x:c r="J830" s="137" t="n">
        <x:v>1734.976568294303</x:v>
      </x:c>
      <x:c r="K830" s="136" t="str">
        <x:v>map-37</x:v>
      </x:c>
      <x:c r="L830" s="136" t="str">
        <x:v>DrillCamp | Contention | Orchards||Spawn | CSA CQ2_Spawnpoint_CSA_Infantry_1 [map-37/012]</x:v>
      </x:c>
      <x:c r="M830" s="35"/>
      <x:c r="N830" s="35"/>
      <x:c r="O830" s="35"/>
      <x:c r="P830" s="35"/>
      <x:c r="Q830" s="35"/>
      <x:c r="R830" s="35"/>
      <x:c r="S830" s="35"/>
      <x:c r="T830" s="35"/>
      <x:c r="U830" s="35"/>
      <x:c r="V830" s="35"/>
      <x:c r="W830" s="35"/>
      <x:c r="X830" s="35"/>
      <x:c r="Y830" s="35"/>
      <x:c r="Z830" s="35"/>
      <x:c r="AA830" s="35"/>
    </x:row>
    <x:row r="831">
      <x:c r="A831" s="136" t="str">
        <x:v>DrillCamp | Contention | Orchards</x:v>
      </x:c>
      <x:c r="B831" s="136" t="str">
        <x:v>Artillery | CSA CQ2_Spawnpoint_CSA_Artillery_Staging [map-37/013]</x:v>
      </x:c>
      <x:c r="C831" s="136" t="str">
        <x:v>battery</x:v>
      </x:c>
      <x:c r="D831" s="136" t="str">
        <x:v>CSA</x:v>
      </x:c>
      <x:c r="E831" s="136" t="str">
        <x:v>CQ2_Spawnpoint_CSA_Artillery_Staging</x:v>
      </x:c>
      <x:c r="F831" s="137" t="n">
        <x:v>2129.260009765625</x:v>
      </x:c>
      <x:c r="G831" s="137" t="n">
        <x:v>2317.832763671875</x:v>
      </x:c>
      <x:c r="H831" s="137" t="n">
        <x:v>43.96492385864258</x:v>
      </x:c>
      <x:c r="I831" s="137" t="n">
        <x:v>1613.1384930326972</x:v>
      </x:c>
      <x:c r="J831" s="137" t="n">
        <x:v>1763.794559913755</x:v>
      </x:c>
      <x:c r="K831" s="136" t="str">
        <x:v>map-37</x:v>
      </x:c>
      <x:c r="L831" s="136" t="str">
        <x:v>DrillCamp | Contention | Orchards||Artillery | CSA CQ2_Spawnpoint_CSA_Artillery_Staging [map-37/013]</x:v>
      </x:c>
      <x:c r="M831" s="35"/>
      <x:c r="N831" s="35"/>
      <x:c r="O831" s="35"/>
      <x:c r="P831" s="35"/>
      <x:c r="Q831" s="35"/>
      <x:c r="R831" s="35"/>
      <x:c r="S831" s="35"/>
      <x:c r="T831" s="35"/>
      <x:c r="U831" s="35"/>
      <x:c r="V831" s="35"/>
      <x:c r="W831" s="35"/>
      <x:c r="X831" s="35"/>
      <x:c r="Y831" s="35"/>
      <x:c r="Z831" s="35"/>
      <x:c r="AA831" s="35"/>
    </x:row>
    <x:row r="832">
      <x:c r="A832" s="136" t="str">
        <x:v>DrillCamp | Contention | Orchards</x:v>
      </x:c>
      <x:c r="B832" s="136" t="str">
        <x:v>Gun | 3-inch Ordnance · Entity-1635 [map-37/014]</x:v>
      </x:c>
      <x:c r="C832" s="136" t="str">
        <x:v>gun_spawn</x:v>
      </x:c>
      <x:c r="D832" s="136" t="str"/>
      <x:c r="E832" s="136" t="str">
        <x:v>3-inch Ordnance · Entity-1635</x:v>
      </x:c>
      <x:c r="F832" s="137" t="n">
        <x:v>2112.93408203125</x:v>
      </x:c>
      <x:c r="G832" s="137" t="n">
        <x:v>2929.278564453125</x:v>
      </x:c>
      <x:c r="H832" s="137" t="n">
        <x:v>44.820098876953125</x:v>
      </x:c>
      <x:c r="I832" s="137" t="n">
        <x:v>1585.1589951367353</x:v>
      </x:c>
      <x:c r="J832" s="137" t="n">
        <x:v>715.8941419526881</x:v>
      </x:c>
      <x:c r="K832" s="136" t="str">
        <x:v>map-37</x:v>
      </x:c>
      <x:c r="L832" s="136" t="str">
        <x:v>DrillCamp | Contention | Orchards||Gun | 3-inch Ordnance · Entity-1635 [map-37/014]</x:v>
      </x:c>
      <x:c r="M832" s="35"/>
      <x:c r="N832" s="35"/>
      <x:c r="O832" s="35"/>
      <x:c r="P832" s="35"/>
      <x:c r="Q832" s="35"/>
      <x:c r="R832" s="35"/>
      <x:c r="S832" s="35"/>
      <x:c r="T832" s="35"/>
      <x:c r="U832" s="35"/>
      <x:c r="V832" s="35"/>
      <x:c r="W832" s="35"/>
      <x:c r="X832" s="35"/>
      <x:c r="Y832" s="35"/>
      <x:c r="Z832" s="35"/>
      <x:c r="AA832" s="35"/>
    </x:row>
    <x:row r="833">
      <x:c r="A833" s="136" t="str">
        <x:v>DrillCamp | Contention | Orchards</x:v>
      </x:c>
      <x:c r="B833" s="136" t="str">
        <x:v>Gun | 3-inch Ordnance · Entity-1648 [map-37/015]</x:v>
      </x:c>
      <x:c r="C833" s="136" t="str">
        <x:v>gun_spawn</x:v>
      </x:c>
      <x:c r="D833" s="136" t="str"/>
      <x:c r="E833" s="136" t="str">
        <x:v>3-inch Ordnance · Entity-1648</x:v>
      </x:c>
      <x:c r="F833" s="137" t="n">
        <x:v>1418.78759765625</x:v>
      </x:c>
      <x:c r="G833" s="137" t="n">
        <x:v>2927.380126953125</x:v>
      </x:c>
      <x:c r="H833" s="137" t="n">
        <x:v>58.982765197753906</x:v>
      </x:c>
      <x:c r="I833" s="137" t="n">
        <x:v>395.5255228430886</x:v>
      </x:c>
      <x:c r="J833" s="137" t="n">
        <x:v>719.1476984366496</x:v>
      </x:c>
      <x:c r="K833" s="136" t="str">
        <x:v>map-37</x:v>
      </x:c>
      <x:c r="L833" s="136" t="str">
        <x:v>DrillCamp | Contention | Orchards||Gun | 3-inch Ordnance · Entity-1648 [map-37/015]</x:v>
      </x:c>
      <x:c r="M833" s="35"/>
      <x:c r="N833" s="35"/>
      <x:c r="O833" s="35"/>
      <x:c r="P833" s="35"/>
      <x:c r="Q833" s="35"/>
      <x:c r="R833" s="35"/>
      <x:c r="S833" s="35"/>
      <x:c r="T833" s="35"/>
      <x:c r="U833" s="35"/>
      <x:c r="V833" s="35"/>
      <x:c r="W833" s="35"/>
      <x:c r="X833" s="35"/>
      <x:c r="Y833" s="35"/>
      <x:c r="Z833" s="35"/>
      <x:c r="AA833" s="35"/>
    </x:row>
    <x:row r="834">
      <x:c r="A834" s="136" t="str">
        <x:v>DrillCamp | Contention | Orchards</x:v>
      </x:c>
      <x:c r="B834" s="136" t="str">
        <x:v>Gun | 12-pounder Napoleon (CSA) · Entity-1650 [map-37/016]</x:v>
      </x:c>
      <x:c r="C834" s="136" t="str">
        <x:v>gun_spawn</x:v>
      </x:c>
      <x:c r="D834" s="136" t="str"/>
      <x:c r="E834" s="136" t="str">
        <x:v>12-pounder Napoleon (CSA) · Entity-1650</x:v>
      </x:c>
      <x:c r="F834" s="137" t="n">
        <x:v>1418.9415283203125</x:v>
      </x:c>
      <x:c r="G834" s="137" t="n">
        <x:v>2912.140869140625</x:v>
      </x:c>
      <x:c r="H834" s="137" t="n">
        <x:v>58.94121170043945</x:v>
      </x:c>
      <x:c r="I834" s="137" t="n">
        <x:v>395.7893303743563</x:v>
      </x:c>
      <x:c r="J834" s="137" t="n">
        <x:v>745.2648532371752</x:v>
      </x:c>
      <x:c r="K834" s="136" t="str">
        <x:v>map-37</x:v>
      </x:c>
      <x:c r="L834" s="136" t="str">
        <x:v>DrillCamp | Contention | Orchards||Gun | 12-pounder Napoleon (CSA) · Entity-1650 [map-37/016]</x:v>
      </x:c>
      <x:c r="M834" s="35"/>
      <x:c r="N834" s="35"/>
      <x:c r="O834" s="35"/>
      <x:c r="P834" s="35"/>
      <x:c r="Q834" s="35"/>
      <x:c r="R834" s="35"/>
      <x:c r="S834" s="35"/>
      <x:c r="T834" s="35"/>
      <x:c r="U834" s="35"/>
      <x:c r="V834" s="35"/>
      <x:c r="W834" s="35"/>
      <x:c r="X834" s="35"/>
      <x:c r="Y834" s="35"/>
      <x:c r="Z834" s="35"/>
      <x:c r="AA834" s="35"/>
    </x:row>
    <x:row r="835">
      <x:c r="A835" s="136" t="str">
        <x:v>DrillCamp | Contention | Orchards</x:v>
      </x:c>
      <x:c r="B835" s="136" t="str">
        <x:v>Gun | 12-pounder Napoleon (USA) · Entity-1639 [map-37/017]</x:v>
      </x:c>
      <x:c r="C835" s="136" t="str">
        <x:v>gun_spawn</x:v>
      </x:c>
      <x:c r="D835" s="136" t="str"/>
      <x:c r="E835" s="136" t="str">
        <x:v>12-pounder Napoleon (USA) · Entity-1639</x:v>
      </x:c>
      <x:c r="F835" s="137" t="n">
        <x:v>2130.789794921875</x:v>
      </x:c>
      <x:c r="G835" s="137" t="n">
        <x:v>2959.077880859375</x:v>
      </x:c>
      <x:c r="H835" s="137" t="n">
        <x:v>46.25581741333008</x:v>
      </x:c>
      <x:c r="I835" s="137" t="n">
        <x:v>1615.7602503537496</x:v>
      </x:c>
      <x:c r="J835" s="137" t="n">
        <x:v>664.8238490875399</x:v>
      </x:c>
      <x:c r="K835" s="136" t="str">
        <x:v>map-37</x:v>
      </x:c>
      <x:c r="L835" s="136" t="str">
        <x:v>DrillCamp | Contention | Orchards||Gun | 12-pounder Napoleon (USA) · Entity-1639 [map-37/017]</x:v>
      </x:c>
      <x:c r="M835" s="35"/>
      <x:c r="N835" s="35"/>
      <x:c r="O835" s="35"/>
      <x:c r="P835" s="35"/>
      <x:c r="Q835" s="35"/>
      <x:c r="R835" s="35"/>
      <x:c r="S835" s="35"/>
      <x:c r="T835" s="35"/>
      <x:c r="U835" s="35"/>
      <x:c r="V835" s="35"/>
      <x:c r="W835" s="35"/>
      <x:c r="X835" s="35"/>
      <x:c r="Y835" s="35"/>
      <x:c r="Z835" s="35"/>
      <x:c r="AA835" s="35"/>
    </x:row>
    <x:row r="836">
      <x:c r="A836" s="136" t="str">
        <x:v>DrillCamp | Contention | Orchards</x:v>
      </x:c>
      <x:c r="B836" s="136" t="str">
        <x:v>Gun | 12-pounder Napoleon (USA) · Entity-1638 [map-37/018]</x:v>
      </x:c>
      <x:c r="C836" s="136" t="str">
        <x:v>gun_spawn</x:v>
      </x:c>
      <x:c r="D836" s="136" t="str"/>
      <x:c r="E836" s="136" t="str">
        <x:v>12-pounder Napoleon (USA) · Entity-1638</x:v>
      </x:c>
      <x:c r="F836" s="137" t="n">
        <x:v>2125.64453125</x:v>
      </x:c>
      <x:c r="G836" s="137" t="n">
        <x:v>2950.896484375</x:v>
      </x:c>
      <x:c r="H836" s="137" t="n">
        <x:v>46.14850616455078</x:v>
      </x:c>
      <x:c r="I836" s="137" t="n">
        <x:v>1606.9422587257284</x:v>
      </x:c>
      <x:c r="J836" s="137" t="n">
        <x:v>678.8451879936663</x:v>
      </x:c>
      <x:c r="K836" s="136" t="str">
        <x:v>map-37</x:v>
      </x:c>
      <x:c r="L836" s="136" t="str">
        <x:v>DrillCamp | Contention | Orchards||Gun | 12-pounder Napoleon (USA) · Entity-1638 [map-37/018]</x:v>
      </x:c>
      <x:c r="M836" s="35"/>
      <x:c r="N836" s="35"/>
      <x:c r="O836" s="35"/>
      <x:c r="P836" s="35"/>
      <x:c r="Q836" s="35"/>
      <x:c r="R836" s="35"/>
      <x:c r="S836" s="35"/>
      <x:c r="T836" s="35"/>
      <x:c r="U836" s="35"/>
      <x:c r="V836" s="35"/>
      <x:c r="W836" s="35"/>
      <x:c r="X836" s="35"/>
      <x:c r="Y836" s="35"/>
      <x:c r="Z836" s="35"/>
      <x:c r="AA836" s="35"/>
    </x:row>
    <x:row r="837">
      <x:c r="A837" s="136" t="str">
        <x:v>DrillCamp | Contention | Orchards</x:v>
      </x:c>
      <x:c r="B837" s="136" t="str">
        <x:v>Gun | 3-inch Ordnance · Entity-1634 [map-37/019]</x:v>
      </x:c>
      <x:c r="C837" s="136" t="str">
        <x:v>gun_spawn</x:v>
      </x:c>
      <x:c r="D837" s="136" t="str"/>
      <x:c r="E837" s="136" t="str">
        <x:v>3-inch Ordnance · Entity-1634</x:v>
      </x:c>
      <x:c r="F837" s="137" t="n">
        <x:v>2108.310302734375</x:v>
      </x:c>
      <x:c r="G837" s="137" t="n">
        <x:v>2921.770751953125</x:v>
      </x:c>
      <x:c r="H837" s="137" t="n">
        <x:v>44.40179443359375</x:v>
      </x:c>
      <x:c r="I837" s="137" t="n">
        <x:v>1577.2347273577036</x:v>
      </x:c>
      <x:c r="J837" s="137" t="n">
        <x:v>728.7610875538696</x:v>
      </x:c>
      <x:c r="K837" s="136" t="str">
        <x:v>map-37</x:v>
      </x:c>
      <x:c r="L837" s="136" t="str">
        <x:v>DrillCamp | Contention | Orchards||Gun | 3-inch Ordnance · Entity-1634 [map-37/019]</x:v>
      </x:c>
      <x:c r="M837" s="35"/>
      <x:c r="N837" s="35"/>
      <x:c r="O837" s="35"/>
      <x:c r="P837" s="35"/>
      <x:c r="Q837" s="35"/>
      <x:c r="R837" s="35"/>
      <x:c r="S837" s="35"/>
      <x:c r="T837" s="35"/>
      <x:c r="U837" s="35"/>
      <x:c r="V837" s="35"/>
      <x:c r="W837" s="35"/>
      <x:c r="X837" s="35"/>
      <x:c r="Y837" s="35"/>
      <x:c r="Z837" s="35"/>
      <x:c r="AA837" s="35"/>
    </x:row>
    <x:row r="838">
      <x:c r="A838" s="136" t="str">
        <x:v>DrillCamp | Contention | Orchards</x:v>
      </x:c>
      <x:c r="B838" s="136" t="str">
        <x:v>Gun | 3-inch Ordnance · Entity-1647 [map-37/020]</x:v>
      </x:c>
      <x:c r="C838" s="136" t="str">
        <x:v>gun_spawn</x:v>
      </x:c>
      <x:c r="D838" s="136" t="str"/>
      <x:c r="E838" s="136" t="str">
        <x:v>3-inch Ordnance · Entity-1647</x:v>
      </x:c>
      <x:c r="F838" s="137" t="n">
        <x:v>1419.118408203125</x:v>
      </x:c>
      <x:c r="G838" s="137" t="n">
        <x:v>2935.062255859375</x:v>
      </x:c>
      <x:c r="H838" s="137" t="n">
        <x:v>59.093955993652344</x:v>
      </x:c>
      <x:c r="I838" s="137" t="n">
        <x:v>396.09246844954026</x:v>
      </x:c>
      <x:c r="J838" s="137" t="n">
        <x:v>705.9820080657215</x:v>
      </x:c>
      <x:c r="K838" s="136" t="str">
        <x:v>map-37</x:v>
      </x:c>
      <x:c r="L838" s="136" t="str">
        <x:v>DrillCamp | Contention | Orchards||Gun | 3-inch Ordnance · Entity-1647 [map-37/020]</x:v>
      </x:c>
      <x:c r="M838" s="35"/>
      <x:c r="N838" s="35"/>
      <x:c r="O838" s="35"/>
      <x:c r="P838" s="35"/>
      <x:c r="Q838" s="35"/>
      <x:c r="R838" s="35"/>
      <x:c r="S838" s="35"/>
      <x:c r="T838" s="35"/>
      <x:c r="U838" s="35"/>
      <x:c r="V838" s="35"/>
      <x:c r="W838" s="35"/>
      <x:c r="X838" s="35"/>
      <x:c r="Y838" s="35"/>
      <x:c r="Z838" s="35"/>
      <x:c r="AA838" s="35"/>
    </x:row>
    <x:row r="839">
      <x:c r="A839" s="136" t="str">
        <x:v>DrillCamp | Contention | Orchards</x:v>
      </x:c>
      <x:c r="B839" s="136" t="str">
        <x:v>Gun | 3-inch Ordnance · Entity-1636 [map-37/021]</x:v>
      </x:c>
      <x:c r="C839" s="136" t="str">
        <x:v>gun_spawn</x:v>
      </x:c>
      <x:c r="D839" s="136" t="str"/>
      <x:c r="E839" s="136" t="str">
        <x:v>3-inch Ordnance · Entity-1636</x:v>
      </x:c>
      <x:c r="F839" s="137" t="n">
        <x:v>2116.73388671875</x:v>
      </x:c>
      <x:c r="G839" s="137" t="n">
        <x:v>2935.629150390625</x:v>
      </x:c>
      <x:c r="H839" s="137" t="n">
        <x:v>44.922393798828125</x:v>
      </x:c>
      <x:c r="I839" s="137" t="n">
        <x:v>1591.6711290251585</x:v>
      </x:c>
      <x:c r="J839" s="137" t="n">
        <x:v>705.010459948983</x:v>
      </x:c>
      <x:c r="K839" s="136" t="str">
        <x:v>map-37</x:v>
      </x:c>
      <x:c r="L839" s="136" t="str">
        <x:v>DrillCamp | Contention | Orchards||Gun | 3-inch Ordnance · Entity-1636 [map-37/021]</x:v>
      </x:c>
      <x:c r="M839" s="35"/>
      <x:c r="N839" s="35"/>
      <x:c r="O839" s="35"/>
      <x:c r="P839" s="35"/>
      <x:c r="Q839" s="35"/>
      <x:c r="R839" s="35"/>
      <x:c r="S839" s="35"/>
      <x:c r="T839" s="35"/>
      <x:c r="U839" s="35"/>
      <x:c r="V839" s="35"/>
      <x:c r="W839" s="35"/>
      <x:c r="X839" s="35"/>
      <x:c r="Y839" s="35"/>
      <x:c r="Z839" s="35"/>
      <x:c r="AA839" s="35"/>
    </x:row>
    <x:row r="840">
      <x:c r="A840" s="136" t="str">
        <x:v>DrillCamp | Contention | Orchards</x:v>
      </x:c>
      <x:c r="B840" s="136" t="str">
        <x:v>Gun | 12-pounder Napoleon (CSA) · Entity-1651 [map-37/022]</x:v>
      </x:c>
      <x:c r="C840" s="136" t="str">
        <x:v>gun_spawn</x:v>
      </x:c>
      <x:c r="D840" s="136" t="str"/>
      <x:c r="E840" s="136" t="str">
        <x:v>12-pounder Napoleon (CSA) · Entity-1651</x:v>
      </x:c>
      <x:c r="F840" s="137" t="n">
        <x:v>1418.70458984375</x:v>
      </x:c>
      <x:c r="G840" s="137" t="n">
        <x:v>2902.219482421875</x:v>
      </x:c>
      <x:c r="H840" s="137" t="n">
        <x:v>58.98301315307617</x:v>
      </x:c>
      <x:c r="I840" s="137" t="n">
        <x:v>395.3832634289236</x:v>
      </x:c>
      <x:c r="J840" s="137" t="n">
        <x:v>762.2682005102249</x:v>
      </x:c>
      <x:c r="K840" s="136" t="str">
        <x:v>map-37</x:v>
      </x:c>
      <x:c r="L840" s="136" t="str">
        <x:v>DrillCamp | Contention | Orchards||Gun | 12-pounder Napoleon (CSA) · Entity-1651 [map-37/022]</x:v>
      </x:c>
      <x:c r="M840" s="35"/>
      <x:c r="N840" s="35"/>
      <x:c r="O840" s="35"/>
      <x:c r="P840" s="35"/>
      <x:c r="Q840" s="35"/>
      <x:c r="R840" s="35"/>
      <x:c r="S840" s="35"/>
      <x:c r="T840" s="35"/>
      <x:c r="U840" s="35"/>
      <x:c r="V840" s="35"/>
      <x:c r="W840" s="35"/>
      <x:c r="X840" s="35"/>
      <x:c r="Y840" s="35"/>
      <x:c r="Z840" s="35"/>
      <x:c r="AA840" s="35"/>
    </x:row>
    <x:row r="841">
      <x:c r="A841" s="136" t="str">
        <x:v>DrillCamp | Contention | Orchards</x:v>
      </x:c>
      <x:c r="B841" s="136" t="str">
        <x:v>Gun | 12-pounder Napoleon (USA) · Entity-1637 [map-37/023]</x:v>
      </x:c>
      <x:c r="C841" s="136" t="str">
        <x:v>gun_spawn</x:v>
      </x:c>
      <x:c r="D841" s="136" t="str"/>
      <x:c r="E841" s="136" t="str">
        <x:v>12-pounder Napoleon (USA) · Entity-1637</x:v>
      </x:c>
      <x:c r="F841" s="137" t="n">
        <x:v>2120.848876953125</x:v>
      </x:c>
      <x:c r="G841" s="137" t="n">
        <x:v>2942.6845703125</x:v>
      </x:c>
      <x:c r="H841" s="137" t="n">
        <x:v>45.57647705078125</x:v>
      </x:c>
      <x:c r="I841" s="137" t="n">
        <x:v>1598.7234302773672</x:v>
      </x:c>
      <x:c r="J841" s="137" t="n">
        <x:v>692.9188281550004</x:v>
      </x:c>
      <x:c r="K841" s="136" t="str">
        <x:v>map-37</x:v>
      </x:c>
      <x:c r="L841" s="136" t="str">
        <x:v>DrillCamp | Contention | Orchards||Gun | 12-pounder Napoleon (USA) · Entity-1637 [map-37/023]</x:v>
      </x:c>
      <x:c r="M841" s="35"/>
      <x:c r="N841" s="35"/>
      <x:c r="O841" s="35"/>
      <x:c r="P841" s="35"/>
      <x:c r="Q841" s="35"/>
      <x:c r="R841" s="35"/>
      <x:c r="S841" s="35"/>
      <x:c r="T841" s="35"/>
      <x:c r="U841" s="35"/>
      <x:c r="V841" s="35"/>
      <x:c r="W841" s="35"/>
      <x:c r="X841" s="35"/>
      <x:c r="Y841" s="35"/>
      <x:c r="Z841" s="35"/>
      <x:c r="AA841" s="35"/>
    </x:row>
    <x:row r="842">
      <x:c r="A842" s="136" t="str">
        <x:v>DrillCamp | Contention | Orchards</x:v>
      </x:c>
      <x:c r="B842" s="136" t="str">
        <x:v>Gun | 3-inch Ordnance · Entity-1646 [map-37/024]</x:v>
      </x:c>
      <x:c r="C842" s="136" t="str">
        <x:v>gun_spawn</x:v>
      </x:c>
      <x:c r="D842" s="136" t="str"/>
      <x:c r="E842" s="136" t="str">
        <x:v>3-inch Ordnance · Entity-1646</x:v>
      </x:c>
      <x:c r="F842" s="137" t="n">
        <x:v>1419.7412109375</x:v>
      </x:c>
      <x:c r="G842" s="137" t="n">
        <x:v>2942.40478515625</x:v>
      </x:c>
      <x:c r="H842" s="137" t="n">
        <x:v>59.26011276245117</x:v>
      </x:c>
      <x:c r="I842" s="137" t="n">
        <x:v>397.15983246581936</x:v>
      </x:c>
      <x:c r="J842" s="137" t="n">
        <x:v>693.3983260627448</x:v>
      </x:c>
      <x:c r="K842" s="136" t="str">
        <x:v>map-37</x:v>
      </x:c>
      <x:c r="L842" s="136" t="str">
        <x:v>DrillCamp | Contention | Orchards||Gun | 3-inch Ordnance · Entity-1646 [map-37/024]</x:v>
      </x:c>
      <x:c r="M842" s="35"/>
      <x:c r="N842" s="35"/>
      <x:c r="O842" s="35"/>
      <x:c r="P842" s="35"/>
      <x:c r="Q842" s="35"/>
      <x:c r="R842" s="35"/>
      <x:c r="S842" s="35"/>
      <x:c r="T842" s="35"/>
      <x:c r="U842" s="35"/>
      <x:c r="V842" s="35"/>
      <x:c r="W842" s="35"/>
      <x:c r="X842" s="35"/>
      <x:c r="Y842" s="35"/>
      <x:c r="Z842" s="35"/>
      <x:c r="AA842" s="35"/>
    </x:row>
    <x:row r="843">
      <x:c r="A843" s="136" t="str">
        <x:v>DrillCamp | Contention | Orchards</x:v>
      </x:c>
      <x:c r="B843" s="136" t="str">
        <x:v>Gun | 12-pounder Napoleon (USA) · Entity-1649 [map-37/025]</x:v>
      </x:c>
      <x:c r="C843" s="136" t="str">
        <x:v>gun_spawn</x:v>
      </x:c>
      <x:c r="D843" s="136" t="str"/>
      <x:c r="E843" s="136" t="str">
        <x:v>12-pounder Napoleon (USA) · Entity-1649</x:v>
      </x:c>
      <x:c r="F843" s="137" t="n">
        <x:v>1419.1268310546875</x:v>
      </x:c>
      <x:c r="G843" s="137" t="n">
        <x:v>2920.572021484375</x:v>
      </x:c>
      <x:c r="H843" s="137" t="n">
        <x:v>58.93800735473633</x:v>
      </x:c>
      <x:c r="I843" s="137" t="n">
        <x:v>396.1069035959776</x:v>
      </x:c>
      <x:c r="J843" s="137" t="n">
        <x:v>730.8154808584288</x:v>
      </x:c>
      <x:c r="K843" s="136" t="str">
        <x:v>map-37</x:v>
      </x:c>
      <x:c r="L843" s="136" t="str">
        <x:v>DrillCamp | Contention | Orchards||Gun | 12-pounder Napoleon (USA) · Entity-1649 [map-37/025]</x:v>
      </x:c>
      <x:c r="M843" s="35"/>
      <x:c r="N843" s="35"/>
      <x:c r="O843" s="35"/>
      <x:c r="P843" s="35"/>
      <x:c r="Q843" s="35"/>
      <x:c r="R843" s="35"/>
      <x:c r="S843" s="35"/>
      <x:c r="T843" s="35"/>
      <x:c r="U843" s="35"/>
      <x:c r="V843" s="35"/>
      <x:c r="W843" s="35"/>
      <x:c r="X843" s="35"/>
      <x:c r="Y843" s="35"/>
      <x:c r="Z843" s="35"/>
      <x:c r="AA843" s="35"/>
    </x:row>
    <x:row r="844">
      <x:c r="A844" s="136" t="str">
        <x:v>DrillCamp | Contention | Railroad Cut</x:v>
      </x:c>
      <x:c r="B844" s="136" t="str">
        <x:v>Spawn | USA CQ3_Spawnpoint_USA_Infantry_1 [map-38/001]</x:v>
      </x:c>
      <x:c r="C844" s="136" t="str">
        <x:v>spawn</x:v>
      </x:c>
      <x:c r="D844" s="136" t="str">
        <x:v>USA</x:v>
      </x:c>
      <x:c r="E844" s="136" t="str">
        <x:v>CQ3_Spawnpoint_USA_Infantry_1</x:v>
      </x:c>
      <x:c r="F844" s="137" t="n">
        <x:v>2078.849609375</x:v>
      </x:c>
      <x:c r="G844" s="137" t="n">
        <x:v>1756.117919921875</x:v>
      </x:c>
      <x:c r="H844" s="137" t="n">
        <x:v>77.4901351928711</x:v>
      </x:c>
      <x:c r="I844" s="137" t="n">
        <x:v>1762.5543334524689</x:v>
      </x:c>
      <x:c r="J844" s="137" t="n">
        <x:v>1146.3844757627112</x:v>
      </x:c>
      <x:c r="K844" s="136" t="str">
        <x:v>map-38</x:v>
      </x:c>
      <x:c r="L844" s="136" t="str">
        <x:v>DrillCamp | Contention | Railroad Cut||Spawn | USA CQ3_Spawnpoint_USA_Infantry_1 [map-38/001]</x:v>
      </x:c>
      <x:c r="M844" s="35"/>
      <x:c r="N844" s="35"/>
      <x:c r="O844" s="35"/>
      <x:c r="P844" s="35"/>
      <x:c r="Q844" s="35"/>
      <x:c r="R844" s="35"/>
      <x:c r="S844" s="35"/>
      <x:c r="T844" s="35"/>
      <x:c r="U844" s="35"/>
      <x:c r="V844" s="35"/>
      <x:c r="W844" s="35"/>
      <x:c r="X844" s="35"/>
      <x:c r="Y844" s="35"/>
      <x:c r="Z844" s="35"/>
      <x:c r="AA844" s="35"/>
    </x:row>
    <x:row r="845">
      <x:c r="A845" s="136" t="str">
        <x:v>DrillCamp | Contention | Railroad Cut</x:v>
      </x:c>
      <x:c r="B845" s="136" t="str">
        <x:v>Spawn | USA CQ3_Spawnpoint_USA_Infantry_2 [map-38/002]</x:v>
      </x:c>
      <x:c r="C845" s="136" t="str">
        <x:v>spawn</x:v>
      </x:c>
      <x:c r="D845" s="136" t="str">
        <x:v>USA</x:v>
      </x:c>
      <x:c r="E845" s="136" t="str">
        <x:v>CQ3_Spawnpoint_USA_Infantry_2</x:v>
      </x:c>
      <x:c r="F845" s="137" t="n">
        <x:v>2060.298828125</x:v>
      </x:c>
      <x:c r="G845" s="137" t="n">
        <x:v>1747.185791015625</x:v>
      </x:c>
      <x:c r="H845" s="137" t="n">
        <x:v>77.73980712890625</x:v>
      </x:c>
      <x:c r="I845" s="137" t="n">
        <x:v>1716.1660550931906</x:v>
      </x:c>
      <x:c r="J845" s="137" t="n">
        <x:v>1168.7475564753026</x:v>
      </x:c>
      <x:c r="K845" s="136" t="str">
        <x:v>map-38</x:v>
      </x:c>
      <x:c r="L845" s="136" t="str">
        <x:v>DrillCamp | Contention | Railroad Cut||Spawn | USA CQ3_Spawnpoint_USA_Infantry_2 [map-38/002]</x:v>
      </x:c>
      <x:c r="M845" s="35"/>
      <x:c r="N845" s="35"/>
      <x:c r="O845" s="35"/>
      <x:c r="P845" s="35"/>
      <x:c r="Q845" s="35"/>
      <x:c r="R845" s="35"/>
      <x:c r="S845" s="35"/>
      <x:c r="T845" s="35"/>
      <x:c r="U845" s="35"/>
      <x:c r="V845" s="35"/>
      <x:c r="W845" s="35"/>
      <x:c r="X845" s="35"/>
      <x:c r="Y845" s="35"/>
      <x:c r="Z845" s="35"/>
      <x:c r="AA845" s="35"/>
    </x:row>
    <x:row r="846">
      <x:c r="A846" s="136" t="str">
        <x:v>DrillCamp | Contention | Railroad Cut</x:v>
      </x:c>
      <x:c r="B846" s="136" t="str">
        <x:v>Spawn | CSA CQ3_Spawnpoint_CSA_Infantry_2 [map-38/003]</x:v>
      </x:c>
      <x:c r="C846" s="136" t="str">
        <x:v>spawn</x:v>
      </x:c>
      <x:c r="D846" s="136" t="str">
        <x:v>CSA</x:v>
      </x:c>
      <x:c r="E846" s="136" t="str">
        <x:v>CQ3_Spawnpoint_CSA_Infantry_2</x:v>
      </x:c>
      <x:c r="F846" s="137" t="n">
        <x:v>1447.9512939453125</x:v>
      </x:c>
      <x:c r="G846" s="137" t="n">
        <x:v>1495.867431640625</x:v>
      </x:c>
      <x:c r="H846" s="137" t="n">
        <x:v>56.4920654296875</x:v>
      </x:c>
      <x:c r="I846" s="137" t="n">
        <x:v>184.92338205777685</x:v>
      </x:c>
      <x:c r="J846" s="137" t="n">
        <x:v>1797.965161174959</x:v>
      </x:c>
      <x:c r="K846" s="136" t="str">
        <x:v>map-38</x:v>
      </x:c>
      <x:c r="L846" s="136" t="str">
        <x:v>DrillCamp | Contention | Railroad Cut||Spawn | CSA CQ3_Spawnpoint_CSA_Infantry_2 [map-38/003]</x:v>
      </x:c>
      <x:c r="M846" s="35"/>
      <x:c r="N846" s="35"/>
      <x:c r="O846" s="35"/>
      <x:c r="P846" s="35"/>
      <x:c r="Q846" s="35"/>
      <x:c r="R846" s="35"/>
      <x:c r="S846" s="35"/>
      <x:c r="T846" s="35"/>
      <x:c r="U846" s="35"/>
      <x:c r="V846" s="35"/>
      <x:c r="W846" s="35"/>
      <x:c r="X846" s="35"/>
      <x:c r="Y846" s="35"/>
      <x:c r="Z846" s="35"/>
      <x:c r="AA846" s="35"/>
    </x:row>
    <x:row r="847">
      <x:c r="A847" s="136" t="str">
        <x:v>DrillCamp | Contention | Railroad Cut</x:v>
      </x:c>
      <x:c r="B847" s="136" t="str">
        <x:v>Spawn | CSA CQ3_Spawnpoint_CSA_Infantry_0 [map-38/004]</x:v>
      </x:c>
      <x:c r="C847" s="136" t="str">
        <x:v>spawn</x:v>
      </x:c>
      <x:c r="D847" s="136" t="str">
        <x:v>CSA</x:v>
      </x:c>
      <x:c r="E847" s="136" t="str">
        <x:v>CQ3_Spawnpoint_CSA_Infantry_0</x:v>
      </x:c>
      <x:c r="F847" s="137" t="n">
        <x:v>1478.1917724609375</x:v>
      </x:c>
      <x:c r="G847" s="137" t="n">
        <x:v>1571.5596923828125</x:v>
      </x:c>
      <x:c r="H847" s="137" t="n">
        <x:v>55.68307113647461</x:v>
      </x:c>
      <x:c r="I847" s="137" t="n">
        <x:v>260.5430401301611</x:v>
      </x:c>
      <x:c r="J847" s="137" t="n">
        <x:v>1608.4569091039853</x:v>
      </x:c>
      <x:c r="K847" s="136" t="str">
        <x:v>map-38</x:v>
      </x:c>
      <x:c r="L847" s="136" t="str">
        <x:v>DrillCamp | Contention | Railroad Cut||Spawn | CSA CQ3_Spawnpoint_CSA_Infantry_0 [map-38/004]</x:v>
      </x:c>
      <x:c r="M847" s="35"/>
      <x:c r="N847" s="35"/>
      <x:c r="O847" s="35"/>
      <x:c r="P847" s="35"/>
      <x:c r="Q847" s="35"/>
      <x:c r="R847" s="35"/>
      <x:c r="S847" s="35"/>
      <x:c r="T847" s="35"/>
      <x:c r="U847" s="35"/>
      <x:c r="V847" s="35"/>
      <x:c r="W847" s="35"/>
      <x:c r="X847" s="35"/>
      <x:c r="Y847" s="35"/>
      <x:c r="Z847" s="35"/>
      <x:c r="AA847" s="35"/>
    </x:row>
    <x:row r="848">
      <x:c r="A848" s="136" t="str">
        <x:v>DrillCamp | Contention | Railroad Cut</x:v>
      </x:c>
      <x:c r="B848" s="136" t="str">
        <x:v>Spawn | USA CQ3_Spawnpoint_USA_Infantry_0 [map-38/005]</x:v>
      </x:c>
      <x:c r="C848" s="136" t="str">
        <x:v>spawn</x:v>
      </x:c>
      <x:c r="D848" s="136" t="str">
        <x:v>USA</x:v>
      </x:c>
      <x:c r="E848" s="136" t="str">
        <x:v>CQ3_Spawnpoint_USA_Infantry_0</x:v>
      </x:c>
      <x:c r="F848" s="137" t="n">
        <x:v>2089.919921875</x:v>
      </x:c>
      <x:c r="G848" s="137" t="n">
        <x:v>1761.6024169921875</x:v>
      </x:c>
      <x:c r="H848" s="137" t="n">
        <x:v>77.58934020996094</x:v>
      </x:c>
      <x:c r="I848" s="137" t="n">
        <x:v>1790.236873117703</x:v>
      </x:c>
      <x:c r="J848" s="137" t="n">
        <x:v>1132.6531187773066</x:v>
      </x:c>
      <x:c r="K848" s="136" t="str">
        <x:v>map-38</x:v>
      </x:c>
      <x:c r="L848" s="136" t="str">
        <x:v>DrillCamp | Contention | Railroad Cut||Spawn | USA CQ3_Spawnpoint_USA_Infantry_0 [map-38/005]</x:v>
      </x:c>
      <x:c r="M848" s="35"/>
      <x:c r="N848" s="35"/>
      <x:c r="O848" s="35"/>
      <x:c r="P848" s="35"/>
      <x:c r="Q848" s="35"/>
      <x:c r="R848" s="35"/>
      <x:c r="S848" s="35"/>
      <x:c r="T848" s="35"/>
      <x:c r="U848" s="35"/>
      <x:c r="V848" s="35"/>
      <x:c r="W848" s="35"/>
      <x:c r="X848" s="35"/>
      <x:c r="Y848" s="35"/>
      <x:c r="Z848" s="35"/>
      <x:c r="AA848" s="35"/>
    </x:row>
    <x:row r="849">
      <x:c r="A849" s="136" t="str">
        <x:v>DrillCamp | Contention | Railroad Cut</x:v>
      </x:c>
      <x:c r="B849" s="136" t="str">
        <x:v>Spawn | CSA CQ3_Spawnpoint_CSA_Infantry_1 [map-38/006]</x:v>
      </x:c>
      <x:c r="C849" s="136" t="str">
        <x:v>spawn</x:v>
      </x:c>
      <x:c r="D849" s="136" t="str">
        <x:v>CSA</x:v>
      </x:c>
      <x:c r="E849" s="136" t="str">
        <x:v>CQ3_Spawnpoint_CSA_Infantry_1</x:v>
      </x:c>
      <x:c r="F849" s="137" t="n">
        <x:v>1466.757080078125</x:v>
      </x:c>
      <x:c r="G849" s="137" t="n">
        <x:v>1544.9525146484375</x:v>
      </x:c>
      <x:c r="H849" s="137" t="n">
        <x:v>56.08175277709961</x:v>
      </x:c>
      <x:c r="I849" s="137" t="n">
        <x:v>231.94932830432472</x:v>
      </x:c>
      <x:c r="J849" s="137" t="n">
        <x:v>1675.0724348597485</x:v>
      </x:c>
      <x:c r="K849" s="136" t="str">
        <x:v>map-38</x:v>
      </x:c>
      <x:c r="L849" s="136" t="str">
        <x:v>DrillCamp | Contention | Railroad Cut||Spawn | CSA CQ3_Spawnpoint_CSA_Infantry_1 [map-38/006]</x:v>
      </x:c>
      <x:c r="M849" s="35"/>
      <x:c r="N849" s="35"/>
      <x:c r="O849" s="35"/>
      <x:c r="P849" s="35"/>
      <x:c r="Q849" s="35"/>
      <x:c r="R849" s="35"/>
      <x:c r="S849" s="35"/>
      <x:c r="T849" s="35"/>
      <x:c r="U849" s="35"/>
      <x:c r="V849" s="35"/>
      <x:c r="W849" s="35"/>
      <x:c r="X849" s="35"/>
      <x:c r="Y849" s="35"/>
      <x:c r="Z849" s="35"/>
      <x:c r="AA849" s="35"/>
    </x:row>
    <x:row r="850">
      <x:c r="A850" s="136" t="str">
        <x:v>DrillCamp | Contention | Railroad Cut</x:v>
      </x:c>
      <x:c r="B850" s="136" t="str">
        <x:v>Artillery | CSA CQ3_Spawnpoint_CSA_Artillery_Forward [map-38/007]</x:v>
      </x:c>
      <x:c r="C850" s="136" t="str">
        <x:v>battery</x:v>
      </x:c>
      <x:c r="D850" s="136" t="str">
        <x:v>CSA</x:v>
      </x:c>
      <x:c r="E850" s="136" t="str">
        <x:v>CQ3_Spawnpoint_CSA_Artillery_Forward</x:v>
      </x:c>
      <x:c r="F850" s="137" t="n">
        <x:v>1664.670166015625</x:v>
      </x:c>
      <x:c r="G850" s="137" t="n">
        <x:v>1558.8297119140625</x:v>
      </x:c>
      <x:c r="H850" s="137" t="n">
        <x:v>55.185203552246094</x:v>
      </x:c>
      <x:c r="I850" s="137" t="n">
        <x:v>726.8528688984754</x:v>
      </x:c>
      <x:c r="J850" s="137" t="n">
        <x:v>1640.3285472856926</x:v>
      </x:c>
      <x:c r="K850" s="136" t="str">
        <x:v>map-38</x:v>
      </x:c>
      <x:c r="L850" s="136" t="str">
        <x:v>DrillCamp | Contention | Railroad Cut||Artillery | CSA CQ3_Spawnpoint_CSA_Artillery_Forward [map-38/007]</x:v>
      </x:c>
      <x:c r="M850" s="35"/>
      <x:c r="N850" s="35"/>
      <x:c r="O850" s="35"/>
      <x:c r="P850" s="35"/>
      <x:c r="Q850" s="35"/>
      <x:c r="R850" s="35"/>
      <x:c r="S850" s="35"/>
      <x:c r="T850" s="35"/>
      <x:c r="U850" s="35"/>
      <x:c r="V850" s="35"/>
      <x:c r="W850" s="35"/>
      <x:c r="X850" s="35"/>
      <x:c r="Y850" s="35"/>
      <x:c r="Z850" s="35"/>
      <x:c r="AA850" s="35"/>
    </x:row>
    <x:row r="851">
      <x:c r="A851" s="136" t="str">
        <x:v>DrillCamp | Contention | Railroad Cut</x:v>
      </x:c>
      <x:c r="B851" s="136" t="str">
        <x:v>Artillery | USA CQ3_Spawnpoint_USA_Artillery_Forward [map-38/008]</x:v>
      </x:c>
      <x:c r="C851" s="136" t="str">
        <x:v>battery</x:v>
      </x:c>
      <x:c r="D851" s="136" t="str">
        <x:v>USA</x:v>
      </x:c>
      <x:c r="E851" s="136" t="str">
        <x:v>CQ3_Spawnpoint_USA_Artillery_Forward</x:v>
      </x:c>
      <x:c r="F851" s="137" t="n">
        <x:v>2097.239990234375</x:v>
      </x:c>
      <x:c r="G851" s="137" t="n">
        <x:v>1952.722412109375</x:v>
      </x:c>
      <x:c r="H851" s="137" t="n">
        <x:v>62.315765380859375</x:v>
      </x:c>
      <x:c r="I851" s="137" t="n">
        <x:v>1808.5415129108997</x:v>
      </x:c>
      <x:c r="J851" s="137" t="n">
        <x:v>654.1522013078874</x:v>
      </x:c>
      <x:c r="K851" s="136" t="str">
        <x:v>map-38</x:v>
      </x:c>
      <x:c r="L851" s="136" t="str">
        <x:v>DrillCamp | Contention | Railroad Cut||Artillery | USA CQ3_Spawnpoint_USA_Artillery_Forward [map-38/008]</x:v>
      </x:c>
      <x:c r="M851" s="35"/>
      <x:c r="N851" s="35"/>
      <x:c r="O851" s="35"/>
      <x:c r="P851" s="35"/>
      <x:c r="Q851" s="35"/>
      <x:c r="R851" s="35"/>
      <x:c r="S851" s="35"/>
      <x:c r="T851" s="35"/>
      <x:c r="U851" s="35"/>
      <x:c r="V851" s="35"/>
      <x:c r="W851" s="35"/>
      <x:c r="X851" s="35"/>
      <x:c r="Y851" s="35"/>
      <x:c r="Z851" s="35"/>
      <x:c r="AA851" s="35"/>
    </x:row>
    <x:row r="852">
      <x:c r="A852" s="136" t="str">
        <x:v>DrillCamp | Contention | Railroad Cut</x:v>
      </x:c>
      <x:c r="B852" s="136" t="str">
        <x:v>Artillery | CSA CQ3_Spawnpoint_CSA_Artillery_Staging [map-38/009]</x:v>
      </x:c>
      <x:c r="C852" s="136" t="str">
        <x:v>battery</x:v>
      </x:c>
      <x:c r="D852" s="136" t="str">
        <x:v>CSA</x:v>
      </x:c>
      <x:c r="E852" s="136" t="str">
        <x:v>CQ3_Spawnpoint_CSA_Artillery_Staging</x:v>
      </x:c>
      <x:c r="F852" s="137" t="n">
        <x:v>1457.6688232421875</x:v>
      </x:c>
      <x:c r="G852" s="137" t="n">
        <x:v>1521.6400146484375</x:v>
      </x:c>
      <x:c r="H852" s="137" t="n">
        <x:v>56.355796813964844</x:v>
      </x:c>
      <x:c r="I852" s="137" t="n">
        <x:v>209.22313784234157</x:v>
      </x:c>
      <x:c r="J852" s="137" t="n">
        <x:v>1733.4391830990733</x:v>
      </x:c>
      <x:c r="K852" s="136" t="str">
        <x:v>map-38</x:v>
      </x:c>
      <x:c r="L852" s="136" t="str">
        <x:v>DrillCamp | Contention | Railroad Cut||Artillery | CSA CQ3_Spawnpoint_CSA_Artillery_Staging [map-38/009]</x:v>
      </x:c>
      <x:c r="M852" s="35"/>
      <x:c r="N852" s="35"/>
      <x:c r="O852" s="35"/>
      <x:c r="P852" s="35"/>
      <x:c r="Q852" s="35"/>
      <x:c r="R852" s="35"/>
      <x:c r="S852" s="35"/>
      <x:c r="T852" s="35"/>
      <x:c r="U852" s="35"/>
      <x:c r="V852" s="35"/>
      <x:c r="W852" s="35"/>
      <x:c r="X852" s="35"/>
      <x:c r="Y852" s="35"/>
      <x:c r="Z852" s="35"/>
      <x:c r="AA852" s="35"/>
    </x:row>
    <x:row r="853">
      <x:c r="A853" s="136" t="str">
        <x:v>DrillCamp | Contention | Railroad Cut</x:v>
      </x:c>
      <x:c r="B853" s="136" t="str">
        <x:v>Objective | Victory_Conquest_3 [map-38/010]</x:v>
      </x:c>
      <x:c r="C853" s="136" t="str">
        <x:v>objective</x:v>
      </x:c>
      <x:c r="D853" s="136" t="str"/>
      <x:c r="E853" s="136" t="str">
        <x:v>Victory_Conquest_3</x:v>
      </x:c>
      <x:c r="F853" s="137" t="n">
        <x:v>1772.6339111328125</x:v>
      </x:c>
      <x:c r="G853" s="137" t="n">
        <x:v>1724.0633544921875</x:v>
      </x:c>
      <x:c r="H853" s="137" t="n">
        <x:v>61.47676467895508</x:v>
      </x:c>
      <x:c r="I853" s="137" t="n">
        <x:v>996.8281434549743</x:v>
      </x:c>
      <x:c r="J853" s="137" t="n">
        <x:v>1226.6384489683103</x:v>
      </x:c>
      <x:c r="K853" s="136" t="str">
        <x:v>map-38</x:v>
      </x:c>
      <x:c r="L853" s="136" t="str">
        <x:v>DrillCamp | Contention | Railroad Cut||Objective | Victory_Conquest_3 [map-38/010]</x:v>
      </x:c>
      <x:c r="M853" s="35"/>
      <x:c r="N853" s="35"/>
      <x:c r="O853" s="35"/>
      <x:c r="P853" s="35"/>
      <x:c r="Q853" s="35"/>
      <x:c r="R853" s="35"/>
      <x:c r="S853" s="35"/>
      <x:c r="T853" s="35"/>
      <x:c r="U853" s="35"/>
      <x:c r="V853" s="35"/>
      <x:c r="W853" s="35"/>
      <x:c r="X853" s="35"/>
      <x:c r="Y853" s="35"/>
      <x:c r="Z853" s="35"/>
      <x:c r="AA853" s="35"/>
    </x:row>
    <x:row r="854">
      <x:c r="A854" s="136" t="str">
        <x:v>DrillCamp | Contention | Railroad Cut</x:v>
      </x:c>
      <x:c r="B854" s="136" t="str">
        <x:v>Artillery | USA CQ3_Spawnpoint_USA_Artillery_Staging [map-38/011]</x:v>
      </x:c>
      <x:c r="C854" s="136" t="str">
        <x:v>battery</x:v>
      </x:c>
      <x:c r="D854" s="136" t="str">
        <x:v>USA</x:v>
      </x:c>
      <x:c r="E854" s="136" t="str">
        <x:v>CQ3_Spawnpoint_USA_Artillery_Staging</x:v>
      </x:c>
      <x:c r="F854" s="137" t="n">
        <x:v>2091.148193359375</x:v>
      </x:c>
      <x:c r="G854" s="137" t="n">
        <x:v>1730.58642578125</x:v>
      </x:c>
      <x:c r="H854" s="137" t="n">
        <x:v>77.5945053100586</x:v>
      </x:c>
      <x:c r="I854" s="137" t="n">
        <x:v>1793.3083016872115</x:v>
      </x:c>
      <x:c r="J854" s="137" t="n">
        <x:v>1210.306847480873</x:v>
      </x:c>
      <x:c r="K854" s="136" t="str">
        <x:v>map-38</x:v>
      </x:c>
      <x:c r="L854" s="136" t="str">
        <x:v>DrillCamp | Contention | Railroad Cut||Artillery | USA CQ3_Spawnpoint_USA_Artillery_Staging [map-38/011]</x:v>
      </x:c>
      <x:c r="M854" s="35"/>
      <x:c r="N854" s="35"/>
      <x:c r="O854" s="35"/>
      <x:c r="P854" s="35"/>
      <x:c r="Q854" s="35"/>
      <x:c r="R854" s="35"/>
      <x:c r="S854" s="35"/>
      <x:c r="T854" s="35"/>
      <x:c r="U854" s="35"/>
      <x:c r="V854" s="35"/>
      <x:c r="W854" s="35"/>
      <x:c r="X854" s="35"/>
      <x:c r="Y854" s="35"/>
      <x:c r="Z854" s="35"/>
      <x:c r="AA854" s="35"/>
    </x:row>
    <x:row r="855">
      <x:c r="A855" s="136" t="str">
        <x:v>DrillCamp | Contention | Railroad Cut</x:v>
      </x:c>
      <x:c r="B855" s="136" t="str">
        <x:v>Gun | 3-inch Ordnance · Entity-1655 [map-38/012]</x:v>
      </x:c>
      <x:c r="C855" s="136" t="str">
        <x:v>gun_spawn</x:v>
      </x:c>
      <x:c r="D855" s="136" t="str"/>
      <x:c r="E855" s="136" t="str">
        <x:v>3-inch Ordnance · Entity-1655</x:v>
      </x:c>
      <x:c r="F855" s="137" t="n">
        <x:v>1679.070556640625</x:v>
      </x:c>
      <x:c r="G855" s="137" t="n">
        <x:v>1604.6519775390625</x:v>
      </x:c>
      <x:c r="H855" s="137" t="n">
        <x:v>56.886783599853516</x:v>
      </x:c>
      <x:c r="I855" s="137" t="n">
        <x:v>762.8626368857317</x:v>
      </x:c>
      <x:c r="J855" s="137" t="n">
        <x:v>1525.6048307606593</x:v>
      </x:c>
      <x:c r="K855" s="136" t="str">
        <x:v>map-38</x:v>
      </x:c>
      <x:c r="L855" s="136" t="str">
        <x:v>DrillCamp | Contention | Railroad Cut||Gun | 3-inch Ordnance · Entity-1655 [map-38/012]</x:v>
      </x:c>
      <x:c r="M855" s="35"/>
      <x:c r="N855" s="35"/>
      <x:c r="O855" s="35"/>
      <x:c r="P855" s="35"/>
      <x:c r="Q855" s="35"/>
      <x:c r="R855" s="35"/>
      <x:c r="S855" s="35"/>
      <x:c r="T855" s="35"/>
      <x:c r="U855" s="35"/>
      <x:c r="V855" s="35"/>
      <x:c r="W855" s="35"/>
      <x:c r="X855" s="35"/>
      <x:c r="Y855" s="35"/>
      <x:c r="Z855" s="35"/>
      <x:c r="AA855" s="35"/>
    </x:row>
    <x:row r="856">
      <x:c r="A856" s="136" t="str">
        <x:v>DrillCamp | Contention | Railroad Cut</x:v>
      </x:c>
      <x:c r="B856" s="136" t="str">
        <x:v>Gun | 3-inch Ordnance · Entity-1676 [map-38/013]</x:v>
      </x:c>
      <x:c r="C856" s="136" t="str">
        <x:v>gun_spawn</x:v>
      </x:c>
      <x:c r="D856" s="136" t="str"/>
      <x:c r="E856" s="136" t="str">
        <x:v>3-inch Ordnance · Entity-1676</x:v>
      </x:c>
      <x:c r="F856" s="137" t="n">
        <x:v>2060.839111328125</x:v>
      </x:c>
      <x:c r="G856" s="137" t="n">
        <x:v>1930.7364501953125</x:v>
      </x:c>
      <x:c r="H856" s="137" t="n">
        <x:v>64.84423828125</x:v>
      </x:c>
      <x:c r="I856" s="137" t="n">
        <x:v>1717.5170929433837</x:v>
      </x:c>
      <x:c r="J856" s="137" t="n">
        <x:v>709.1977392741057</x:v>
      </x:c>
      <x:c r="K856" s="136" t="str">
        <x:v>map-38</x:v>
      </x:c>
      <x:c r="L856" s="136" t="str">
        <x:v>DrillCamp | Contention | Railroad Cut||Gun | 3-inch Ordnance · Entity-1676 [map-38/013]</x:v>
      </x:c>
      <x:c r="M856" s="35"/>
      <x:c r="N856" s="35"/>
      <x:c r="O856" s="35"/>
      <x:c r="P856" s="35"/>
      <x:c r="Q856" s="35"/>
      <x:c r="R856" s="35"/>
      <x:c r="S856" s="35"/>
      <x:c r="T856" s="35"/>
      <x:c r="U856" s="35"/>
      <x:c r="V856" s="35"/>
      <x:c r="W856" s="35"/>
      <x:c r="X856" s="35"/>
      <x:c r="Y856" s="35"/>
      <x:c r="Z856" s="35"/>
      <x:c r="AA856" s="35"/>
    </x:row>
    <x:row r="857">
      <x:c r="A857" s="136" t="str">
        <x:v>DrillCamp | Contention | Railroad Cut</x:v>
      </x:c>
      <x:c r="B857" s="136" t="str">
        <x:v>Gun | 12-pounder Napoleon (USA) · Entity-1659 [map-38/014]</x:v>
      </x:c>
      <x:c r="C857" s="136" t="str">
        <x:v>gun_spawn</x:v>
      </x:c>
      <x:c r="D857" s="136" t="str"/>
      <x:c r="E857" s="136" t="str">
        <x:v>12-pounder Napoleon (USA) · Entity-1659</x:v>
      </x:c>
      <x:c r="F857" s="137" t="n">
        <x:v>1715.2489013671875</x:v>
      </x:c>
      <x:c r="G857" s="137" t="n">
        <x:v>1566.5028076171875</x:v>
      </x:c>
      <x:c r="H857" s="137" t="n">
        <x:v>59.24574279785156</x:v>
      </x:c>
      <x:c r="I857" s="137" t="n">
        <x:v>853.3305855471242</x:v>
      </x:c>
      <x:c r="J857" s="137" t="n">
        <x:v>1621.1176670660448</x:v>
      </x:c>
      <x:c r="K857" s="136" t="str">
        <x:v>map-38</x:v>
      </x:c>
      <x:c r="L857" s="136" t="str">
        <x:v>DrillCamp | Contention | Railroad Cut||Gun | 12-pounder Napoleon (USA) · Entity-1659 [map-38/014]</x:v>
      </x:c>
      <x:c r="M857" s="35"/>
      <x:c r="N857" s="35"/>
      <x:c r="O857" s="35"/>
      <x:c r="P857" s="35"/>
      <x:c r="Q857" s="35"/>
      <x:c r="R857" s="35"/>
      <x:c r="S857" s="35"/>
      <x:c r="T857" s="35"/>
      <x:c r="U857" s="35"/>
      <x:c r="V857" s="35"/>
      <x:c r="W857" s="35"/>
      <x:c r="X857" s="35"/>
      <x:c r="Y857" s="35"/>
      <x:c r="Z857" s="35"/>
      <x:c r="AA857" s="35"/>
    </x:row>
    <x:row r="858">
      <x:c r="A858" s="136" t="str">
        <x:v>DrillCamp | Contention | Railroad Cut</x:v>
      </x:c>
      <x:c r="B858" s="136" t="str">
        <x:v>Gun | 12-pounder Napoleon (USA) · Entity-1658 [map-38/015]</x:v>
      </x:c>
      <x:c r="C858" s="136" t="str">
        <x:v>gun_spawn</x:v>
      </x:c>
      <x:c r="D858" s="136" t="str"/>
      <x:c r="E858" s="136" t="str">
        <x:v>12-pounder Napoleon (USA) · Entity-1658</x:v>
      </x:c>
      <x:c r="F858" s="137" t="n">
        <x:v>1708.2061767578125</x:v>
      </x:c>
      <x:c r="G858" s="137" t="n">
        <x:v>1573.12158203125</x:v>
      </x:c>
      <x:c r="H858" s="137" t="n">
        <x:v>58.736202239990234</x:v>
      </x:c>
      <x:c r="I858" s="137" t="n">
        <x:v>835.7194744470228</x:v>
      </x:c>
      <x:c r="J858" s="137" t="n">
        <x:v>1604.5464567763515</x:v>
      </x:c>
      <x:c r="K858" s="136" t="str">
        <x:v>map-38</x:v>
      </x:c>
      <x:c r="L858" s="136" t="str">
        <x:v>DrillCamp | Contention | Railroad Cut||Gun | 12-pounder Napoleon (USA) · Entity-1658 [map-38/015]</x:v>
      </x:c>
      <x:c r="M858" s="35"/>
      <x:c r="N858" s="35"/>
      <x:c r="O858" s="35"/>
      <x:c r="P858" s="35"/>
      <x:c r="Q858" s="35"/>
      <x:c r="R858" s="35"/>
      <x:c r="S858" s="35"/>
      <x:c r="T858" s="35"/>
      <x:c r="U858" s="35"/>
      <x:c r="V858" s="35"/>
      <x:c r="W858" s="35"/>
      <x:c r="X858" s="35"/>
      <x:c r="Y858" s="35"/>
      <x:c r="Z858" s="35"/>
      <x:c r="AA858" s="35"/>
    </x:row>
    <x:row r="859">
      <x:c r="A859" s="136" t="str">
        <x:v>DrillCamp | Contention | Railroad Cut</x:v>
      </x:c>
      <x:c r="B859" s="136" t="str">
        <x:v>Gun | 12-pounder Napoleon (CSA) · Entity-1673 [map-38/016]</x:v>
      </x:c>
      <x:c r="C859" s="136" t="str">
        <x:v>gun_spawn</x:v>
      </x:c>
      <x:c r="D859" s="136" t="str"/>
      <x:c r="E859" s="136" t="str">
        <x:v>12-pounder Napoleon (CSA) · Entity-1673</x:v>
      </x:c>
      <x:c r="F859" s="137" t="n">
        <x:v>2054.844482421875</x:v>
      </x:c>
      <x:c r="G859" s="137" t="n">
        <x:v>1952.8607177734375</x:v>
      </x:c>
      <x:c r="H859" s="137" t="n">
        <x:v>62.22276306152344</x:v>
      </x:c>
      <x:c r="I859" s="137" t="n">
        <x:v>1702.526860962523</x:v>
      </x:c>
      <x:c r="J859" s="137" t="n">
        <x:v>653.8059299138108</x:v>
      </x:c>
      <x:c r="K859" s="136" t="str">
        <x:v>map-38</x:v>
      </x:c>
      <x:c r="L859" s="136" t="str">
        <x:v>DrillCamp | Contention | Railroad Cut||Gun | 12-pounder Napoleon (CSA) · Entity-1673 [map-38/016]</x:v>
      </x:c>
      <x:c r="M859" s="35"/>
      <x:c r="N859" s="35"/>
      <x:c r="O859" s="35"/>
      <x:c r="P859" s="35"/>
      <x:c r="Q859" s="35"/>
      <x:c r="R859" s="35"/>
      <x:c r="S859" s="35"/>
      <x:c r="T859" s="35"/>
      <x:c r="U859" s="35"/>
      <x:c r="V859" s="35"/>
      <x:c r="W859" s="35"/>
      <x:c r="X859" s="35"/>
      <x:c r="Y859" s="35"/>
      <x:c r="Z859" s="35"/>
      <x:c r="AA859" s="35"/>
    </x:row>
    <x:row r="860">
      <x:c r="A860" s="136" t="str">
        <x:v>DrillCamp | Contention | Railroad Cut</x:v>
      </x:c>
      <x:c r="B860" s="136" t="str">
        <x:v>Gun | 3-inch Ordnance · Entity-1677 [map-38/017]</x:v>
      </x:c>
      <x:c r="C860" s="136" t="str">
        <x:v>gun_spawn</x:v>
      </x:c>
      <x:c r="D860" s="136" t="str"/>
      <x:c r="E860" s="136" t="str">
        <x:v>3-inch Ordnance · Entity-1677</x:v>
      </x:c>
      <x:c r="F860" s="137" t="n">
        <x:v>2062.214111328125</x:v>
      </x:c>
      <x:c r="G860" s="137" t="n">
        <x:v>1923.4969482421875</x:v>
      </x:c>
      <x:c r="H860" s="137" t="n">
        <x:v>65.81477355957031</x:v>
      </x:c>
      <x:c r="I860" s="137" t="n">
        <x:v>1720.9554323795737</x:v>
      </x:c>
      <x:c r="J860" s="137" t="n">
        <x:v>727.3230449202675</x:v>
      </x:c>
      <x:c r="K860" s="136" t="str">
        <x:v>map-38</x:v>
      </x:c>
      <x:c r="L860" s="136" t="str">
        <x:v>DrillCamp | Contention | Railroad Cut||Gun | 3-inch Ordnance · Entity-1677 [map-38/017]</x:v>
      </x:c>
      <x:c r="M860" s="35"/>
      <x:c r="N860" s="35"/>
      <x:c r="O860" s="35"/>
      <x:c r="P860" s="35"/>
      <x:c r="Q860" s="35"/>
      <x:c r="R860" s="35"/>
      <x:c r="S860" s="35"/>
      <x:c r="T860" s="35"/>
      <x:c r="U860" s="35"/>
      <x:c r="V860" s="35"/>
      <x:c r="W860" s="35"/>
      <x:c r="X860" s="35"/>
      <x:c r="Y860" s="35"/>
      <x:c r="Z860" s="35"/>
      <x:c r="AA860" s="35"/>
    </x:row>
    <x:row r="861">
      <x:c r="A861" s="136" t="str">
        <x:v>DrillCamp | Contention | Railroad Cut</x:v>
      </x:c>
      <x:c r="B861" s="136" t="str">
        <x:v>Gun | 3-inch Ordnance · Entity-1675 [map-38/018]</x:v>
      </x:c>
      <x:c r="C861" s="136" t="str">
        <x:v>gun_spawn</x:v>
      </x:c>
      <x:c r="D861" s="136" t="str"/>
      <x:c r="E861" s="136" t="str">
        <x:v>3-inch Ordnance · Entity-1675</x:v>
      </x:c>
      <x:c r="F861" s="137" t="n">
        <x:v>2059.09130859375</x:v>
      </x:c>
      <x:c r="G861" s="137" t="n">
        <x:v>1938.224365234375</x:v>
      </x:c>
      <x:c r="H861" s="137" t="n">
        <x:v>63.968177795410156</x:v>
      </x:c>
      <x:c r="I861" s="137" t="n">
        <x:v>1713.146519075542</x:v>
      </x:c>
      <x:c r="J861" s="137" t="n">
        <x:v>690.4504898618843</x:v>
      </x:c>
      <x:c r="K861" s="136" t="str">
        <x:v>map-38</x:v>
      </x:c>
      <x:c r="L861" s="136" t="str">
        <x:v>DrillCamp | Contention | Railroad Cut||Gun | 3-inch Ordnance · Entity-1675 [map-38/018]</x:v>
      </x:c>
      <x:c r="M861" s="35"/>
      <x:c r="N861" s="35"/>
      <x:c r="O861" s="35"/>
      <x:c r="P861" s="35"/>
      <x:c r="Q861" s="35"/>
      <x:c r="R861" s="35"/>
      <x:c r="S861" s="35"/>
      <x:c r="T861" s="35"/>
      <x:c r="U861" s="35"/>
      <x:c r="V861" s="35"/>
      <x:c r="W861" s="35"/>
      <x:c r="X861" s="35"/>
      <x:c r="Y861" s="35"/>
      <x:c r="Z861" s="35"/>
      <x:c r="AA861" s="35"/>
    </x:row>
    <x:row r="862">
      <x:c r="A862" s="136" t="str">
        <x:v>DrillCamp | Contention | Railroad Cut</x:v>
      </x:c>
      <x:c r="B862" s="136" t="str">
        <x:v>Gun | 12-pounder Napoleon (CSA) · Entity-1672 [map-38/019]</x:v>
      </x:c>
      <x:c r="C862" s="136" t="str">
        <x:v>gun_spawn</x:v>
      </x:c>
      <x:c r="D862" s="136" t="str"/>
      <x:c r="E862" s="136" t="str">
        <x:v>12-pounder Napoleon (CSA) · Entity-1672</x:v>
      </x:c>
      <x:c r="F862" s="137" t="n">
        <x:v>2052.404541015625</x:v>
      </x:c>
      <x:c r="G862" s="137" t="n">
        <x:v>1962.48046875</x:v>
      </x:c>
      <x:c r="H862" s="137" t="n">
        <x:v>61.186553955078125</x:v>
      </x:c>
      <x:c r="I862" s="137" t="n">
        <x:v>1696.4255178649942</x:v>
      </x:c>
      <x:c r="J862" s="137" t="n">
        <x:v>629.7212721819494</x:v>
      </x:c>
      <x:c r="K862" s="136" t="str">
        <x:v>map-38</x:v>
      </x:c>
      <x:c r="L862" s="136" t="str">
        <x:v>DrillCamp | Contention | Railroad Cut||Gun | 12-pounder Napoleon (CSA) · Entity-1672 [map-38/019]</x:v>
      </x:c>
      <x:c r="M862" s="35"/>
      <x:c r="N862" s="35"/>
      <x:c r="O862" s="35"/>
      <x:c r="P862" s="35"/>
      <x:c r="Q862" s="35"/>
      <x:c r="R862" s="35"/>
      <x:c r="S862" s="35"/>
      <x:c r="T862" s="35"/>
      <x:c r="U862" s="35"/>
      <x:c r="V862" s="35"/>
      <x:c r="W862" s="35"/>
      <x:c r="X862" s="35"/>
      <x:c r="Y862" s="35"/>
      <x:c r="Z862" s="35"/>
      <x:c r="AA862" s="35"/>
    </x:row>
    <x:row r="863">
      <x:c r="A863" s="136" t="str">
        <x:v>DrillCamp | Contention | Railroad Cut</x:v>
      </x:c>
      <x:c r="B863" s="136" t="str">
        <x:v>Gun | 3-inch Ordnance · Entity-1654 [map-38/020]</x:v>
      </x:c>
      <x:c r="C863" s="136" t="str">
        <x:v>gun_spawn</x:v>
      </x:c>
      <x:c r="D863" s="136" t="str"/>
      <x:c r="E863" s="136" t="str">
        <x:v>3-inch Ordnance · Entity-1654</x:v>
      </x:c>
      <x:c r="F863" s="137" t="n">
        <x:v>1672.5887451171875</x:v>
      </x:c>
      <x:c r="G863" s="137" t="n">
        <x:v>1610.6297607421875</x:v>
      </x:c>
      <x:c r="H863" s="137" t="n">
        <x:v>55.72909927368164</x:v>
      </x:c>
      <x:c r="I863" s="137" t="n">
        <x:v>746.6541509373786</x:v>
      </x:c>
      <x:c r="J863" s="137" t="n">
        <x:v>1510.638449323831</x:v>
      </x:c>
      <x:c r="K863" s="136" t="str">
        <x:v>map-38</x:v>
      </x:c>
      <x:c r="L863" s="136" t="str">
        <x:v>DrillCamp | Contention | Railroad Cut||Gun | 3-inch Ordnance · Entity-1654 [map-38/020]</x:v>
      </x:c>
      <x:c r="M863" s="35"/>
      <x:c r="N863" s="35"/>
      <x:c r="O863" s="35"/>
      <x:c r="P863" s="35"/>
      <x:c r="Q863" s="35"/>
      <x:c r="R863" s="35"/>
      <x:c r="S863" s="35"/>
      <x:c r="T863" s="35"/>
      <x:c r="U863" s="35"/>
      <x:c r="V863" s="35"/>
      <x:c r="W863" s="35"/>
      <x:c r="X863" s="35"/>
      <x:c r="Y863" s="35"/>
      <x:c r="Z863" s="35"/>
      <x:c r="AA863" s="35"/>
    </x:row>
    <x:row r="864">
      <x:c r="A864" s="136" t="str">
        <x:v>DrillCamp | Contention | Railroad Cut</x:v>
      </x:c>
      <x:c r="B864" s="136" t="str">
        <x:v>Gun | 3-inch Ordnance · Entity-1656 [map-38/021]</x:v>
      </x:c>
      <x:c r="C864" s="136" t="str">
        <x:v>gun_spawn</x:v>
      </x:c>
      <x:c r="D864" s="136" t="str"/>
      <x:c r="E864" s="136" t="str">
        <x:v>3-inch Ordnance · Entity-1656</x:v>
      </x:c>
      <x:c r="F864" s="137" t="n">
        <x:v>1684.5743408203125</x:v>
      </x:c>
      <x:c r="G864" s="137" t="n">
        <x:v>1599.7047119140625</x:v>
      </x:c>
      <x:c r="H864" s="137" t="n">
        <x:v>57.64564514160156</x:v>
      </x:c>
      <x:c r="I864" s="137" t="n">
        <x:v>776.6254573899485</x:v>
      </x:c>
      <x:c r="J864" s="137" t="n">
        <x:v>1537.9911388446246</x:v>
      </x:c>
      <x:c r="K864" s="136" t="str">
        <x:v>map-38</x:v>
      </x:c>
      <x:c r="L864" s="136" t="str">
        <x:v>DrillCamp | Contention | Railroad Cut||Gun | 3-inch Ordnance · Entity-1656 [map-38/021]</x:v>
      </x:c>
      <x:c r="M864" s="35"/>
      <x:c r="N864" s="35"/>
      <x:c r="O864" s="35"/>
      <x:c r="P864" s="35"/>
      <x:c r="Q864" s="35"/>
      <x:c r="R864" s="35"/>
      <x:c r="S864" s="35"/>
      <x:c r="T864" s="35"/>
      <x:c r="U864" s="35"/>
      <x:c r="V864" s="35"/>
      <x:c r="W864" s="35"/>
      <x:c r="X864" s="35"/>
      <x:c r="Y864" s="35"/>
      <x:c r="Z864" s="35"/>
      <x:c r="AA864" s="35"/>
    </x:row>
    <x:row r="865">
      <x:c r="A865" s="136" t="str">
        <x:v>DrillCamp | Contention | Railroad Cut</x:v>
      </x:c>
      <x:c r="B865" s="136" t="str">
        <x:v>Gun | 12-pounder Napoleon (USA) · Entity-1657 [map-38/022]</x:v>
      </x:c>
      <x:c r="C865" s="136" t="str">
        <x:v>gun_spawn</x:v>
      </x:c>
      <x:c r="D865" s="136" t="str"/>
      <x:c r="E865" s="136" t="str">
        <x:v>12-pounder Napoleon (USA) · Entity-1657</x:v>
      </x:c>
      <x:c r="F865" s="137" t="n">
        <x:v>1701.0660400390625</x:v>
      </x:c>
      <x:c r="G865" s="137" t="n">
        <x:v>1579.403076171875</x:v>
      </x:c>
      <x:c r="H865" s="137" t="n">
        <x:v>58.842201232910156</x:v>
      </x:c>
      <x:c r="I865" s="137" t="n">
        <x:v>817.8647736034839</x:v>
      </x:c>
      <x:c r="J865" s="137" t="n">
        <x:v>1588.8196841405274</x:v>
      </x:c>
      <x:c r="K865" s="136" t="str">
        <x:v>map-38</x:v>
      </x:c>
      <x:c r="L865" s="136" t="str">
        <x:v>DrillCamp | Contention | Railroad Cut||Gun | 12-pounder Napoleon (USA) · Entity-1657 [map-38/022]</x:v>
      </x:c>
      <x:c r="M865" s="35"/>
      <x:c r="N865" s="35"/>
      <x:c r="O865" s="35"/>
      <x:c r="P865" s="35"/>
      <x:c r="Q865" s="35"/>
      <x:c r="R865" s="35"/>
      <x:c r="S865" s="35"/>
      <x:c r="T865" s="35"/>
      <x:c r="U865" s="35"/>
      <x:c r="V865" s="35"/>
      <x:c r="W865" s="35"/>
      <x:c r="X865" s="35"/>
      <x:c r="Y865" s="35"/>
      <x:c r="Z865" s="35"/>
      <x:c r="AA865" s="35"/>
    </x:row>
    <x:row r="866">
      <x:c r="A866" s="136" t="str">
        <x:v>DrillCamp | Contention | Railroad Cut</x:v>
      </x:c>
      <x:c r="B866" s="136" t="str">
        <x:v>Gun | 12-pounder Napoleon (USA) · Entity-1674 [map-38/023]</x:v>
      </x:c>
      <x:c r="C866" s="136" t="str">
        <x:v>gun_spawn</x:v>
      </x:c>
      <x:c r="D866" s="136" t="str"/>
      <x:c r="E866" s="136" t="str">
        <x:v>12-pounder Napoleon (USA) · Entity-1674</x:v>
      </x:c>
      <x:c r="F866" s="137" t="n">
        <x:v>2056.93359375</x:v>
      </x:c>
      <x:c r="G866" s="137" t="n">
        <x:v>1944.6904296875</x:v>
      </x:c>
      <x:c r="H866" s="137" t="n">
        <x:v>63.207481384277344</x:v>
      </x:c>
      <x:c r="I866" s="137" t="n">
        <x:v>1707.7509146833108</x:v>
      </x:c>
      <x:c r="J866" s="137" t="n">
        <x:v>674.2616145359949</x:v>
      </x:c>
      <x:c r="K866" s="136" t="str">
        <x:v>map-38</x:v>
      </x:c>
      <x:c r="L866" s="136" t="str">
        <x:v>DrillCamp | Contention | Railroad Cut||Gun | 12-pounder Napoleon (USA) · Entity-1674 [map-38/023]</x:v>
      </x:c>
      <x:c r="M866" s="35"/>
      <x:c r="N866" s="35"/>
      <x:c r="O866" s="35"/>
      <x:c r="P866" s="35"/>
      <x:c r="Q866" s="35"/>
      <x:c r="R866" s="35"/>
      <x:c r="S866" s="35"/>
      <x:c r="T866" s="35"/>
      <x:c r="U866" s="35"/>
      <x:c r="V866" s="35"/>
      <x:c r="W866" s="35"/>
      <x:c r="X866" s="35"/>
      <x:c r="Y866" s="35"/>
      <x:c r="Z866" s="35"/>
      <x:c r="AA866" s="35"/>
    </x:row>
    <x:row r="867">
      <x:c r="A867" s="136" t="str">
        <x:v>DrillCamp | Contention | Towering Trunks</x:v>
      </x:c>
      <x:c r="B867" s="136" t="str">
        <x:v>Spawn | CSA CQ4_Spawnpoint_CSA_Infantry_2 [map-39/001]</x:v>
      </x:c>
      <x:c r="C867" s="136" t="str">
        <x:v>spawn</x:v>
      </x:c>
      <x:c r="D867" s="136" t="str">
        <x:v>CSA</x:v>
      </x:c>
      <x:c r="E867" s="136" t="str">
        <x:v>CQ4_Spawnpoint_CSA_Infantry_2</x:v>
      </x:c>
      <x:c r="F867" s="137" t="n">
        <x:v>885.7593383789062</x:v>
      </x:c>
      <x:c r="G867" s="137" t="n">
        <x:v>1527.424560546875</x:v>
      </x:c>
      <x:c r="H867" s="137" t="n">
        <x:v>72.97930145263672</x:v>
      </x:c>
      <x:c r="I867" s="137" t="n">
        <x:v>629.0651970644069</x:v>
      </x:c>
      <x:c r="J867" s="137" t="n">
        <x:v>1498.7637864728201</x:v>
      </x:c>
      <x:c r="K867" s="136" t="str">
        <x:v>map-39</x:v>
      </x:c>
      <x:c r="L867" s="136" t="str">
        <x:v>DrillCamp | Contention | Towering Trunks||Spawn | CSA CQ4_Spawnpoint_CSA_Infantry_2 [map-39/001]</x:v>
      </x:c>
      <x:c r="M867" s="35"/>
      <x:c r="N867" s="35"/>
      <x:c r="O867" s="35"/>
      <x:c r="P867" s="35"/>
      <x:c r="Q867" s="35"/>
      <x:c r="R867" s="35"/>
      <x:c r="S867" s="35"/>
      <x:c r="T867" s="35"/>
      <x:c r="U867" s="35"/>
      <x:c r="V867" s="35"/>
      <x:c r="W867" s="35"/>
      <x:c r="X867" s="35"/>
      <x:c r="Y867" s="35"/>
      <x:c r="Z867" s="35"/>
      <x:c r="AA867" s="35"/>
    </x:row>
    <x:row r="868">
      <x:c r="A868" s="136" t="str">
        <x:v>DrillCamp | Contention | Towering Trunks</x:v>
      </x:c>
      <x:c r="B868" s="136" t="str">
        <x:v>Spawn | USA CQ4_Spawnpoint_USA_Infantry_2 [map-39/002]</x:v>
      </x:c>
      <x:c r="C868" s="136" t="str">
        <x:v>spawn</x:v>
      </x:c>
      <x:c r="D868" s="136" t="str">
        <x:v>USA</x:v>
      </x:c>
      <x:c r="E868" s="136" t="str">
        <x:v>CQ4_Spawnpoint_USA_Infantry_2</x:v>
      </x:c>
      <x:c r="F868" s="137" t="n">
        <x:v>1075.8701171875</x:v>
      </x:c>
      <x:c r="G868" s="137" t="n">
        <x:v>2390.31982421875</x:v>
      </x:c>
      <x:c r="H868" s="137" t="n">
        <x:v>58.503780364990234</x:v>
      </x:c>
      <x:c r="I868" s="137" t="n">
        <x:v>923.8016657630482</x:v>
      </x:c>
      <x:c r="J868" s="137" t="n">
        <x:v>158.73024922361904</x:v>
      </x:c>
      <x:c r="K868" s="136" t="str">
        <x:v>map-39</x:v>
      </x:c>
      <x:c r="L868" s="136" t="str">
        <x:v>DrillCamp | Contention | Towering Trunks||Spawn | USA CQ4_Spawnpoint_USA_Infantry_2 [map-39/002]</x:v>
      </x:c>
      <x:c r="M868" s="35"/>
      <x:c r="N868" s="35"/>
      <x:c r="O868" s="35"/>
      <x:c r="P868" s="35"/>
      <x:c r="Q868" s="35"/>
      <x:c r="R868" s="35"/>
      <x:c r="S868" s="35"/>
      <x:c r="T868" s="35"/>
      <x:c r="U868" s="35"/>
      <x:c r="V868" s="35"/>
      <x:c r="W868" s="35"/>
      <x:c r="X868" s="35"/>
      <x:c r="Y868" s="35"/>
      <x:c r="Z868" s="35"/>
      <x:c r="AA868" s="35"/>
    </x:row>
    <x:row r="869">
      <x:c r="A869" s="136" t="str">
        <x:v>DrillCamp | Contention | Towering Trunks</x:v>
      </x:c>
      <x:c r="B869" s="136" t="str">
        <x:v>Objective | Victory_Conquest_4 [map-39/003]</x:v>
      </x:c>
      <x:c r="C869" s="136" t="str">
        <x:v>objective</x:v>
      </x:c>
      <x:c r="D869" s="136" t="str"/>
      <x:c r="E869" s="136" t="str">
        <x:v>Victory_Conquest_4</x:v>
      </x:c>
      <x:c r="F869" s="137" t="n">
        <x:v>1336.05517578125</x:v>
      </x:c>
      <x:c r="G869" s="137" t="n">
        <x:v>1556.8311767578125</x:v>
      </x:c>
      <x:c r="H869" s="137" t="n">
        <x:v>56.493370056152344</x:v>
      </x:c>
      <x:c r="I869" s="137" t="n">
        <x:v>1327.1771390458098</x:v>
      </x:c>
      <x:c r="J869" s="137" t="n">
        <x:v>1452.5751120521231</x:v>
      </x:c>
      <x:c r="K869" s="136" t="str">
        <x:v>map-39</x:v>
      </x:c>
      <x:c r="L869" s="136" t="str">
        <x:v>DrillCamp | Contention | Towering Trunks||Objective | Victory_Conquest_4 [map-39/003]</x:v>
      </x:c>
      <x:c r="M869" s="35"/>
      <x:c r="N869" s="35"/>
      <x:c r="O869" s="35"/>
      <x:c r="P869" s="35"/>
      <x:c r="Q869" s="35"/>
      <x:c r="R869" s="35"/>
      <x:c r="S869" s="35"/>
      <x:c r="T869" s="35"/>
      <x:c r="U869" s="35"/>
      <x:c r="V869" s="35"/>
      <x:c r="W869" s="35"/>
      <x:c r="X869" s="35"/>
      <x:c r="Y869" s="35"/>
      <x:c r="Z869" s="35"/>
      <x:c r="AA869" s="35"/>
    </x:row>
    <x:row r="870">
      <x:c r="A870" s="136" t="str">
        <x:v>DrillCamp | Contention | Towering Trunks</x:v>
      </x:c>
      <x:c r="B870" s="136" t="str">
        <x:v>Spawn | CSA CQ4_Spawnpoint_CSA_Infantry_1 [map-39/004]</x:v>
      </x:c>
      <x:c r="C870" s="136" t="str">
        <x:v>spawn</x:v>
      </x:c>
      <x:c r="D870" s="136" t="str">
        <x:v>CSA</x:v>
      </x:c>
      <x:c r="E870" s="136" t="str">
        <x:v>CQ4_Spawnpoint_CSA_Infantry_1</x:v>
      </x:c>
      <x:c r="F870" s="137" t="n">
        <x:v>896.4156494140625</x:v>
      </x:c>
      <x:c r="G870" s="137" t="n">
        <x:v>1551.9622802734375</x:v>
      </x:c>
      <x:c r="H870" s="137" t="n">
        <x:v>73.2861099243164</x:v>
      </x:c>
      <x:c r="I870" s="137" t="n">
        <x:v>645.5861092585467</x:v>
      </x:c>
      <x:c r="J870" s="137" t="n">
        <x:v>1460.6517539601425</x:v>
      </x:c>
      <x:c r="K870" s="136" t="str">
        <x:v>map-39</x:v>
      </x:c>
      <x:c r="L870" s="136" t="str">
        <x:v>DrillCamp | Contention | Towering Trunks||Spawn | CSA CQ4_Spawnpoint_CSA_Infantry_1 [map-39/004]</x:v>
      </x:c>
      <x:c r="M870" s="35"/>
      <x:c r="N870" s="35"/>
      <x:c r="O870" s="35"/>
      <x:c r="P870" s="35"/>
      <x:c r="Q870" s="35"/>
      <x:c r="R870" s="35"/>
      <x:c r="S870" s="35"/>
      <x:c r="T870" s="35"/>
      <x:c r="U870" s="35"/>
      <x:c r="V870" s="35"/>
      <x:c r="W870" s="35"/>
      <x:c r="X870" s="35"/>
      <x:c r="Y870" s="35"/>
      <x:c r="Z870" s="35"/>
      <x:c r="AA870" s="35"/>
    </x:row>
    <x:row r="871">
      <x:c r="A871" s="136" t="str">
        <x:v>DrillCamp | Contention | Towering Trunks</x:v>
      </x:c>
      <x:c r="B871" s="136" t="str">
        <x:v>Spawn | CSA CQ4_Spawnpoint_CSA_Cavalry_0 [map-39/005]</x:v>
      </x:c>
      <x:c r="C871" s="136" t="str">
        <x:v>spawn</x:v>
      </x:c>
      <x:c r="D871" s="136" t="str">
        <x:v>CSA</x:v>
      </x:c>
      <x:c r="E871" s="136" t="str">
        <x:v>CQ4_Spawnpoint_CSA_Cavalry_0</x:v>
      </x:c>
      <x:c r="F871" s="137" t="n">
        <x:v>812.5064697265625</x:v>
      </x:c>
      <x:c r="G871" s="137" t="n">
        <x:v>1300.89990234375</x:v>
      </x:c>
      <x:c r="H871" s="137" t="n">
        <x:v>80.63969421386719</x:v>
      </x:c>
      <x:c r="I871" s="137" t="n">
        <x:v>515.4982969446897</x:v>
      </x:c>
      <x:c r="J871" s="137" t="n">
        <x:v>1850.5727831838492</x:v>
      </x:c>
      <x:c r="K871" s="136" t="str">
        <x:v>map-39</x:v>
      </x:c>
      <x:c r="L871" s="136" t="str">
        <x:v>DrillCamp | Contention | Towering Trunks||Spawn | CSA CQ4_Spawnpoint_CSA_Cavalry_0 [map-39/005]</x:v>
      </x:c>
      <x:c r="M871" s="35"/>
      <x:c r="N871" s="35"/>
      <x:c r="O871" s="35"/>
      <x:c r="P871" s="35"/>
      <x:c r="Q871" s="35"/>
      <x:c r="R871" s="35"/>
      <x:c r="S871" s="35"/>
      <x:c r="T871" s="35"/>
      <x:c r="U871" s="35"/>
      <x:c r="V871" s="35"/>
      <x:c r="W871" s="35"/>
      <x:c r="X871" s="35"/>
      <x:c r="Y871" s="35"/>
      <x:c r="Z871" s="35"/>
      <x:c r="AA871" s="35"/>
    </x:row>
    <x:row r="872">
      <x:c r="A872" s="136" t="str">
        <x:v>DrillCamp | Contention | Towering Trunks</x:v>
      </x:c>
      <x:c r="B872" s="136" t="str">
        <x:v>Spawn | USA CQ4_Spawnpoint_USA_Infantry_0 [map-39/006]</x:v>
      </x:c>
      <x:c r="C872" s="136" t="str">
        <x:v>spawn</x:v>
      </x:c>
      <x:c r="D872" s="136" t="str">
        <x:v>USA</x:v>
      </x:c>
      <x:c r="E872" s="136" t="str">
        <x:v>CQ4_Spawnpoint_USA_Infantry_0</x:v>
      </x:c>
      <x:c r="F872" s="137" t="n">
        <x:v>1086.1292724609375</x:v>
      </x:c>
      <x:c r="G872" s="137" t="n">
        <x:v>2295.74853515625</x:v>
      </x:c>
      <x:c r="H872" s="137" t="n">
        <x:v>57.759483337402344</x:v>
      </x:c>
      <x:c r="I872" s="137" t="n">
        <x:v>939.706851234769</x:v>
      </x:c>
      <x:c r="J872" s="137" t="n">
        <x:v>305.55822098062873</x:v>
      </x:c>
      <x:c r="K872" s="136" t="str">
        <x:v>map-39</x:v>
      </x:c>
      <x:c r="L872" s="136" t="str">
        <x:v>DrillCamp | Contention | Towering Trunks||Spawn | USA CQ4_Spawnpoint_USA_Infantry_0 [map-39/006]</x:v>
      </x:c>
      <x:c r="M872" s="35"/>
      <x:c r="N872" s="35"/>
      <x:c r="O872" s="35"/>
      <x:c r="P872" s="35"/>
      <x:c r="Q872" s="35"/>
      <x:c r="R872" s="35"/>
      <x:c r="S872" s="35"/>
      <x:c r="T872" s="35"/>
      <x:c r="U872" s="35"/>
      <x:c r="V872" s="35"/>
      <x:c r="W872" s="35"/>
      <x:c r="X872" s="35"/>
      <x:c r="Y872" s="35"/>
      <x:c r="Z872" s="35"/>
      <x:c r="AA872" s="35"/>
    </x:row>
    <x:row r="873">
      <x:c r="A873" s="136" t="str">
        <x:v>DrillCamp | Contention | Towering Trunks</x:v>
      </x:c>
      <x:c r="B873" s="136" t="str">
        <x:v>Spawn | USA CQ4_Spawnpoint_USA_Infantry_1 [map-39/007]</x:v>
      </x:c>
      <x:c r="C873" s="136" t="str">
        <x:v>spawn</x:v>
      </x:c>
      <x:c r="D873" s="136" t="str">
        <x:v>USA</x:v>
      </x:c>
      <x:c r="E873" s="136" t="str">
        <x:v>CQ4_Spawnpoint_USA_Infantry_1</x:v>
      </x:c>
      <x:c r="F873" s="137" t="n">
        <x:v>1083.9976806640625</x:v>
      </x:c>
      <x:c r="G873" s="137" t="n">
        <x:v>2321.75390625</x:v>
      </x:c>
      <x:c r="H873" s="137" t="n">
        <x:v>57.98527908325195</x:v>
      </x:c>
      <x:c r="I873" s="137" t="n">
        <x:v>936.402157819408</x:v>
      </x:c>
      <x:c r="J873" s="137" t="n">
        <x:v>265.18240954195994</x:v>
      </x:c>
      <x:c r="K873" s="136" t="str">
        <x:v>map-39</x:v>
      </x:c>
      <x:c r="L873" s="136" t="str">
        <x:v>DrillCamp | Contention | Towering Trunks||Spawn | USA CQ4_Spawnpoint_USA_Infantry_1 [map-39/007]</x:v>
      </x:c>
      <x:c r="M873" s="35"/>
      <x:c r="N873" s="35"/>
      <x:c r="O873" s="35"/>
      <x:c r="P873" s="35"/>
      <x:c r="Q873" s="35"/>
      <x:c r="R873" s="35"/>
      <x:c r="S873" s="35"/>
      <x:c r="T873" s="35"/>
      <x:c r="U873" s="35"/>
      <x:c r="V873" s="35"/>
      <x:c r="W873" s="35"/>
      <x:c r="X873" s="35"/>
      <x:c r="Y873" s="35"/>
      <x:c r="Z873" s="35"/>
      <x:c r="AA873" s="35"/>
    </x:row>
    <x:row r="874">
      <x:c r="A874" s="136" t="str">
        <x:v>DrillCamp | Contention | Towering Trunks</x:v>
      </x:c>
      <x:c r="B874" s="136" t="str">
        <x:v>Artillery | CSA CQ4_Spawnpoint_CSA_Artillery_Staging [map-39/008]</x:v>
      </x:c>
      <x:c r="C874" s="136" t="str">
        <x:v>battery</x:v>
      </x:c>
      <x:c r="D874" s="136" t="str">
        <x:v>CSA</x:v>
      </x:c>
      <x:c r="E874" s="136" t="str">
        <x:v>CQ4_Spawnpoint_CSA_Artillery_Staging</x:v>
      </x:c>
      <x:c r="F874" s="137" t="n">
        <x:v>912.1343994140625</x:v>
      </x:c>
      <x:c r="G874" s="137" t="n">
        <x:v>1527.2264404296875</x:v>
      </x:c>
      <x:c r="H874" s="137" t="n">
        <x:v>72.919677734375</x:v>
      </x:c>
      <x:c r="I874" s="137" t="n">
        <x:v>669.9555263762431</x:v>
      </x:c>
      <x:c r="J874" s="137" t="n">
        <x:v>1499.0404048894104</x:v>
      </x:c>
      <x:c r="K874" s="136" t="str">
        <x:v>map-39</x:v>
      </x:c>
      <x:c r="L874" s="136" t="str">
        <x:v>DrillCamp | Contention | Towering Trunks||Artillery | CSA CQ4_Spawnpoint_CSA_Artillery_Staging [map-39/008]</x:v>
      </x:c>
      <x:c r="M874" s="35"/>
      <x:c r="N874" s="35"/>
      <x:c r="O874" s="35"/>
      <x:c r="P874" s="35"/>
      <x:c r="Q874" s="35"/>
      <x:c r="R874" s="35"/>
      <x:c r="S874" s="35"/>
      <x:c r="T874" s="35"/>
      <x:c r="U874" s="35"/>
      <x:c r="V874" s="35"/>
      <x:c r="W874" s="35"/>
      <x:c r="X874" s="35"/>
      <x:c r="Y874" s="35"/>
      <x:c r="Z874" s="35"/>
      <x:c r="AA874" s="35"/>
    </x:row>
    <x:row r="875">
      <x:c r="A875" s="136" t="str">
        <x:v>DrillCamp | Contention | Towering Trunks</x:v>
      </x:c>
      <x:c r="B875" s="136" t="str">
        <x:v>Artillery | USA CQ4_Spawnpoint_USA_Artillery_Staging [map-39/009]</x:v>
      </x:c>
      <x:c r="C875" s="136" t="str">
        <x:v>battery</x:v>
      </x:c>
      <x:c r="D875" s="136" t="str">
        <x:v>USA</x:v>
      </x:c>
      <x:c r="E875" s="136" t="str">
        <x:v>CQ4_Spawnpoint_USA_Artillery_Staging</x:v>
      </x:c>
      <x:c r="F875" s="137" t="n">
        <x:v>1080.90673828125</x:v>
      </x:c>
      <x:c r="G875" s="137" t="n">
        <x:v>2348.289794921875</x:v>
      </x:c>
      <x:c r="H875" s="137" t="n">
        <x:v>56.892250061035156</x:v>
      </x:c>
      <x:c r="I875" s="137" t="n">
        <x:v>931.6101441915098</x:v>
      </x:c>
      <x:c r="J875" s="137" t="n">
        <x:v>223.98399561646175</x:v>
      </x:c>
      <x:c r="K875" s="136" t="str">
        <x:v>map-39</x:v>
      </x:c>
      <x:c r="L875" s="136" t="str">
        <x:v>DrillCamp | Contention | Towering Trunks||Artillery | USA CQ4_Spawnpoint_USA_Artillery_Staging [map-39/009]</x:v>
      </x:c>
      <x:c r="M875" s="35"/>
      <x:c r="N875" s="35"/>
      <x:c r="O875" s="35"/>
      <x:c r="P875" s="35"/>
      <x:c r="Q875" s="35"/>
      <x:c r="R875" s="35"/>
      <x:c r="S875" s="35"/>
      <x:c r="T875" s="35"/>
      <x:c r="U875" s="35"/>
      <x:c r="V875" s="35"/>
      <x:c r="W875" s="35"/>
      <x:c r="X875" s="35"/>
      <x:c r="Y875" s="35"/>
      <x:c r="Z875" s="35"/>
      <x:c r="AA875" s="35"/>
    </x:row>
    <x:row r="876">
      <x:c r="A876" s="136" t="str">
        <x:v>DrillCamp | Contention | Towering Trunks</x:v>
      </x:c>
      <x:c r="B876" s="136" t="str">
        <x:v>Artillery | USA CQ4_Spawnpoint_USA_Artillery_Forward [map-39/010]</x:v>
      </x:c>
      <x:c r="C876" s="136" t="str">
        <x:v>battery</x:v>
      </x:c>
      <x:c r="D876" s="136" t="str">
        <x:v>USA</x:v>
      </x:c>
      <x:c r="E876" s="136" t="str">
        <x:v>CQ4_Spawnpoint_USA_Artillery_Forward</x:v>
      </x:c>
      <x:c r="F876" s="137" t="n">
        <x:v>1451.646728515625</x:v>
      </x:c>
      <x:c r="G876" s="137" t="n">
        <x:v>1901.84912109375</x:v>
      </x:c>
      <x:c r="H876" s="137" t="n">
        <x:v>58.08472442626953</x:v>
      </x:c>
      <x:c r="I876" s="137" t="n">
        <x:v>1506.3834222341168</x:v>
      </x:c>
      <x:c r="J876" s="137" t="n">
        <x:v>916.7328406972457</x:v>
      </x:c>
      <x:c r="K876" s="136" t="str">
        <x:v>map-39</x:v>
      </x:c>
      <x:c r="L876" s="136" t="str">
        <x:v>DrillCamp | Contention | Towering Trunks||Artillery | USA CQ4_Spawnpoint_USA_Artillery_Forward [map-39/010]</x:v>
      </x:c>
      <x:c r="M876" s="35"/>
      <x:c r="N876" s="35"/>
      <x:c r="O876" s="35"/>
      <x:c r="P876" s="35"/>
      <x:c r="Q876" s="35"/>
      <x:c r="R876" s="35"/>
      <x:c r="S876" s="35"/>
      <x:c r="T876" s="35"/>
      <x:c r="U876" s="35"/>
      <x:c r="V876" s="35"/>
      <x:c r="W876" s="35"/>
      <x:c r="X876" s="35"/>
      <x:c r="Y876" s="35"/>
      <x:c r="Z876" s="35"/>
      <x:c r="AA876" s="35"/>
    </x:row>
    <x:row r="877">
      <x:c r="A877" s="136" t="str">
        <x:v>DrillCamp | Contention | Towering Trunks</x:v>
      </x:c>
      <x:c r="B877" s="136" t="str">
        <x:v>Spawn | CSA CQ4_Spawnpoint_CSA_Infantry_0 [map-39/011]</x:v>
      </x:c>
      <x:c r="C877" s="136" t="str">
        <x:v>spawn</x:v>
      </x:c>
      <x:c r="D877" s="136" t="str">
        <x:v>CSA</x:v>
      </x:c>
      <x:c r="E877" s="136" t="str">
        <x:v>CQ4_Spawnpoint_CSA_Infantry_0</x:v>
      </x:c>
      <x:c r="F877" s="137" t="n">
        <x:v>928.6536865234375</x:v>
      </x:c>
      <x:c r="G877" s="137" t="n">
        <x:v>1550.2115478515625</x:v>
      </x:c>
      <x:c r="H877" s="137" t="n">
        <x:v>72.59893035888672</x:v>
      </x:c>
      <x:c r="I877" s="137" t="n">
        <x:v>695.5660487177364</x:v>
      </x:c>
      <x:c r="J877" s="137" t="n">
        <x:v>1463.33220891447</x:v>
      </x:c>
      <x:c r="K877" s="136" t="str">
        <x:v>map-39</x:v>
      </x:c>
      <x:c r="L877" s="136" t="str">
        <x:v>DrillCamp | Contention | Towering Trunks||Spawn | CSA CQ4_Spawnpoint_CSA_Infantry_0 [map-39/011]</x:v>
      </x:c>
      <x:c r="M877" s="35"/>
      <x:c r="N877" s="35"/>
      <x:c r="O877" s="35"/>
      <x:c r="P877" s="35"/>
      <x:c r="Q877" s="35"/>
      <x:c r="R877" s="35"/>
      <x:c r="S877" s="35"/>
      <x:c r="T877" s="35"/>
      <x:c r="U877" s="35"/>
      <x:c r="V877" s="35"/>
      <x:c r="W877" s="35"/>
      <x:c r="X877" s="35"/>
      <x:c r="Y877" s="35"/>
      <x:c r="Z877" s="35"/>
      <x:c r="AA877" s="35"/>
    </x:row>
    <x:row r="878">
      <x:c r="A878" s="136" t="str">
        <x:v>DrillCamp | Contention | Towering Trunks</x:v>
      </x:c>
      <x:c r="B878" s="136" t="str">
        <x:v>Artillery | CSA CQ4_Spawnpoint_CSA_Artillery_Forward [map-39/012]</x:v>
      </x:c>
      <x:c r="C878" s="136" t="str">
        <x:v>battery</x:v>
      </x:c>
      <x:c r="D878" s="136" t="str">
        <x:v>CSA</x:v>
      </x:c>
      <x:c r="E878" s="136" t="str">
        <x:v>CQ4_Spawnpoint_CSA_Artillery_Forward</x:v>
      </x:c>
      <x:c r="F878" s="137" t="n">
        <x:v>1247.2314453125</x:v>
      </x:c>
      <x:c r="G878" s="137" t="n">
        <x:v>1376.9906005859375</x:v>
      </x:c>
      <x:c r="H878" s="137" t="n">
        <x:v>59.25183868408203</x:v>
      </x:c>
      <x:c r="I878" s="137" t="n">
        <x:v>1189.4700988713162</x:v>
      </x:c>
      <x:c r="J878" s="137" t="n">
        <x:v>1731.9164364089431</x:v>
      </x:c>
      <x:c r="K878" s="136" t="str">
        <x:v>map-39</x:v>
      </x:c>
      <x:c r="L878" s="136" t="str">
        <x:v>DrillCamp | Contention | Towering Trunks||Artillery | CSA CQ4_Spawnpoint_CSA_Artillery_Forward [map-39/012]</x:v>
      </x:c>
      <x:c r="M878" s="35"/>
      <x:c r="N878" s="35"/>
      <x:c r="O878" s="35"/>
      <x:c r="P878" s="35"/>
      <x:c r="Q878" s="35"/>
      <x:c r="R878" s="35"/>
      <x:c r="S878" s="35"/>
      <x:c r="T878" s="35"/>
      <x:c r="U878" s="35"/>
      <x:c r="V878" s="35"/>
      <x:c r="W878" s="35"/>
      <x:c r="X878" s="35"/>
      <x:c r="Y878" s="35"/>
      <x:c r="Z878" s="35"/>
      <x:c r="AA878" s="35"/>
    </x:row>
    <x:row r="879">
      <x:c r="A879" s="136" t="str">
        <x:v>DrillCamp | Contention | Towering Trunks</x:v>
      </x:c>
      <x:c r="B879" s="136" t="str">
        <x:v>Gun | 3-inch Ordnance · Entity-1679 [map-39/013]</x:v>
      </x:c>
      <x:c r="C879" s="136" t="str">
        <x:v>gun_spawn</x:v>
      </x:c>
      <x:c r="D879" s="136" t="str"/>
      <x:c r="E879" s="136" t="str">
        <x:v>3-inch Ordnance · Entity-1679</x:v>
      </x:c>
      <x:c r="F879" s="137" t="n">
        <x:v>1409.2825927734375</x:v>
      </x:c>
      <x:c r="G879" s="137" t="n">
        <x:v>1895.2388916015625</x:v>
      </x:c>
      <x:c r="H879" s="137" t="n">
        <x:v>58.69883346557617</x:v>
      </x:c>
      <x:c r="I879" s="137" t="n">
        <x:v>1440.7045804221352</x:v>
      </x:c>
      <x:c r="J879" s="137" t="n">
        <x:v>927.0462817911834</x:v>
      </x:c>
      <x:c r="K879" s="136" t="str">
        <x:v>map-39</x:v>
      </x:c>
      <x:c r="L879" s="136" t="str">
        <x:v>DrillCamp | Contention | Towering Trunks||Gun | 3-inch Ordnance · Entity-1679 [map-39/013]</x:v>
      </x:c>
      <x:c r="M879" s="35"/>
      <x:c r="N879" s="35"/>
      <x:c r="O879" s="35"/>
      <x:c r="P879" s="35"/>
      <x:c r="Q879" s="35"/>
      <x:c r="R879" s="35"/>
      <x:c r="S879" s="35"/>
      <x:c r="T879" s="35"/>
      <x:c r="U879" s="35"/>
      <x:c r="V879" s="35"/>
      <x:c r="W879" s="35"/>
      <x:c r="X879" s="35"/>
      <x:c r="Y879" s="35"/>
      <x:c r="Z879" s="35"/>
      <x:c r="AA879" s="35"/>
    </x:row>
    <x:row r="880">
      <x:c r="A880" s="136" t="str">
        <x:v>DrillCamp | Contention | Towering Trunks</x:v>
      </x:c>
      <x:c r="B880" s="136" t="str">
        <x:v>Gun | 3-inch Ordnance · Entity-1678 [map-39/014]</x:v>
      </x:c>
      <x:c r="C880" s="136" t="str">
        <x:v>gun_spawn</x:v>
      </x:c>
      <x:c r="D880" s="136" t="str"/>
      <x:c r="E880" s="136" t="str">
        <x:v>3-inch Ordnance · Entity-1678</x:v>
      </x:c>
      <x:c r="F880" s="137" t="n">
        <x:v>1407.851806640625</x:v>
      </x:c>
      <x:c r="G880" s="137" t="n">
        <x:v>1888.010009765625</x:v>
      </x:c>
      <x:c r="H880" s="137" t="n">
        <x:v>58.694793701171875</x:v>
      </x:c>
      <x:c r="I880" s="137" t="n">
        <x:v>1438.4863745166579</x:v>
      </x:c>
      <x:c r="J880" s="137" t="n">
        <x:v>938.2721864151576</x:v>
      </x:c>
      <x:c r="K880" s="136" t="str">
        <x:v>map-39</x:v>
      </x:c>
      <x:c r="L880" s="136" t="str">
        <x:v>DrillCamp | Contention | Towering Trunks||Gun | 3-inch Ordnance · Entity-1678 [map-39/014]</x:v>
      </x:c>
      <x:c r="M880" s="35"/>
      <x:c r="N880" s="35"/>
      <x:c r="O880" s="35"/>
      <x:c r="P880" s="35"/>
      <x:c r="Q880" s="35"/>
      <x:c r="R880" s="35"/>
      <x:c r="S880" s="35"/>
      <x:c r="T880" s="35"/>
      <x:c r="U880" s="35"/>
      <x:c r="V880" s="35"/>
      <x:c r="W880" s="35"/>
      <x:c r="X880" s="35"/>
      <x:c r="Y880" s="35"/>
      <x:c r="Z880" s="35"/>
      <x:c r="AA880" s="35"/>
    </x:row>
    <x:row r="881">
      <x:c r="A881" s="136" t="str">
        <x:v>DrillCamp | Contention | Towering Trunks</x:v>
      </x:c>
      <x:c r="B881" s="136" t="str">
        <x:v>Gun | 12-pounder Napoleon (CSA) · Entity-1682 [map-39/015]</x:v>
      </x:c>
      <x:c r="C881" s="136" t="str">
        <x:v>gun_spawn</x:v>
      </x:c>
      <x:c r="D881" s="136" t="str"/>
      <x:c r="E881" s="136" t="str">
        <x:v>12-pounder Napoleon (CSA) · Entity-1682</x:v>
      </x:c>
      <x:c r="F881" s="137" t="n">
        <x:v>1411.99365234375</x:v>
      </x:c>
      <x:c r="G881" s="137" t="n">
        <x:v>1918</x:v>
      </x:c>
      <x:c r="H881" s="137" t="n">
        <x:v>58.68986129760742</x:v>
      </x:c>
      <x:c r="I881" s="137" t="n">
        <x:v>1444.907646282962</x:v>
      </x:c>
      <x:c r="J881" s="137" t="n">
        <x:v>891.7021172380274</x:v>
      </x:c>
      <x:c r="K881" s="136" t="str">
        <x:v>map-39</x:v>
      </x:c>
      <x:c r="L881" s="136" t="str">
        <x:v>DrillCamp | Contention | Towering Trunks||Gun | 12-pounder Napoleon (CSA) · Entity-1682 [map-39/015]</x:v>
      </x:c>
      <x:c r="M881" s="35"/>
      <x:c r="N881" s="35"/>
      <x:c r="O881" s="35"/>
      <x:c r="P881" s="35"/>
      <x:c r="Q881" s="35"/>
      <x:c r="R881" s="35"/>
      <x:c r="S881" s="35"/>
      <x:c r="T881" s="35"/>
      <x:c r="U881" s="35"/>
      <x:c r="V881" s="35"/>
      <x:c r="W881" s="35"/>
      <x:c r="X881" s="35"/>
      <x:c r="Y881" s="35"/>
      <x:c r="Z881" s="35"/>
      <x:c r="AA881" s="35"/>
    </x:row>
    <x:row r="882">
      <x:c r="A882" s="136" t="str">
        <x:v>DrillCamp | Contention | Towering Trunks</x:v>
      </x:c>
      <x:c r="B882" s="136" t="str">
        <x:v>Gun | 12-pounder Napoleon (CSA) · Entity-1683 [map-39/016]</x:v>
      </x:c>
      <x:c r="C882" s="136" t="str">
        <x:v>gun_spawn</x:v>
      </x:c>
      <x:c r="D882" s="136" t="str"/>
      <x:c r="E882" s="136" t="str">
        <x:v>12-pounder Napoleon (CSA) · Entity-1683</x:v>
      </x:c>
      <x:c r="F882" s="137" t="n">
        <x:v>1413.3271484375</x:v>
      </x:c>
      <x:c r="G882" s="137" t="n">
        <x:v>1927.8341064453125</x:v>
      </x:c>
      <x:c r="H882" s="137" t="n">
        <x:v>58.98716354370117</x:v>
      </x:c>
      <x:c r="I882" s="137" t="n">
        <x:v>1446.9750194858827</x:v>
      </x:c>
      <x:c r="J882" s="137" t="n">
        <x:v>876.4312170376289</x:v>
      </x:c>
      <x:c r="K882" s="136" t="str">
        <x:v>map-39</x:v>
      </x:c>
      <x:c r="L882" s="136" t="str">
        <x:v>DrillCamp | Contention | Towering Trunks||Gun | 12-pounder Napoleon (CSA) · Entity-1683 [map-39/016]</x:v>
      </x:c>
      <x:c r="M882" s="35"/>
      <x:c r="N882" s="35"/>
      <x:c r="O882" s="35"/>
      <x:c r="P882" s="35"/>
      <x:c r="Q882" s="35"/>
      <x:c r="R882" s="35"/>
      <x:c r="S882" s="35"/>
      <x:c r="T882" s="35"/>
      <x:c r="U882" s="35"/>
      <x:c r="V882" s="35"/>
      <x:c r="W882" s="35"/>
      <x:c r="X882" s="35"/>
      <x:c r="Y882" s="35"/>
      <x:c r="Z882" s="35"/>
      <x:c r="AA882" s="35"/>
    </x:row>
    <x:row r="883">
      <x:c r="A883" s="136" t="str">
        <x:v>DrillCamp | Contention | Towering Trunks</x:v>
      </x:c>
      <x:c r="B883" s="136" t="str">
        <x:v>Gun | 12-pounder Napoleon (USA) · Entity-1681 [map-39/017]</x:v>
      </x:c>
      <x:c r="C883" s="136" t="str">
        <x:v>gun_spawn</x:v>
      </x:c>
      <x:c r="D883" s="136" t="str"/>
      <x:c r="E883" s="136" t="str">
        <x:v>12-pounder Napoleon (USA) · Entity-1681</x:v>
      </x:c>
      <x:c r="F883" s="137" t="n">
        <x:v>1410.8773193359375</x:v>
      </x:c>
      <x:c r="G883" s="137" t="n">
        <x:v>1909.640869140625</x:v>
      </x:c>
      <x:c r="H883" s="137" t="n">
        <x:v>58.766658782958984</x:v>
      </x:c>
      <x:c r="I883" s="137" t="n">
        <x:v>1443.1769498402018</x:v>
      </x:c>
      <x:c r="J883" s="137" t="n">
        <x:v>904.6825802318946</x:v>
      </x:c>
      <x:c r="K883" s="136" t="str">
        <x:v>map-39</x:v>
      </x:c>
      <x:c r="L883" s="136" t="str">
        <x:v>DrillCamp | Contention | Towering Trunks||Gun | 12-pounder Napoleon (USA) · Entity-1681 [map-39/017]</x:v>
      </x:c>
      <x:c r="M883" s="35"/>
      <x:c r="N883" s="35"/>
      <x:c r="O883" s="35"/>
      <x:c r="P883" s="35"/>
      <x:c r="Q883" s="35"/>
      <x:c r="R883" s="35"/>
      <x:c r="S883" s="35"/>
      <x:c r="T883" s="35"/>
      <x:c r="U883" s="35"/>
      <x:c r="V883" s="35"/>
      <x:c r="W883" s="35"/>
      <x:c r="X883" s="35"/>
      <x:c r="Y883" s="35"/>
      <x:c r="Z883" s="35"/>
      <x:c r="AA883" s="35"/>
    </x:row>
    <x:row r="884">
      <x:c r="A884" s="136" t="str">
        <x:v>DrillCamp | Contention | Towering Trunks</x:v>
      </x:c>
      <x:c r="B884" s="136" t="str">
        <x:v>Gun | 3-inch Ordnance · Entity-1680 [map-39/018]</x:v>
      </x:c>
      <x:c r="C884" s="136" t="str">
        <x:v>gun_spawn</x:v>
      </x:c>
      <x:c r="D884" s="136" t="str"/>
      <x:c r="E884" s="136" t="str">
        <x:v>3-inch Ordnance · Entity-1680</x:v>
      </x:c>
      <x:c r="F884" s="137" t="n">
        <x:v>1410.461181640625</x:v>
      </x:c>
      <x:c r="G884" s="137" t="n">
        <x:v>1902.837158203125</x:v>
      </x:c>
      <x:c r="H884" s="137" t="n">
        <x:v>58.754615783691406</x:v>
      </x:c>
      <x:c r="I884" s="137" t="n">
        <x:v>1442.5317946544862</x:v>
      </x:c>
      <x:c r="J884" s="137" t="n">
        <x:v>915.2471330366302</x:v>
      </x:c>
      <x:c r="K884" s="136" t="str">
        <x:v>map-39</x:v>
      </x:c>
      <x:c r="L884" s="136" t="str">
        <x:v>DrillCamp | Contention | Towering Trunks||Gun | 3-inch Ordnance · Entity-1680 [map-39/018]</x:v>
      </x:c>
      <x:c r="M884" s="35"/>
      <x:c r="N884" s="35"/>
      <x:c r="O884" s="35"/>
      <x:c r="P884" s="35"/>
      <x:c r="Q884" s="35"/>
      <x:c r="R884" s="35"/>
      <x:c r="S884" s="35"/>
      <x:c r="T884" s="35"/>
      <x:c r="U884" s="35"/>
      <x:c r="V884" s="35"/>
      <x:c r="W884" s="35"/>
      <x:c r="X884" s="35"/>
      <x:c r="Y884" s="35"/>
      <x:c r="Z884" s="35"/>
      <x:c r="AA884" s="35"/>
    </x:row>
    <x:row r="885">
      <x:c r="A885" s="136" t="str">
        <x:v>DrillCamp | Contention | Towering Trunks</x:v>
      </x:c>
      <x:c r="B885" s="136" t="str">
        <x:v>Gun | 12-pounder Napoleon (USA) · Entity-1694 [map-39/019]</x:v>
      </x:c>
      <x:c r="C885" s="136" t="str">
        <x:v>gun_spawn</x:v>
      </x:c>
      <x:c r="D885" s="136" t="str"/>
      <x:c r="E885" s="136" t="str">
        <x:v>12-pounder Napoleon (USA) · Entity-1694</x:v>
      </x:c>
      <x:c r="F885" s="137" t="n">
        <x:v>1262.5882568359375</x:v>
      </x:c>
      <x:c r="G885" s="137" t="n">
        <x:v>1411.34130859375</x:v>
      </x:c>
      <x:c r="H885" s="137" t="n">
        <x:v>58.75867462158203</x:v>
      </x:c>
      <x:c r="I885" s="137" t="n">
        <x:v>1213.2783880554116</x:v>
      </x:c>
      <x:c r="J885" s="137" t="n">
        <x:v>1678.5623361438356</x:v>
      </x:c>
      <x:c r="K885" s="136" t="str">
        <x:v>map-39</x:v>
      </x:c>
      <x:c r="L885" s="136" t="str">
        <x:v>DrillCamp | Contention | Towering Trunks||Gun | 12-pounder Napoleon (USA) · Entity-1694 [map-39/019]</x:v>
      </x:c>
      <x:c r="M885" s="35"/>
      <x:c r="N885" s="35"/>
      <x:c r="O885" s="35"/>
      <x:c r="P885" s="35"/>
      <x:c r="Q885" s="35"/>
      <x:c r="R885" s="35"/>
      <x:c r="S885" s="35"/>
      <x:c r="T885" s="35"/>
      <x:c r="U885" s="35"/>
      <x:c r="V885" s="35"/>
      <x:c r="W885" s="35"/>
      <x:c r="X885" s="35"/>
      <x:c r="Y885" s="35"/>
      <x:c r="Z885" s="35"/>
      <x:c r="AA885" s="35"/>
    </x:row>
    <x:row r="886">
      <x:c r="A886" s="136" t="str">
        <x:v>DrillCamp | Contention | Towering Trunks</x:v>
      </x:c>
      <x:c r="B886" s="136" t="str">
        <x:v>Gun | 12-pounder Napoleon (USA) · Entity-1693 [map-39/020]</x:v>
      </x:c>
      <x:c r="C886" s="136" t="str">
        <x:v>gun_spawn</x:v>
      </x:c>
      <x:c r="D886" s="136" t="str"/>
      <x:c r="E886" s="136" t="str">
        <x:v>12-pounder Napoleon (USA) · Entity-1693</x:v>
      </x:c>
      <x:c r="F886" s="137" t="n">
        <x:v>1253.5419921875</x:v>
      </x:c>
      <x:c r="G886" s="137" t="n">
        <x:v>1414.2742919921875</x:v>
      </x:c>
      <x:c r="H886" s="137" t="n">
        <x:v>58.704742431640625</x:v>
      </x:c>
      <x:c r="I886" s="137" t="n">
        <x:v>1199.2535962256002</x:v>
      </x:c>
      <x:c r="J886" s="137" t="n">
        <x:v>1674.0189508420733</x:v>
      </x:c>
      <x:c r="K886" s="136" t="str">
        <x:v>map-39</x:v>
      </x:c>
      <x:c r="L886" s="136" t="str">
        <x:v>DrillCamp | Contention | Towering Trunks||Gun | 12-pounder Napoleon (USA) · Entity-1693 [map-39/020]</x:v>
      </x:c>
      <x:c r="M886" s="35"/>
      <x:c r="N886" s="35"/>
      <x:c r="O886" s="35"/>
      <x:c r="P886" s="35"/>
      <x:c r="Q886" s="35"/>
      <x:c r="R886" s="35"/>
      <x:c r="S886" s="35"/>
      <x:c r="T886" s="35"/>
      <x:c r="U886" s="35"/>
      <x:c r="V886" s="35"/>
      <x:c r="W886" s="35"/>
      <x:c r="X886" s="35"/>
      <x:c r="Y886" s="35"/>
      <x:c r="Z886" s="35"/>
      <x:c r="AA886" s="35"/>
    </x:row>
    <x:row r="887">
      <x:c r="A887" s="136" t="str">
        <x:v>DrillCamp | Contention | Towering Trunks</x:v>
      </x:c>
      <x:c r="B887" s="136" t="str">
        <x:v>Gun | 12-pounder Napoleon (USA) · Entity-1695 [map-39/021]</x:v>
      </x:c>
      <x:c r="C887" s="136" t="str">
        <x:v>gun_spawn</x:v>
      </x:c>
      <x:c r="D887" s="136" t="str"/>
      <x:c r="E887" s="136" t="str">
        <x:v>12-pounder Napoleon (USA) · Entity-1695</x:v>
      </x:c>
      <x:c r="F887" s="137" t="n">
        <x:v>1271.678955078125</x:v>
      </x:c>
      <x:c r="G887" s="137" t="n">
        <x:v>1408.06005859375</x:v>
      </x:c>
      <x:c r="H887" s="137" t="n">
        <x:v>58.77656555175781</x:v>
      </x:c>
      <x:c r="I887" s="137" t="n">
        <x:v>1227.372067091911</x:v>
      </x:c>
      <x:c r="J887" s="137" t="n">
        <x:v>1683.646419787184</x:v>
      </x:c>
      <x:c r="K887" s="136" t="str">
        <x:v>map-39</x:v>
      </x:c>
      <x:c r="L887" s="136" t="str">
        <x:v>DrillCamp | Contention | Towering Trunks||Gun | 12-pounder Napoleon (USA) · Entity-1695 [map-39/021]</x:v>
      </x:c>
      <x:c r="M887" s="35"/>
      <x:c r="N887" s="35"/>
      <x:c r="O887" s="35"/>
      <x:c r="P887" s="35"/>
      <x:c r="Q887" s="35"/>
      <x:c r="R887" s="35"/>
      <x:c r="S887" s="35"/>
      <x:c r="T887" s="35"/>
      <x:c r="U887" s="35"/>
      <x:c r="V887" s="35"/>
      <x:c r="W887" s="35"/>
      <x:c r="X887" s="35"/>
      <x:c r="Y887" s="35"/>
      <x:c r="Z887" s="35"/>
      <x:c r="AA887" s="35"/>
    </x:row>
    <x:row r="888">
      <x:c r="A888" s="136" t="str">
        <x:v>DrillCamp | Drill Camp | Drill Camp USA</x:v>
      </x:c>
      <x:c r="B888" s="136" t="str">
        <x:v>Artillery | USA Spawnpoint-USA-Artillery [map-40/001]</x:v>
      </x:c>
      <x:c r="C888" s="136" t="str">
        <x:v>battery</x:v>
      </x:c>
      <x:c r="D888" s="136" t="str">
        <x:v>USA</x:v>
      </x:c>
      <x:c r="E888" s="136" t="str">
        <x:v>Spawnpoint-USA-Artillery</x:v>
      </x:c>
      <x:c r="F888" s="137" t="n">
        <x:v>785.1781005859375</x:v>
      </x:c>
      <x:c r="G888" s="137" t="n">
        <x:v>3559.01220703125</x:v>
      </x:c>
      <x:c r="H888" s="137" t="n">
        <x:v>83.90914154052734</x:v>
      </x:c>
      <x:c r="I888" s="137" t="n">
        <x:v>543.017203201339</x:v>
      </x:c>
      <x:c r="J888" s="137" t="n">
        <x:v>360.3006778410346</x:v>
      </x:c>
      <x:c r="K888" s="136" t="str">
        <x:v>map-40</x:v>
      </x:c>
      <x:c r="L888" s="136" t="str">
        <x:v>DrillCamp | Drill Camp | Drill Camp USA||Artillery | USA Spawnpoint-USA-Artillery [map-40/001]</x:v>
      </x:c>
      <x:c r="M888" s="35"/>
      <x:c r="N888" s="35"/>
      <x:c r="O888" s="35"/>
      <x:c r="P888" s="35"/>
      <x:c r="Q888" s="35"/>
      <x:c r="R888" s="35"/>
      <x:c r="S888" s="35"/>
      <x:c r="T888" s="35"/>
      <x:c r="U888" s="35"/>
      <x:c r="V888" s="35"/>
      <x:c r="W888" s="35"/>
      <x:c r="X888" s="35"/>
      <x:c r="Y888" s="35"/>
      <x:c r="Z888" s="35"/>
      <x:c r="AA888" s="35"/>
    </x:row>
    <x:row r="889">
      <x:c r="A889" s="136" t="str">
        <x:v>DrillCamp | Drill Camp | Drill Camp USA</x:v>
      </x:c>
      <x:c r="B889" s="136" t="str">
        <x:v>Spawn | USA Spawnpoint-USA-Cavalry [map-40/002]</x:v>
      </x:c>
      <x:c r="C889" s="136" t="str">
        <x:v>spawn</x:v>
      </x:c>
      <x:c r="D889" s="136" t="str">
        <x:v>USA</x:v>
      </x:c>
      <x:c r="E889" s="136" t="str">
        <x:v>Spawnpoint-USA-Cavalry</x:v>
      </x:c>
      <x:c r="F889" s="137" t="n">
        <x:v>1424.274658203125</x:v>
      </x:c>
      <x:c r="G889" s="137" t="n">
        <x:v>3441.939453125</x:v>
      </x:c>
      <x:c r="H889" s="137" t="n">
        <x:v>63.2697868347168</x:v>
      </x:c>
      <x:c r="I889" s="137" t="n">
        <x:v>986.701864064277</x:v>
      </x:c>
      <x:c r="J889" s="137" t="n">
        <x:v>441.5769489992627</x:v>
      </x:c>
      <x:c r="K889" s="136" t="str">
        <x:v>map-40</x:v>
      </x:c>
      <x:c r="L889" s="136" t="str">
        <x:v>DrillCamp | Drill Camp | Drill Camp USA||Spawn | USA Spawnpoint-USA-Cavalry [map-40/002]</x:v>
      </x:c>
      <x:c r="M889" s="35"/>
      <x:c r="N889" s="35"/>
      <x:c r="O889" s="35"/>
      <x:c r="P889" s="35"/>
      <x:c r="Q889" s="35"/>
      <x:c r="R889" s="35"/>
      <x:c r="S889" s="35"/>
      <x:c r="T889" s="35"/>
      <x:c r="U889" s="35"/>
      <x:c r="V889" s="35"/>
      <x:c r="W889" s="35"/>
      <x:c r="X889" s="35"/>
      <x:c r="Y889" s="35"/>
      <x:c r="Z889" s="35"/>
      <x:c r="AA889" s="35"/>
    </x:row>
    <x:row r="890">
      <x:c r="A890" s="136" t="str">
        <x:v>DrillCamp | Drill Camp | Drill Camp USA</x:v>
      </x:c>
      <x:c r="B890" s="136" t="str">
        <x:v>Spawn | USA Spawnpoint-USA-Infantry [map-40/003]</x:v>
      </x:c>
      <x:c r="C890" s="136" t="str">
        <x:v>spawn</x:v>
      </x:c>
      <x:c r="D890" s="136" t="str">
        <x:v>USA</x:v>
      </x:c>
      <x:c r="E890" s="136" t="str">
        <x:v>Spawnpoint-USA-Infantry</x:v>
      </x:c>
      <x:c r="F890" s="137" t="n">
        <x:v>1753.0284423828125</x:v>
      </x:c>
      <x:c r="G890" s="137" t="n">
        <x:v>3366.430908203125</x:v>
      </x:c>
      <x:c r="H890" s="137" t="n">
        <x:v>62.3786506652832</x:v>
      </x:c>
      <x:c r="I890" s="137" t="n">
        <x:v>1214.9349995782734</x:v>
      </x:c>
      <x:c r="J890" s="137" t="n">
        <x:v>493.99779643869357</x:v>
      </x:c>
      <x:c r="K890" s="136" t="str">
        <x:v>map-40</x:v>
      </x:c>
      <x:c r="L890" s="136" t="str">
        <x:v>DrillCamp | Drill Camp | Drill Camp USA||Spawn | USA Spawnpoint-USA-Infantry [map-40/003]</x:v>
      </x:c>
      <x:c r="M890" s="35"/>
      <x:c r="N890" s="35"/>
      <x:c r="O890" s="35"/>
      <x:c r="P890" s="35"/>
      <x:c r="Q890" s="35"/>
      <x:c r="R890" s="35"/>
      <x:c r="S890" s="35"/>
      <x:c r="T890" s="35"/>
      <x:c r="U890" s="35"/>
      <x:c r="V890" s="35"/>
      <x:c r="W890" s="35"/>
      <x:c r="X890" s="35"/>
      <x:c r="Y890" s="35"/>
      <x:c r="Z890" s="35"/>
      <x:c r="AA890" s="35"/>
    </x:row>
    <x:row r="891">
      <x:c r="A891" s="136" t="str">
        <x:v>DrillCamp | Drill Camp | Drill Camp USA</x:v>
      </x:c>
      <x:c r="B891" s="136" t="str">
        <x:v>Gun | 12-pounder Napoleon (USA) · Entity-420 [map-40/004]</x:v>
      </x:c>
      <x:c r="C891" s="136" t="str">
        <x:v>gun_spawn</x:v>
      </x:c>
      <x:c r="D891" s="136" t="str"/>
      <x:c r="E891" s="136" t="str">
        <x:v>12-pounder Napoleon (USA) · Entity-420</x:v>
      </x:c>
      <x:c r="F891" s="137" t="n">
        <x:v>554.1690063476562</x:v>
      </x:c>
      <x:c r="G891" s="137" t="n">
        <x:v>3773.419921875</x:v>
      </x:c>
      <x:c r="H891" s="137" t="n">
        <x:v>81.12252044677734</x:v>
      </x:c>
      <x:c r="I891" s="137" t="n">
        <x:v>382.6420761383642</x:v>
      </x:c>
      <x:c r="J891" s="137" t="n">
        <x:v>211.45084738422855</x:v>
      </x:c>
      <x:c r="K891" s="136" t="str">
        <x:v>map-40</x:v>
      </x:c>
      <x:c r="L891" s="136" t="str">
        <x:v>DrillCamp | Drill Camp | Drill Camp USA||Gun | 12-pounder Napoleon (USA) · Entity-420 [map-40/004]</x:v>
      </x:c>
      <x:c r="M891" s="35"/>
      <x:c r="N891" s="35"/>
      <x:c r="O891" s="35"/>
      <x:c r="P891" s="35"/>
      <x:c r="Q891" s="35"/>
      <x:c r="R891" s="35"/>
      <x:c r="S891" s="35"/>
      <x:c r="T891" s="35"/>
      <x:c r="U891" s="35"/>
      <x:c r="V891" s="35"/>
      <x:c r="W891" s="35"/>
      <x:c r="X891" s="35"/>
      <x:c r="Y891" s="35"/>
      <x:c r="Z891" s="35"/>
      <x:c r="AA891" s="35"/>
    </x:row>
    <x:row r="892">
      <x:c r="A892" s="136" t="str">
        <x:v>DrillCamp | Drill Camp | Drill Camp USA</x:v>
      </x:c>
      <x:c r="B892" s="136" t="str">
        <x:v>Gun | 10-pounder Parrott · Entity-407 [map-40/005]</x:v>
      </x:c>
      <x:c r="C892" s="136" t="str">
        <x:v>gun_spawn</x:v>
      </x:c>
      <x:c r="D892" s="136" t="str"/>
      <x:c r="E892" s="136" t="str">
        <x:v>10-pounder Parrott · Entity-407</x:v>
      </x:c>
      <x:c r="F892" s="137" t="n">
        <x:v>544.8280029296875</x:v>
      </x:c>
      <x:c r="G892" s="137" t="n">
        <x:v>3782.510009765625</x:v>
      </x:c>
      <x:c r="H892" s="137" t="n">
        <x:v>81.0250244140625</x:v>
      </x:c>
      <x:c r="I892" s="137" t="n">
        <x:v>376.1572032592593</x:v>
      </x:c>
      <x:c r="J892" s="137" t="n">
        <x:v>205.14016942031742</x:v>
      </x:c>
      <x:c r="K892" s="136" t="str">
        <x:v>map-40</x:v>
      </x:c>
      <x:c r="L892" s="136" t="str">
        <x:v>DrillCamp | Drill Camp | Drill Camp USA||Gun | 10-pounder Parrott · Entity-407 [map-40/005]</x:v>
      </x:c>
      <x:c r="M892" s="35"/>
      <x:c r="N892" s="35"/>
      <x:c r="O892" s="35"/>
      <x:c r="P892" s="35"/>
      <x:c r="Q892" s="35"/>
      <x:c r="R892" s="35"/>
      <x:c r="S892" s="35"/>
      <x:c r="T892" s="35"/>
      <x:c r="U892" s="35"/>
      <x:c r="V892" s="35"/>
      <x:c r="W892" s="35"/>
      <x:c r="X892" s="35"/>
      <x:c r="Y892" s="35"/>
      <x:c r="Z892" s="35"/>
      <x:c r="AA892" s="35"/>
    </x:row>
    <x:row r="893">
      <x:c r="A893" s="136" t="str">
        <x:v>DrillCamp | Drill Camp | Drill Camp USA</x:v>
      </x:c>
      <x:c r="B893" s="136" t="str">
        <x:v>Gun | 12-pounder Napoleon (USA) · Entity-423 [map-40/006]</x:v>
      </x:c>
      <x:c r="C893" s="136" t="str">
        <x:v>gun_spawn</x:v>
      </x:c>
      <x:c r="D893" s="136" t="str"/>
      <x:c r="E893" s="136" t="str">
        <x:v>12-pounder Napoleon (USA) · Entity-423</x:v>
      </x:c>
      <x:c r="F893" s="137" t="n">
        <x:v>561.4869995117188</x:v>
      </x:c>
      <x:c r="G893" s="137" t="n">
        <x:v>3764.699951171875</x:v>
      </x:c>
      <x:c r="H893" s="137" t="n">
        <x:v>81.0999984741211</x:v>
      </x:c>
      <x:c r="I893" s="137" t="n">
        <x:v>387.72249986541425</x:v>
      </x:c>
      <x:c r="J893" s="137" t="n">
        <x:v>217.50457619568652</x:v>
      </x:c>
      <x:c r="K893" s="136" t="str">
        <x:v>map-40</x:v>
      </x:c>
      <x:c r="L893" s="136" t="str">
        <x:v>DrillCamp | Drill Camp | Drill Camp USA||Gun | 12-pounder Napoleon (USA) · Entity-423 [map-40/006]</x:v>
      </x:c>
      <x:c r="M893" s="35"/>
      <x:c r="N893" s="35"/>
      <x:c r="O893" s="35"/>
      <x:c r="P893" s="35"/>
      <x:c r="Q893" s="35"/>
      <x:c r="R893" s="35"/>
      <x:c r="S893" s="35"/>
      <x:c r="T893" s="35"/>
      <x:c r="U893" s="35"/>
      <x:c r="V893" s="35"/>
      <x:c r="W893" s="35"/>
      <x:c r="X893" s="35"/>
      <x:c r="Y893" s="35"/>
      <x:c r="Z893" s="35"/>
      <x:c r="AA893" s="35"/>
    </x:row>
    <x:row r="894">
      <x:c r="A894" s="136" t="str">
        <x:v>DrillCamp | Drill Camp | Drill Camp USA</x:v>
      </x:c>
      <x:c r="B894" s="136" t="str">
        <x:v>Gun | 3-inch Ordnance · Entity-411 [map-40/007]</x:v>
      </x:c>
      <x:c r="C894" s="136" t="str">
        <x:v>gun_spawn</x:v>
      </x:c>
      <x:c r="D894" s="136" t="str"/>
      <x:c r="E894" s="136" t="str">
        <x:v>3-inch Ordnance · Entity-411</x:v>
      </x:c>
      <x:c r="F894" s="137" t="n">
        <x:v>534.9849853515625</x:v>
      </x:c>
      <x:c r="G894" s="137" t="n">
        <x:v>3791.909912109375</x:v>
      </x:c>
      <x:c r="H894" s="137" t="n">
        <x:v>81.28797149658203</x:v>
      </x:c>
      <x:c r="I894" s="137" t="n">
        <x:v>369.3238134311228</x:v>
      </x:c>
      <x:c r="J894" s="137" t="n">
        <x:v>198.6144067107182</x:v>
      </x:c>
      <x:c r="K894" s="136" t="str">
        <x:v>map-40</x:v>
      </x:c>
      <x:c r="L894" s="136" t="str">
        <x:v>DrillCamp | Drill Camp | Drill Camp USA||Gun | 3-inch Ordnance · Entity-411 [map-40/007]</x:v>
      </x:c>
      <x:c r="M894" s="35"/>
      <x:c r="N894" s="35"/>
      <x:c r="O894" s="35"/>
      <x:c r="P894" s="35"/>
      <x:c r="Q894" s="35"/>
      <x:c r="R894" s="35"/>
      <x:c r="S894" s="35"/>
      <x:c r="T894" s="35"/>
      <x:c r="U894" s="35"/>
      <x:c r="V894" s="35"/>
      <x:c r="W894" s="35"/>
      <x:c r="X894" s="35"/>
      <x:c r="Y894" s="35"/>
      <x:c r="Z894" s="35"/>
      <x:c r="AA894" s="35"/>
    </x:row>
    <x:row r="895">
      <x:c r="A895" s="136" t="str">
        <x:v>DrillCamp | Drill Camp | Drill Camp CSA</x:v>
      </x:c>
      <x:c r="B895" s="136" t="str">
        <x:v>Spawn | CSA Spawnpoint-CSA-Cavalry [map-41/001]</x:v>
      </x:c>
      <x:c r="C895" s="136" t="str">
        <x:v>spawn</x:v>
      </x:c>
      <x:c r="D895" s="136" t="str">
        <x:v>CSA</x:v>
      </x:c>
      <x:c r="E895" s="136" t="str">
        <x:v>Spawnpoint-CSA-Cavalry</x:v>
      </x:c>
      <x:c r="F895" s="137" t="n">
        <x:v>2161.13671875</x:v>
      </x:c>
      <x:c r="G895" s="137" t="n">
        <x:v>1173.03466796875</x:v>
      </x:c>
      <x:c r="H895" s="137" t="n">
        <x:v>65.7585678100586</x:v>
      </x:c>
      <x:c r="I895" s="137" t="n">
        <x:v>1500.850458042874</x:v>
      </x:c>
      <x:c r="J895" s="137" t="n">
        <x:v>1355.5866397741813</x:v>
      </x:c>
      <x:c r="K895" s="136" t="str">
        <x:v>map-41</x:v>
      </x:c>
      <x:c r="L895" s="136" t="str">
        <x:v>DrillCamp | Drill Camp | Drill Camp CSA||Spawn | CSA Spawnpoint-CSA-Cavalry [map-41/001]</x:v>
      </x:c>
      <x:c r="M895" s="35"/>
      <x:c r="N895" s="35"/>
      <x:c r="O895" s="35"/>
      <x:c r="P895" s="35"/>
      <x:c r="Q895" s="35"/>
      <x:c r="R895" s="35"/>
      <x:c r="S895" s="35"/>
      <x:c r="T895" s="35"/>
      <x:c r="U895" s="35"/>
      <x:c r="V895" s="35"/>
      <x:c r="W895" s="35"/>
      <x:c r="X895" s="35"/>
      <x:c r="Y895" s="35"/>
      <x:c r="Z895" s="35"/>
      <x:c r="AA895" s="35"/>
    </x:row>
    <x:row r="896">
      <x:c r="A896" s="136" t="str">
        <x:v>DrillCamp | Drill Camp | Drill Camp CSA</x:v>
      </x:c>
      <x:c r="B896" s="136" t="str">
        <x:v>Artillery | CSA Spawnpoint-CSA-Artillery [map-41/002]</x:v>
      </x:c>
      <x:c r="C896" s="136" t="str">
        <x:v>battery</x:v>
      </x:c>
      <x:c r="D896" s="136" t="str">
        <x:v>CSA</x:v>
      </x:c>
      <x:c r="E896" s="136" t="str">
        <x:v>Spawnpoint-CSA-Artillery</x:v>
      </x:c>
      <x:c r="F896" s="137" t="n">
        <x:v>1373.25537109375</x:v>
      </x:c>
      <x:c r="G896" s="137" t="n">
        <x:v>901.243896484375</x:v>
      </x:c>
      <x:c r="H896" s="137" t="n">
        <x:v>62.39406204223633</x:v>
      </x:c>
      <x:c r="I896" s="137" t="n">
        <x:v>953.688369104201</x:v>
      </x:c>
      <x:c r="J896" s="137" t="n">
        <x:v>1544.3379114244492</x:v>
      </x:c>
      <x:c r="K896" s="136" t="str">
        <x:v>map-41</x:v>
      </x:c>
      <x:c r="L896" s="136" t="str">
        <x:v>DrillCamp | Drill Camp | Drill Camp CSA||Artillery | CSA Spawnpoint-CSA-Artillery [map-41/002]</x:v>
      </x:c>
      <x:c r="M896" s="35"/>
      <x:c r="N896" s="35"/>
      <x:c r="O896" s="35"/>
      <x:c r="P896" s="35"/>
      <x:c r="Q896" s="35"/>
      <x:c r="R896" s="35"/>
      <x:c r="S896" s="35"/>
      <x:c r="T896" s="35"/>
      <x:c r="U896" s="35"/>
      <x:c r="V896" s="35"/>
      <x:c r="W896" s="35"/>
      <x:c r="X896" s="35"/>
      <x:c r="Y896" s="35"/>
      <x:c r="Z896" s="35"/>
      <x:c r="AA896" s="35"/>
    </x:row>
    <x:row r="897">
      <x:c r="A897" s="136" t="str">
        <x:v>DrillCamp | Drill Camp | Drill Camp CSA</x:v>
      </x:c>
      <x:c r="B897" s="136" t="str">
        <x:v>Spawn | CSA Spawnpoint-CSA-Infantry [map-41/003]</x:v>
      </x:c>
      <x:c r="C897" s="136" t="str">
        <x:v>spawn</x:v>
      </x:c>
      <x:c r="D897" s="136" t="str">
        <x:v>CSA</x:v>
      </x:c>
      <x:c r="E897" s="136" t="str">
        <x:v>Spawnpoint-CSA-Infantry</x:v>
      </x:c>
      <x:c r="F897" s="137" t="n">
        <x:v>1513.6219482421875</x:v>
      </x:c>
      <x:c r="G897" s="137" t="n">
        <x:v>566.9998779296875</x:v>
      </x:c>
      <x:c r="H897" s="137" t="n">
        <x:v>57.709163665771484</x:v>
      </x:c>
      <x:c r="I897" s="137" t="n">
        <x:v>1051.1691253096637</x:v>
      </x:c>
      <x:c r="J897" s="137" t="n">
        <x:v>1776.4612583620033</x:v>
      </x:c>
      <x:c r="K897" s="136" t="str">
        <x:v>map-41</x:v>
      </x:c>
      <x:c r="L897" s="136" t="str">
        <x:v>DrillCamp | Drill Camp | Drill Camp CSA||Spawn | CSA Spawnpoint-CSA-Infantry [map-41/003]</x:v>
      </x:c>
      <x:c r="M897" s="35"/>
      <x:c r="N897" s="35"/>
      <x:c r="O897" s="35"/>
      <x:c r="P897" s="35"/>
      <x:c r="Q897" s="35"/>
      <x:c r="R897" s="35"/>
      <x:c r="S897" s="35"/>
      <x:c r="T897" s="35"/>
      <x:c r="U897" s="35"/>
      <x:c r="V897" s="35"/>
      <x:c r="W897" s="35"/>
      <x:c r="X897" s="35"/>
      <x:c r="Y897" s="35"/>
      <x:c r="Z897" s="35"/>
      <x:c r="AA897" s="35"/>
    </x:row>
    <x:row r="898">
      <x:c r="A898" s="136" t="str">
        <x:v>DrillCamp | Drill Camp | Drill Camp CSA</x:v>
      </x:c>
      <x:c r="B898" s="136" t="str">
        <x:v>Gun | 10-pounder Parrott · Entity-428 [map-41/004]</x:v>
      </x:c>
      <x:c r="C898" s="136" t="str">
        <x:v>gun_spawn</x:v>
      </x:c>
      <x:c r="D898" s="136" t="str"/>
      <x:c r="E898" s="136" t="str">
        <x:v>10-pounder Parrott · Entity-428</x:v>
      </x:c>
      <x:c r="F898" s="137" t="n">
        <x:v>1429.22998046875</x:v>
      </x:c>
      <x:c r="G898" s="137" t="n">
        <x:v>1014.280029296875</x:v>
      </x:c>
      <x:c r="H898" s="137" t="n">
        <x:v>58.477073669433594</x:v>
      </x:c>
      <x:c r="I898" s="137" t="n">
        <x:v>992.5612073612042</x:v>
      </x:c>
      <x:c r="J898" s="137" t="n">
        <x:v>1465.837402763821</x:v>
      </x:c>
      <x:c r="K898" s="136" t="str">
        <x:v>map-41</x:v>
      </x:c>
      <x:c r="L898" s="136" t="str">
        <x:v>DrillCamp | Drill Camp | Drill Camp CSA||Gun | 10-pounder Parrott · Entity-428 [map-41/004]</x:v>
      </x:c>
      <x:c r="M898" s="35"/>
      <x:c r="N898" s="35"/>
      <x:c r="O898" s="35"/>
      <x:c r="P898" s="35"/>
      <x:c r="Q898" s="35"/>
      <x:c r="R898" s="35"/>
      <x:c r="S898" s="35"/>
      <x:c r="T898" s="35"/>
      <x:c r="U898" s="35"/>
      <x:c r="V898" s="35"/>
      <x:c r="W898" s="35"/>
      <x:c r="X898" s="35"/>
      <x:c r="Y898" s="35"/>
      <x:c r="Z898" s="35"/>
      <x:c r="AA898" s="35"/>
    </x:row>
    <x:row r="899">
      <x:c r="A899" s="136" t="str">
        <x:v>DrillCamp | Drill Camp | Drill Camp CSA</x:v>
      </x:c>
      <x:c r="B899" s="136" t="str">
        <x:v>Gun | 12-pounder Napoleon (USA) · Entity-408 [map-41/005]</x:v>
      </x:c>
      <x:c r="C899" s="136" t="str">
        <x:v>gun_spawn</x:v>
      </x:c>
      <x:c r="D899" s="136" t="str"/>
      <x:c r="E899" s="136" t="str">
        <x:v>12-pounder Napoleon (USA) · Entity-408</x:v>
      </x:c>
      <x:c r="F899" s="137" t="n">
        <x:v>1416.75</x:v>
      </x:c>
      <x:c r="G899" s="137" t="n">
        <x:v>1018.3200073242188</x:v>
      </x:c>
      <x:c r="H899" s="137" t="n">
        <x:v>58.4827766418457</x:v>
      </x:c>
      <x:c r="I899" s="137" t="n">
        <x:v>983.8942015950336</x:v>
      </x:c>
      <x:c r="J899" s="137" t="n">
        <x:v>1463.0317483041954</x:v>
      </x:c>
      <x:c r="K899" s="136" t="str">
        <x:v>map-41</x:v>
      </x:c>
      <x:c r="L899" s="136" t="str">
        <x:v>DrillCamp | Drill Camp | Drill Camp CSA||Gun | 12-pounder Napoleon (USA) · Entity-408 [map-41/005]</x:v>
      </x:c>
      <x:c r="M899" s="35"/>
      <x:c r="N899" s="35"/>
      <x:c r="O899" s="35"/>
      <x:c r="P899" s="35"/>
      <x:c r="Q899" s="35"/>
      <x:c r="R899" s="35"/>
      <x:c r="S899" s="35"/>
      <x:c r="T899" s="35"/>
      <x:c r="U899" s="35"/>
      <x:c r="V899" s="35"/>
      <x:c r="W899" s="35"/>
      <x:c r="X899" s="35"/>
      <x:c r="Y899" s="35"/>
      <x:c r="Z899" s="35"/>
      <x:c r="AA899" s="35"/>
    </x:row>
    <x:row r="900">
      <x:c r="A900" s="136" t="str">
        <x:v>DrillCamp | Drill Camp | Drill Camp CSA</x:v>
      </x:c>
      <x:c r="B900" s="136" t="str">
        <x:v>Gun | 3-inch Ordnance · Entity-429 [map-41/006]</x:v>
      </x:c>
      <x:c r="C900" s="136" t="str">
        <x:v>gun_spawn</x:v>
      </x:c>
      <x:c r="D900" s="136" t="str"/>
      <x:c r="E900" s="136" t="str">
        <x:v>3-inch Ordnance · Entity-429</x:v>
      </x:c>
      <x:c r="F900" s="137" t="n">
        <x:v>1441.969970703125</x:v>
      </x:c>
      <x:c r="G900" s="137" t="n">
        <x:v>1010.5999755859375</x:v>
      </x:c>
      <x:c r="H900" s="137" t="n">
        <x:v>58.40772247314453</x:v>
      </x:c>
      <x:c r="I900" s="137" t="n">
        <x:v>1001.4087828120453</x:v>
      </x:c>
      <x:c r="J900" s="137" t="n">
        <x:v>1468.3930996106535</x:v>
      </x:c>
      <x:c r="K900" s="136" t="str">
        <x:v>map-41</x:v>
      </x:c>
      <x:c r="L900" s="136" t="str">
        <x:v>DrillCamp | Drill Camp | Drill Camp CSA||Gun | 3-inch Ordnance · Entity-429 [map-41/006]</x:v>
      </x:c>
      <x:c r="M900" s="35"/>
      <x:c r="N900" s="35"/>
      <x:c r="O900" s="35"/>
      <x:c r="P900" s="35"/>
      <x:c r="Q900" s="35"/>
      <x:c r="R900" s="35"/>
      <x:c r="S900" s="35"/>
      <x:c r="T900" s="35"/>
      <x:c r="U900" s="35"/>
      <x:c r="V900" s="35"/>
      <x:c r="W900" s="35"/>
      <x:c r="X900" s="35"/>
      <x:c r="Y900" s="35"/>
      <x:c r="Z900" s="35"/>
      <x:c r="AA900" s="35"/>
    </x:row>
    <x:row r="901">
      <x:c r="A901" s="136" t="str">
        <x:v>DrillCamp | Drill Camp | Drill Camp CSA</x:v>
      </x:c>
      <x:c r="B901" s="136" t="str">
        <x:v>Gun | 12-pounder Napoleon (CSA) · Entity-409 [map-41/007]</x:v>
      </x:c>
      <x:c r="C901" s="136" t="str">
        <x:v>gun_spawn</x:v>
      </x:c>
      <x:c r="D901" s="136" t="str"/>
      <x:c r="E901" s="136" t="str">
        <x:v>12-pounder Napoleon (CSA) · Entity-409</x:v>
      </x:c>
      <x:c r="F901" s="137" t="n">
        <x:v>1405.239990234375</x:v>
      </x:c>
      <x:c r="G901" s="137" t="n">
        <x:v>1021.8400268554688</x:v>
      </x:c>
      <x:c r="H901" s="137" t="n">
        <x:v>58.45000457763672</x:v>
      </x:c>
      <x:c r="I901" s="137" t="n">
        <x:v>975.9008140046325</x:v>
      </x:c>
      <x:c r="J901" s="137" t="n">
        <x:v>1460.58719082666</x:v>
      </x:c>
      <x:c r="K901" s="136" t="str">
        <x:v>map-41</x:v>
      </x:c>
      <x:c r="L901" s="136" t="str">
        <x:v>DrillCamp | Drill Camp | Drill Camp CSA||Gun | 12-pounder Napoleon (CSA) · Entity-409 [map-41/007]</x:v>
      </x:c>
      <x:c r="M901" s="35"/>
      <x:c r="N901" s="35"/>
      <x:c r="O901" s="35"/>
      <x:c r="P901" s="35"/>
      <x:c r="Q901" s="35"/>
      <x:c r="R901" s="35"/>
      <x:c r="S901" s="35"/>
      <x:c r="T901" s="35"/>
      <x:c r="U901" s="35"/>
      <x:c r="V901" s="35"/>
      <x:c r="W901" s="35"/>
      <x:c r="X901" s="35"/>
      <x:c r="Y901" s="35"/>
      <x:c r="Z901" s="35"/>
      <x:c r="AA901" s="35"/>
    </x:row>
    <x:row r="902">
      <x:c r="A902" s="136" t="str">
        <x:v>DrillCamp | Onslaught | Drill Camp (Onslaught)</x:v>
      </x:c>
      <x:c r="B902" s="136" t="str">
        <x:v>Objective | LTMOnslaught_2_CaptureArea [map-42/001]</x:v>
      </x:c>
      <x:c r="C902" s="136" t="str">
        <x:v>objective</x:v>
      </x:c>
      <x:c r="D902" s="136" t="str"/>
      <x:c r="E902" s="136" t="str">
        <x:v>LTMOnslaught_2_CaptureArea</x:v>
      </x:c>
      <x:c r="F902" s="137" t="n">
        <x:v>1072.4371337890625</x:v>
      </x:c>
      <x:c r="G902" s="137" t="n">
        <x:v>2730.24951171875</x:v>
      </x:c>
      <x:c r="H902" s="137" t="n">
        <x:v>56.71550750732422</x:v>
      </x:c>
      <x:c r="I902" s="137" t="n">
        <x:v>184.0533638567368</x:v>
      </x:c>
      <x:c r="J902" s="137" t="n">
        <x:v>156.88868496616087</x:v>
      </x:c>
      <x:c r="K902" s="136" t="str">
        <x:v>map-42</x:v>
      </x:c>
      <x:c r="L902" s="136" t="str">
        <x:v>DrillCamp | Onslaught | Drill Camp (Onslaught)||Objective | LTMOnslaught_2_CaptureArea [map-42/001]</x:v>
      </x:c>
      <x:c r="M902" s="35"/>
      <x:c r="N902" s="35"/>
      <x:c r="O902" s="35"/>
      <x:c r="P902" s="35"/>
      <x:c r="Q902" s="35"/>
      <x:c r="R902" s="35"/>
      <x:c r="S902" s="35"/>
      <x:c r="T902" s="35"/>
      <x:c r="U902" s="35"/>
      <x:c r="V902" s="35"/>
      <x:c r="W902" s="35"/>
      <x:c r="X902" s="35"/>
      <x:c r="Y902" s="35"/>
      <x:c r="Z902" s="35"/>
      <x:c r="AA902" s="35"/>
    </x:row>
    <x:row r="903">
      <x:c r="A903" s="136" t="str">
        <x:v>DrillCamp | Onslaught | Drill Camp (Onslaught)</x:v>
      </x:c>
      <x:c r="B903" s="136" t="str">
        <x:v>Objective | LTMOnslaught_5_CaptureArea [map-42/002]</x:v>
      </x:c>
      <x:c r="C903" s="136" t="str">
        <x:v>objective</x:v>
      </x:c>
      <x:c r="D903" s="136" t="str"/>
      <x:c r="E903" s="136" t="str">
        <x:v>LTMOnslaught_5_CaptureArea</x:v>
      </x:c>
      <x:c r="F903" s="137" t="n">
        <x:v>1345.097900390625</x:v>
      </x:c>
      <x:c r="G903" s="137" t="n">
        <x:v>1397.6058349609375</x:v>
      </x:c>
      <x:c r="H903" s="137" t="n">
        <x:v>55.30560302734375</x:v>
      </x:c>
      <x:c r="I903" s="137" t="n">
        <x:v>525.5880732299075</x:v>
      </x:c>
      <x:c r="J903" s="137" t="n">
        <x:v>1826.1573388776806</x:v>
      </x:c>
      <x:c r="K903" s="136" t="str">
        <x:v>map-42</x:v>
      </x:c>
      <x:c r="L903" s="136" t="str">
        <x:v>DrillCamp | Onslaught | Drill Camp (Onslaught)||Objective | LTMOnslaught_5_CaptureArea [map-42/002]</x:v>
      </x:c>
      <x:c r="M903" s="35"/>
      <x:c r="N903" s="35"/>
      <x:c r="O903" s="35"/>
      <x:c r="P903" s="35"/>
      <x:c r="Q903" s="35"/>
      <x:c r="R903" s="35"/>
      <x:c r="S903" s="35"/>
      <x:c r="T903" s="35"/>
      <x:c r="U903" s="35"/>
      <x:c r="V903" s="35"/>
      <x:c r="W903" s="35"/>
      <x:c r="X903" s="35"/>
      <x:c r="Y903" s="35"/>
      <x:c r="Z903" s="35"/>
      <x:c r="AA903" s="35"/>
    </x:row>
    <x:row r="904">
      <x:c r="A904" s="136" t="str">
        <x:v>DrillCamp | Onslaught | Drill Camp (Onslaught)</x:v>
      </x:c>
      <x:c r="B904" s="136" t="str">
        <x:v>Objective | LTMOnslaught_3_CaptureArea [map-42/003]</x:v>
      </x:c>
      <x:c r="C904" s="136" t="str">
        <x:v>objective</x:v>
      </x:c>
      <x:c r="D904" s="136" t="str"/>
      <x:c r="E904" s="136" t="str">
        <x:v>LTMOnslaught_3_CaptureArea</x:v>
      </x:c>
      <x:c r="F904" s="137" t="n">
        <x:v>987.643798828125</x:v>
      </x:c>
      <x:c r="G904" s="137" t="n">
        <x:v>2228.0791015625</x:v>
      </x:c>
      <x:c r="H904" s="137" t="n">
        <x:v>62.21094512939453</x:v>
      </x:c>
      <x:c r="I904" s="137" t="n">
        <x:v>77.84128437929374</x:v>
      </x:c>
      <x:c r="J904" s="137" t="n">
        <x:v>785.9070333930372</x:v>
      </x:c>
      <x:c r="K904" s="136" t="str">
        <x:v>map-42</x:v>
      </x:c>
      <x:c r="L904" s="136" t="str">
        <x:v>DrillCamp | Onslaught | Drill Camp (Onslaught)||Objective | LTMOnslaught_3_CaptureArea [map-42/003]</x:v>
      </x:c>
      <x:c r="M904" s="35"/>
      <x:c r="N904" s="35"/>
      <x:c r="O904" s="35"/>
      <x:c r="P904" s="35"/>
      <x:c r="Q904" s="35"/>
      <x:c r="R904" s="35"/>
      <x:c r="S904" s="35"/>
      <x:c r="T904" s="35"/>
      <x:c r="U904" s="35"/>
      <x:c r="V904" s="35"/>
      <x:c r="W904" s="35"/>
      <x:c r="X904" s="35"/>
      <x:c r="Y904" s="35"/>
      <x:c r="Z904" s="35"/>
      <x:c r="AA904" s="35"/>
    </x:row>
    <x:row r="905">
      <x:c r="A905" s="136" t="str">
        <x:v>DrillCamp | Onslaught | Drill Camp (Onslaught)</x:v>
      </x:c>
      <x:c r="B905" s="136" t="str">
        <x:v>Objective | LTMOnslaught_4_CaptureArea [map-42/004]</x:v>
      </x:c>
      <x:c r="C905" s="136" t="str">
        <x:v>objective</x:v>
      </x:c>
      <x:c r="D905" s="136" t="str"/>
      <x:c r="E905" s="136" t="str">
        <x:v>LTMOnslaught_4_CaptureArea</x:v>
      </x:c>
      <x:c r="F905" s="137" t="n">
        <x:v>1350.1453857421875</x:v>
      </x:c>
      <x:c r="G905" s="137" t="n">
        <x:v>1859.879638671875</x:v>
      </x:c>
      <x:c r="H905" s="137" t="n">
        <x:v>56.64583206176758</x:v>
      </x:c>
      <x:c r="I905" s="137" t="n">
        <x:v>531.9105502921478</x:v>
      </x:c>
      <x:c r="J905" s="137" t="n">
        <x:v>1247.1134552669591</x:v>
      </x:c>
      <x:c r="K905" s="136" t="str">
        <x:v>map-42</x:v>
      </x:c>
      <x:c r="L905" s="136" t="str">
        <x:v>DrillCamp | Onslaught | Drill Camp (Onslaught)||Objective | LTMOnslaught_4_CaptureArea [map-42/004]</x:v>
      </x:c>
      <x:c r="M905" s="35"/>
      <x:c r="N905" s="35"/>
      <x:c r="O905" s="35"/>
      <x:c r="P905" s="35"/>
      <x:c r="Q905" s="35"/>
      <x:c r="R905" s="35"/>
      <x:c r="S905" s="35"/>
      <x:c r="T905" s="35"/>
      <x:c r="U905" s="35"/>
      <x:c r="V905" s="35"/>
      <x:c r="W905" s="35"/>
      <x:c r="X905" s="35"/>
      <x:c r="Y905" s="35"/>
      <x:c r="Z905" s="35"/>
      <x:c r="AA905" s="35"/>
    </x:row>
    <x:row r="906">
      <x:c r="A906" s="136" t="str">
        <x:v>DrillCamp | Picket Patrol | Picket Patrol 01</x:v>
      </x:c>
      <x:c r="B906" s="136" t="str">
        <x:v>Spawn | Spawnpoint_Picket_Patrol_1_6 [map-43/001]</x:v>
      </x:c>
      <x:c r="C906" s="136" t="str">
        <x:v>spawn</x:v>
      </x:c>
      <x:c r="D906" s="136" t="str"/>
      <x:c r="E906" s="136" t="str">
        <x:v>Spawnpoint_Picket_Patrol_1_6</x:v>
      </x:c>
      <x:c r="F906" s="137" t="n">
        <x:v>1009.9464721679688</x:v>
      </x:c>
      <x:c r="G906" s="137" t="n">
        <x:v>415.15631103515625</x:v>
      </x:c>
      <x:c r="H906" s="137" t="n">
        <x:v>76.49603271484375</x:v>
      </x:c>
      <x:c r="I906" s="137" t="n">
        <x:v>1624.7460703592812</x:v>
      </x:c>
      <x:c r="J906" s="137" t="n">
        <x:v>1684.938000856431</x:v>
      </x:c>
      <x:c r="K906" s="136" t="str">
        <x:v>map-43</x:v>
      </x:c>
      <x:c r="L906" s="136" t="str">
        <x:v>DrillCamp | Picket Patrol | Picket Patrol 01||Spawn | Spawnpoint_Picket_Patrol_1_6 [map-43/001]</x:v>
      </x:c>
      <x:c r="M906" s="35"/>
      <x:c r="N906" s="35"/>
      <x:c r="O906" s="35"/>
      <x:c r="P906" s="35"/>
      <x:c r="Q906" s="35"/>
      <x:c r="R906" s="35"/>
      <x:c r="S906" s="35"/>
      <x:c r="T906" s="35"/>
      <x:c r="U906" s="35"/>
      <x:c r="V906" s="35"/>
      <x:c r="W906" s="35"/>
      <x:c r="X906" s="35"/>
      <x:c r="Y906" s="35"/>
      <x:c r="Z906" s="35"/>
      <x:c r="AA906" s="35"/>
    </x:row>
    <x:row r="907">
      <x:c r="A907" s="136" t="str">
        <x:v>DrillCamp | Picket Patrol | Picket Patrol 01</x:v>
      </x:c>
      <x:c r="B907" s="136" t="str">
        <x:v>Spawn | Spawnpoint_Picket_Patrol_1_5 [map-43/002]</x:v>
      </x:c>
      <x:c r="C907" s="136" t="str">
        <x:v>spawn</x:v>
      </x:c>
      <x:c r="D907" s="136" t="str"/>
      <x:c r="E907" s="136" t="str">
        <x:v>Spawnpoint_Picket_Patrol_1_5</x:v>
      </x:c>
      <x:c r="F907" s="137" t="n">
        <x:v>1084.224609375</x:v>
      </x:c>
      <x:c r="G907" s="137" t="n">
        <x:v>728.2091064453125</x:v>
      </x:c>
      <x:c r="H907" s="137" t="n">
        <x:v>72.86270141601562</x:v>
      </x:c>
      <x:c r="I907" s="137" t="n">
        <x:v>1852.4730538922156</x:v>
      </x:c>
      <x:c r="J907" s="137" t="n">
        <x:v>691.9242488247878</x:v>
      </x:c>
      <x:c r="K907" s="136" t="str">
        <x:v>map-43</x:v>
      </x:c>
      <x:c r="L907" s="136" t="str">
        <x:v>DrillCamp | Picket Patrol | Picket Patrol 01||Spawn | Spawnpoint_Picket_Patrol_1_5 [map-43/002]</x:v>
      </x:c>
      <x:c r="M907" s="35"/>
      <x:c r="N907" s="35"/>
      <x:c r="O907" s="35"/>
      <x:c r="P907" s="35"/>
      <x:c r="Q907" s="35"/>
      <x:c r="R907" s="35"/>
      <x:c r="S907" s="35"/>
      <x:c r="T907" s="35"/>
      <x:c r="U907" s="35"/>
      <x:c r="V907" s="35"/>
      <x:c r="W907" s="35"/>
      <x:c r="X907" s="35"/>
      <x:c r="Y907" s="35"/>
      <x:c r="Z907" s="35"/>
      <x:c r="AA907" s="35"/>
    </x:row>
    <x:row r="908">
      <x:c r="A908" s="136" t="str">
        <x:v>DrillCamp | Picket Patrol | Picket Patrol 01</x:v>
      </x:c>
      <x:c r="B908" s="136" t="str">
        <x:v>Spawn | Spawnpoint_Picket_Patrol_1_2 [map-43/003]</x:v>
      </x:c>
      <x:c r="C908" s="136" t="str">
        <x:v>spawn</x:v>
      </x:c>
      <x:c r="D908" s="136" t="str"/>
      <x:c r="E908" s="136" t="str">
        <x:v>Spawnpoint_Picket_Patrol_1_2</x:v>
      </x:c>
      <x:c r="F908" s="137" t="n">
        <x:v>554.69091796875</x:v>
      </x:c>
      <x:c r="G908" s="137" t="n">
        <x:v>519.83837890625</x:v>
      </x:c>
      <x:c r="H908" s="137" t="n">
        <x:v>140.5824432373047</x:v>
      </x:c>
      <x:c r="I908" s="137" t="n">
        <x:v>228.9925149700599</x:v>
      </x:c>
      <x:c r="J908" s="137" t="n">
        <x:v>1395.9079131195915</x:v>
      </x:c>
      <x:c r="K908" s="136" t="str">
        <x:v>map-43</x:v>
      </x:c>
      <x:c r="L908" s="136" t="str">
        <x:v>DrillCamp | Picket Patrol | Picket Patrol 01||Spawn | Spawnpoint_Picket_Patrol_1_2 [map-43/003]</x:v>
      </x:c>
      <x:c r="M908" s="35"/>
      <x:c r="N908" s="35"/>
      <x:c r="O908" s="35"/>
      <x:c r="P908" s="35"/>
      <x:c r="Q908" s="35"/>
      <x:c r="R908" s="35"/>
      <x:c r="S908" s="35"/>
      <x:c r="T908" s="35"/>
      <x:c r="U908" s="35"/>
      <x:c r="V908" s="35"/>
      <x:c r="W908" s="35"/>
      <x:c r="X908" s="35"/>
      <x:c r="Y908" s="35"/>
      <x:c r="Z908" s="35"/>
      <x:c r="AA908" s="35"/>
    </x:row>
    <x:row r="909">
      <x:c r="A909" s="136" t="str">
        <x:v>DrillCamp | Picket Patrol | Picket Patrol 01</x:v>
      </x:c>
      <x:c r="B909" s="136" t="str">
        <x:v>Spawn | Spawnpoint_Picket_Patrol_1_1 [map-43/004]</x:v>
      </x:c>
      <x:c r="C909" s="136" t="str">
        <x:v>spawn</x:v>
      </x:c>
      <x:c r="D909" s="136" t="str"/>
      <x:c r="E909" s="136" t="str">
        <x:v>Spawnpoint_Picket_Patrol_1_1</x:v>
      </x:c>
      <x:c r="F909" s="137" t="n">
        <x:v>642.7883911132812</x:v>
      </x:c>
      <x:c r="G909" s="137" t="n">
        <x:v>806.6609497070312</x:v>
      </x:c>
      <x:c r="H909" s="137" t="n">
        <x:v>116.94803619384766</x:v>
      </x:c>
      <x:c r="I909" s="137" t="n">
        <x:v>499.08776197604794</x:v>
      </x:c>
      <x:c r="J909" s="137" t="n">
        <x:v>484.3010888659177</x:v>
      </x:c>
      <x:c r="K909" s="136" t="str">
        <x:v>map-43</x:v>
      </x:c>
      <x:c r="L909" s="136" t="str">
        <x:v>DrillCamp | Picket Patrol | Picket Patrol 01||Spawn | Spawnpoint_Picket_Patrol_1_1 [map-43/004]</x:v>
      </x:c>
      <x:c r="M909" s="35"/>
      <x:c r="N909" s="35"/>
      <x:c r="O909" s="35"/>
      <x:c r="P909" s="35"/>
      <x:c r="Q909" s="35"/>
      <x:c r="R909" s="35"/>
      <x:c r="S909" s="35"/>
      <x:c r="T909" s="35"/>
      <x:c r="U909" s="35"/>
      <x:c r="V909" s="35"/>
      <x:c r="W909" s="35"/>
      <x:c r="X909" s="35"/>
      <x:c r="Y909" s="35"/>
      <x:c r="Z909" s="35"/>
      <x:c r="AA909" s="35"/>
    </x:row>
    <x:row r="910">
      <x:c r="A910" s="136" t="str">
        <x:v>DrillCamp | Picket Patrol | Picket Patrol 01</x:v>
      </x:c>
      <x:c r="B910" s="136" t="str">
        <x:v>Spawn | Spawnpoint_Picket_Patrol_1_4 [map-43/005]</x:v>
      </x:c>
      <x:c r="C910" s="136" t="str">
        <x:v>spawn</x:v>
      </x:c>
      <x:c r="D910" s="136" t="str"/>
      <x:c r="E910" s="136" t="str">
        <x:v>Spawnpoint_Picket_Patrol_1_4</x:v>
      </x:c>
      <x:c r="F910" s="137" t="n">
        <x:v>829.8558349609375</x:v>
      </x:c>
      <x:c r="G910" s="137" t="n">
        <x:v>453.4609069824219</x:v>
      </x:c>
      <x:c r="H910" s="137" t="n">
        <x:v>96.26359558105469</x:v>
      </x:c>
      <x:c r="I910" s="137" t="n">
        <x:v>1072.6119011976048</x:v>
      </x:c>
      <x:c r="J910" s="137" t="n">
        <x:v>1580.3883653021321</x:v>
      </x:c>
      <x:c r="K910" s="136" t="str">
        <x:v>map-43</x:v>
      </x:c>
      <x:c r="L910" s="136" t="str">
        <x:v>DrillCamp | Picket Patrol | Picket Patrol 01||Spawn | Spawnpoint_Picket_Patrol_1_4 [map-43/005]</x:v>
      </x:c>
      <x:c r="M910" s="35"/>
      <x:c r="N910" s="35"/>
      <x:c r="O910" s="35"/>
      <x:c r="P910" s="35"/>
      <x:c r="Q910" s="35"/>
      <x:c r="R910" s="35"/>
      <x:c r="S910" s="35"/>
      <x:c r="T910" s="35"/>
      <x:c r="U910" s="35"/>
      <x:c r="V910" s="35"/>
      <x:c r="W910" s="35"/>
      <x:c r="X910" s="35"/>
      <x:c r="Y910" s="35"/>
      <x:c r="Z910" s="35"/>
      <x:c r="AA910" s="35"/>
    </x:row>
    <x:row r="911">
      <x:c r="A911" s="136" t="str">
        <x:v>DrillCamp | Picket Patrol | Picket Patrol 01</x:v>
      </x:c>
      <x:c r="B911" s="136" t="str">
        <x:v>Spawn | Spawnpoint_Picket_Patrol_1_3 [map-43/006]</x:v>
      </x:c>
      <x:c r="C911" s="136" t="str">
        <x:v>spawn</x:v>
      </x:c>
      <x:c r="D911" s="136" t="str"/>
      <x:c r="E911" s="136" t="str">
        <x:v>Spawnpoint_Picket_Patrol_1_3</x:v>
      </x:c>
      <x:c r="F911" s="137" t="n">
        <x:v>913.4698486328125</x:v>
      </x:c>
      <x:c r="G911" s="137" t="n">
        <x:v>735.2381591796875</x:v>
      </x:c>
      <x:c r="H911" s="137" t="n">
        <x:v>93.15255737304688</x:v>
      </x:c>
      <x:c r="I911" s="137" t="n">
        <x:v>1328.9614520958085</x:v>
      </x:c>
      <x:c r="J911" s="137" t="n">
        <x:v>685.0799729711897</x:v>
      </x:c>
      <x:c r="K911" s="136" t="str">
        <x:v>map-43</x:v>
      </x:c>
      <x:c r="L911" s="136" t="str">
        <x:v>DrillCamp | Picket Patrol | Picket Patrol 01||Spawn | Spawnpoint_Picket_Patrol_1_3 [map-43/006]</x:v>
      </x:c>
      <x:c r="M911" s="35"/>
      <x:c r="N911" s="35"/>
      <x:c r="O911" s="35"/>
      <x:c r="P911" s="35"/>
      <x:c r="Q911" s="35"/>
      <x:c r="R911" s="35"/>
      <x:c r="S911" s="35"/>
      <x:c r="T911" s="35"/>
      <x:c r="U911" s="35"/>
      <x:c r="V911" s="35"/>
      <x:c r="W911" s="35"/>
      <x:c r="X911" s="35"/>
      <x:c r="Y911" s="35"/>
      <x:c r="Z911" s="35"/>
      <x:c r="AA911" s="35"/>
    </x:row>
    <x:row r="912">
      <x:c r="A912" s="136" t="str">
        <x:v>DrillCamp | Picket Patrol | Picket Patrol 02</x:v>
      </x:c>
      <x:c r="B912" s="136" t="str">
        <x:v>Spawn | Spawnpoint_Picket_Patrol_2_3 [map-44/001]</x:v>
      </x:c>
      <x:c r="C912" s="136" t="str">
        <x:v>spawn</x:v>
      </x:c>
      <x:c r="D912" s="136" t="str"/>
      <x:c r="E912" s="136" t="str">
        <x:v>Spawnpoint_Picket_Patrol_2_3</x:v>
      </x:c>
      <x:c r="F912" s="137" t="n">
        <x:v>1177.8294677734375</x:v>
      </x:c>
      <x:c r="G912" s="137" t="n">
        <x:v>1857.5419921875</x:v>
      </x:c>
      <x:c r="H912" s="137" t="n">
        <x:v>60.17583465576172</x:v>
      </x:c>
      <x:c r="I912" s="137" t="n">
        <x:v>1532.2775621118012</x:v>
      </x:c>
      <x:c r="J912" s="137" t="n">
        <x:v>1569.2577639751553</x:v>
      </x:c>
      <x:c r="K912" s="136" t="str">
        <x:v>map-44</x:v>
      </x:c>
      <x:c r="L912" s="136" t="str">
        <x:v>DrillCamp | Picket Patrol | Picket Patrol 02||Spawn | Spawnpoint_Picket_Patrol_2_3 [map-44/001]</x:v>
      </x:c>
      <x:c r="M912" s="35"/>
      <x:c r="N912" s="35"/>
      <x:c r="O912" s="35"/>
      <x:c r="P912" s="35"/>
      <x:c r="Q912" s="35"/>
      <x:c r="R912" s="35"/>
      <x:c r="S912" s="35"/>
      <x:c r="T912" s="35"/>
      <x:c r="U912" s="35"/>
      <x:c r="V912" s="35"/>
      <x:c r="W912" s="35"/>
      <x:c r="X912" s="35"/>
      <x:c r="Y912" s="35"/>
      <x:c r="Z912" s="35"/>
      <x:c r="AA912" s="35"/>
    </x:row>
    <x:row r="913">
      <x:c r="A913" s="136" t="str">
        <x:v>DrillCamp | Picket Patrol | Picket Patrol 02</x:v>
      </x:c>
      <x:c r="B913" s="136" t="str">
        <x:v>Spawn | Spawnpoint_Picket_Patrol_2_4 [map-44/002]</x:v>
      </x:c>
      <x:c r="C913" s="136" t="str">
        <x:v>spawn</x:v>
      </x:c>
      <x:c r="D913" s="136" t="str"/>
      <x:c r="E913" s="136" t="str">
        <x:v>Spawnpoint_Picket_Patrol_2_4</x:v>
      </x:c>
      <x:c r="F913" s="137" t="n">
        <x:v>838.5584106445312</x:v>
      </x:c>
      <x:c r="G913" s="137" t="n">
        <x:v>1954.71533203125</x:v>
      </x:c>
      <x:c r="H913" s="137" t="n">
        <x:v>63.40251159667969</x:v>
      </x:c>
      <x:c r="I913" s="137" t="n">
        <x:v>453.3534549689441</x:v>
      </x:c>
      <x:c r="J913" s="137" t="n">
        <x:v>1260.2344720496894</x:v>
      </x:c>
      <x:c r="K913" s="136" t="str">
        <x:v>map-44</x:v>
      </x:c>
      <x:c r="L913" s="136" t="str">
        <x:v>DrillCamp | Picket Patrol | Picket Patrol 02||Spawn | Spawnpoint_Picket_Patrol_2_4 [map-44/002]</x:v>
      </x:c>
      <x:c r="M913" s="35"/>
      <x:c r="N913" s="35"/>
      <x:c r="O913" s="35"/>
      <x:c r="P913" s="35"/>
      <x:c r="Q913" s="35"/>
      <x:c r="R913" s="35"/>
      <x:c r="S913" s="35"/>
      <x:c r="T913" s="35"/>
      <x:c r="U913" s="35"/>
      <x:c r="V913" s="35"/>
      <x:c r="W913" s="35"/>
      <x:c r="X913" s="35"/>
      <x:c r="Y913" s="35"/>
      <x:c r="Z913" s="35"/>
      <x:c r="AA913" s="35"/>
    </x:row>
    <x:row r="914">
      <x:c r="A914" s="136" t="str">
        <x:v>DrillCamp | Picket Patrol | Picket Patrol 02</x:v>
      </x:c>
      <x:c r="B914" s="136" t="str">
        <x:v>Spawn | Spawnpoint_Picket_Patrol_2_7 [map-44/003]</x:v>
      </x:c>
      <x:c r="C914" s="136" t="str">
        <x:v>spawn</x:v>
      </x:c>
      <x:c r="D914" s="136" t="str"/>
      <x:c r="E914" s="136" t="str">
        <x:v>Spawnpoint_Picket_Patrol_2_7</x:v>
      </x:c>
      <x:c r="F914" s="137" t="n">
        <x:v>1159.36181640625</x:v>
      </x:c>
      <x:c r="G914" s="137" t="n">
        <x:v>2160.10009765625</x:v>
      </x:c>
      <x:c r="H914" s="137" t="n">
        <x:v>56.8444709777832</x:v>
      </x:c>
      <x:c r="I914" s="137" t="n">
        <x:v>1473.5481366459628</x:v>
      </x:c>
      <x:c r="J914" s="137" t="n">
        <x:v>607.085403726708</x:v>
      </x:c>
      <x:c r="K914" s="136" t="str">
        <x:v>map-44</x:v>
      </x:c>
      <x:c r="L914" s="136" t="str">
        <x:v>DrillCamp | Picket Patrol | Picket Patrol 02||Spawn | Spawnpoint_Picket_Patrol_2_7 [map-44/003]</x:v>
      </x:c>
      <x:c r="M914" s="35"/>
      <x:c r="N914" s="35"/>
      <x:c r="O914" s="35"/>
      <x:c r="P914" s="35"/>
      <x:c r="Q914" s="35"/>
      <x:c r="R914" s="35"/>
      <x:c r="S914" s="35"/>
      <x:c r="T914" s="35"/>
      <x:c r="U914" s="35"/>
      <x:c r="V914" s="35"/>
      <x:c r="W914" s="35"/>
      <x:c r="X914" s="35"/>
      <x:c r="Y914" s="35"/>
      <x:c r="Z914" s="35"/>
      <x:c r="AA914" s="35"/>
    </x:row>
    <x:row r="915">
      <x:c r="A915" s="136" t="str">
        <x:v>DrillCamp | Picket Patrol | Picket Patrol 02</x:v>
      </x:c>
      <x:c r="B915" s="136" t="str">
        <x:v>Spawn | Spawnpoint_Picket_Patrol_2_5 [map-44/004]</x:v>
      </x:c>
      <x:c r="C915" s="136" t="str">
        <x:v>spawn</x:v>
      </x:c>
      <x:c r="D915" s="136" t="str"/>
      <x:c r="E915" s="136" t="str">
        <x:v>Spawnpoint_Picket_Patrol_2_5</x:v>
      </x:c>
      <x:c r="F915" s="137" t="n">
        <x:v>994.8304443359375</x:v>
      </x:c>
      <x:c r="G915" s="137" t="n">
        <x:v>2045.993896484375</x:v>
      </x:c>
      <x:c r="H915" s="137" t="n">
        <x:v>60.71406936645508</x:v>
      </x:c>
      <x:c r="I915" s="137" t="n">
        <x:v>950.3179347826087</x:v>
      </x:c>
      <x:c r="J915" s="137" t="n">
        <x:v>969.9572981366459</x:v>
      </x:c>
      <x:c r="K915" s="136" t="str">
        <x:v>map-44</x:v>
      </x:c>
      <x:c r="L915" s="136" t="str">
        <x:v>DrillCamp | Picket Patrol | Picket Patrol 02||Spawn | Spawnpoint_Picket_Patrol_2_5 [map-44/004]</x:v>
      </x:c>
      <x:c r="M915" s="35"/>
      <x:c r="N915" s="35"/>
      <x:c r="O915" s="35"/>
      <x:c r="P915" s="35"/>
      <x:c r="Q915" s="35"/>
      <x:c r="R915" s="35"/>
      <x:c r="S915" s="35"/>
      <x:c r="T915" s="35"/>
      <x:c r="U915" s="35"/>
      <x:c r="V915" s="35"/>
      <x:c r="W915" s="35"/>
      <x:c r="X915" s="35"/>
      <x:c r="Y915" s="35"/>
      <x:c r="Z915" s="35"/>
      <x:c r="AA915" s="35"/>
    </x:row>
    <x:row r="916">
      <x:c r="A916" s="136" t="str">
        <x:v>DrillCamp | Picket Patrol | Picket Patrol 02</x:v>
      </x:c>
      <x:c r="B916" s="136" t="str">
        <x:v>Spawn | Spawnpoint_Picket_Patrol_2_6 [map-44/005]</x:v>
      </x:c>
      <x:c r="C916" s="136" t="str">
        <x:v>spawn</x:v>
      </x:c>
      <x:c r="D916" s="136" t="str"/>
      <x:c r="E916" s="136" t="str">
        <x:v>Spawnpoint_Picket_Patrol_2_6</x:v>
      </x:c>
      <x:c r="F916" s="137" t="n">
        <x:v>927.510986328125</x:v>
      </x:c>
      <x:c r="G916" s="137" t="n">
        <x:v>2164.436767578125</x:v>
      </x:c>
      <x:c r="H916" s="137" t="n">
        <x:v>60.3358039855957</x:v>
      </x:c>
      <x:c r="I916" s="137" t="n">
        <x:v>736.2336956521739</x:v>
      </x:c>
      <x:c r="J916" s="137" t="n">
        <x:v>593.2942546583851</x:v>
      </x:c>
      <x:c r="K916" s="136" t="str">
        <x:v>map-44</x:v>
      </x:c>
      <x:c r="L916" s="136" t="str">
        <x:v>DrillCamp | Picket Patrol | Picket Patrol 02||Spawn | Spawnpoint_Picket_Patrol_2_6 [map-44/005]</x:v>
      </x:c>
      <x:c r="M916" s="35"/>
      <x:c r="N916" s="35"/>
      <x:c r="O916" s="35"/>
      <x:c r="P916" s="35"/>
      <x:c r="Q916" s="35"/>
      <x:c r="R916" s="35"/>
      <x:c r="S916" s="35"/>
      <x:c r="T916" s="35"/>
      <x:c r="U916" s="35"/>
      <x:c r="V916" s="35"/>
      <x:c r="W916" s="35"/>
      <x:c r="X916" s="35"/>
      <x:c r="Y916" s="35"/>
      <x:c r="Z916" s="35"/>
      <x:c r="AA916" s="35"/>
    </x:row>
    <x:row r="917">
      <x:c r="A917" s="136" t="str">
        <x:v>DrillCamp | Picket Patrol | Picket Patrol 02</x:v>
      </x:c>
      <x:c r="B917" s="136" t="str">
        <x:v>Spawn | Spawnpoint_Picket_Patrol_2_2 [map-44/006]</x:v>
      </x:c>
      <x:c r="C917" s="136" t="str">
        <x:v>spawn</x:v>
      </x:c>
      <x:c r="D917" s="136" t="str"/>
      <x:c r="E917" s="136" t="str">
        <x:v>Spawnpoint_Picket_Patrol_2_2</x:v>
      </x:c>
      <x:c r="F917" s="137" t="n">
        <x:v>1154.00341796875</x:v>
      </x:c>
      <x:c r="G917" s="137" t="n">
        <x:v>2012.3037109375</x:v>
      </x:c>
      <x:c r="H917" s="137" t="n">
        <x:v>60.381099700927734</x:v>
      </x:c>
      <x:c r="I917" s="137" t="n">
        <x:v>1456.5077639751553</x:v>
      </x:c>
      <x:c r="J917" s="137" t="n">
        <x:v>1077.0962732919254</x:v>
      </x:c>
      <x:c r="K917" s="136" t="str">
        <x:v>map-44</x:v>
      </x:c>
      <x:c r="L917" s="136" t="str">
        <x:v>DrillCamp | Picket Patrol | Picket Patrol 02||Spawn | Spawnpoint_Picket_Patrol_2_2 [map-44/006]</x:v>
      </x:c>
      <x:c r="M917" s="35"/>
      <x:c r="N917" s="35"/>
      <x:c r="O917" s="35"/>
      <x:c r="P917" s="35"/>
      <x:c r="Q917" s="35"/>
      <x:c r="R917" s="35"/>
      <x:c r="S917" s="35"/>
      <x:c r="T917" s="35"/>
      <x:c r="U917" s="35"/>
      <x:c r="V917" s="35"/>
      <x:c r="W917" s="35"/>
      <x:c r="X917" s="35"/>
      <x:c r="Y917" s="35"/>
      <x:c r="Z917" s="35"/>
      <x:c r="AA917" s="35"/>
    </x:row>
    <x:row r="918">
      <x:c r="A918" s="136" t="str">
        <x:v>DrillCamp | Picket Patrol | Picket Patrol 02</x:v>
      </x:c>
      <x:c r="B918" s="136" t="str">
        <x:v>Spawn | Spawnpoint_Picket_Patrol_2_1 [map-44/007]</x:v>
      </x:c>
      <x:c r="C918" s="136" t="str">
        <x:v>spawn</x:v>
      </x:c>
      <x:c r="D918" s="136" t="str"/>
      <x:c r="E918" s="136" t="str">
        <x:v>Spawnpoint_Picket_Patrol_2_1</x:v>
      </x:c>
      <x:c r="F918" s="137" t="n">
        <x:v>957.508056640625</x:v>
      </x:c>
      <x:c r="G918" s="137" t="n">
        <x:v>1864.172607421875</x:v>
      </x:c>
      <x:c r="H918" s="137" t="n">
        <x:v>63.6899528503418</x:v>
      </x:c>
      <x:c r="I918" s="137" t="n">
        <x:v>831.6281055900621</x:v>
      </x:c>
      <x:c r="J918" s="137" t="n">
        <x:v>1548.1715838509317</x:v>
      </x:c>
      <x:c r="K918" s="136" t="str">
        <x:v>map-44</x:v>
      </x:c>
      <x:c r="L918" s="136" t="str">
        <x:v>DrillCamp | Picket Patrol | Picket Patrol 02||Spawn | Spawnpoint_Picket_Patrol_2_1 [map-44/007]</x:v>
      </x:c>
      <x:c r="M918" s="35"/>
      <x:c r="N918" s="35"/>
      <x:c r="O918" s="35"/>
      <x:c r="P918" s="35"/>
      <x:c r="Q918" s="35"/>
      <x:c r="R918" s="35"/>
      <x:c r="S918" s="35"/>
      <x:c r="T918" s="35"/>
      <x:c r="U918" s="35"/>
      <x:c r="V918" s="35"/>
      <x:c r="W918" s="35"/>
      <x:c r="X918" s="35"/>
      <x:c r="Y918" s="35"/>
      <x:c r="Z918" s="35"/>
      <x:c r="AA918" s="35"/>
    </x:row>
    <x:row r="919">
      <x:c r="A919" s="136" t="str">
        <x:v>DrillCamp | Picket Patrol | Picket Patrol 03</x:v>
      </x:c>
      <x:c r="B919" s="136" t="str">
        <x:v>Spawn | Spawnpoint_Picket_Patrol_3_1 [map-45/001]</x:v>
      </x:c>
      <x:c r="C919" s="136" t="str">
        <x:v>spawn</x:v>
      </x:c>
      <x:c r="D919" s="136" t="str"/>
      <x:c r="E919" s="136" t="str">
        <x:v>Spawnpoint_Picket_Patrol_3_1</x:v>
      </x:c>
      <x:c r="F919" s="137" t="n">
        <x:v>1648.1671142578125</x:v>
      </x:c>
      <x:c r="G919" s="137" t="n">
        <x:v>1609.389404296875</x:v>
      </x:c>
      <x:c r="H919" s="137" t="n">
        <x:v>54.324378967285156</x:v>
      </x:c>
      <x:c r="I919" s="137" t="n">
        <x:v>380.62159653465346</x:v>
      </x:c>
      <x:c r="J919" s="137" t="n">
        <x:v>1031.8940513899258</x:v>
      </x:c>
      <x:c r="K919" s="136" t="str">
        <x:v>map-45</x:v>
      </x:c>
      <x:c r="L919" s="136" t="str">
        <x:v>DrillCamp | Picket Patrol | Picket Patrol 03||Spawn | Spawnpoint_Picket_Patrol_3_1 [map-45/001]</x:v>
      </x:c>
      <x:c r="M919" s="35"/>
      <x:c r="N919" s="35"/>
      <x:c r="O919" s="35"/>
      <x:c r="P919" s="35"/>
      <x:c r="Q919" s="35"/>
      <x:c r="R919" s="35"/>
      <x:c r="S919" s="35"/>
      <x:c r="T919" s="35"/>
      <x:c r="U919" s="35"/>
      <x:c r="V919" s="35"/>
      <x:c r="W919" s="35"/>
      <x:c r="X919" s="35"/>
      <x:c r="Y919" s="35"/>
      <x:c r="Z919" s="35"/>
      <x:c r="AA919" s="35"/>
    </x:row>
    <x:row r="920">
      <x:c r="A920" s="136" t="str">
        <x:v>DrillCamp | Picket Patrol | Picket Patrol 03</x:v>
      </x:c>
      <x:c r="B920" s="136" t="str">
        <x:v>Spawn | Spawnpoint_Picket_Patrol_3_4 [map-45/002]</x:v>
      </x:c>
      <x:c r="C920" s="136" t="str">
        <x:v>spawn</x:v>
      </x:c>
      <x:c r="D920" s="136" t="str"/>
      <x:c r="E920" s="136" t="str">
        <x:v>Spawnpoint_Picket_Patrol_3_4</x:v>
      </x:c>
      <x:c r="F920" s="137" t="n">
        <x:v>2057.84619140625</x:v>
      </x:c>
      <x:c r="G920" s="137" t="n">
        <x:v>1798.119384765625</x:v>
      </x:c>
      <x:c r="H920" s="137" t="n">
        <x:v>77.1790542602539</x:v>
      </x:c>
      <x:c r="I920" s="137" t="n">
        <x:v>1419.016089108911</x:v>
      </x:c>
      <x:c r="J920" s="137" t="n">
        <x:v>552.9361830444816</x:v>
      </x:c>
      <x:c r="K920" s="136" t="str">
        <x:v>map-45</x:v>
      </x:c>
      <x:c r="L920" s="136" t="str">
        <x:v>DrillCamp | Picket Patrol | Picket Patrol 03||Spawn | Spawnpoint_Picket_Patrol_3_4 [map-45/002]</x:v>
      </x:c>
      <x:c r="M920" s="35"/>
      <x:c r="N920" s="35"/>
      <x:c r="O920" s="35"/>
      <x:c r="P920" s="35"/>
      <x:c r="Q920" s="35"/>
      <x:c r="R920" s="35"/>
      <x:c r="S920" s="35"/>
      <x:c r="T920" s="35"/>
      <x:c r="U920" s="35"/>
      <x:c r="V920" s="35"/>
      <x:c r="W920" s="35"/>
      <x:c r="X920" s="35"/>
      <x:c r="Y920" s="35"/>
      <x:c r="Z920" s="35"/>
      <x:c r="AA920" s="35"/>
    </x:row>
    <x:row r="921">
      <x:c r="A921" s="136" t="str">
        <x:v>DrillCamp | Picket Patrol | Picket Patrol 03</x:v>
      </x:c>
      <x:c r="B921" s="136" t="str">
        <x:v>Spawn | Spawnpoint_Picket_Patrol_3_5 [map-45/003]</x:v>
      </x:c>
      <x:c r="C921" s="136" t="str">
        <x:v>spawn</x:v>
      </x:c>
      <x:c r="D921" s="136" t="str"/>
      <x:c r="E921" s="136" t="str">
        <x:v>Spawnpoint_Picket_Patrol_3_5</x:v>
      </x:c>
      <x:c r="F921" s="137" t="n">
        <x:v>1932.0380859375</x:v>
      </x:c>
      <x:c r="G921" s="137" t="n">
        <x:v>1673.5638427734375</x:v>
      </x:c>
      <x:c r="H921" s="137" t="n">
        <x:v>70.89599609375</x:v>
      </x:c>
      <x:c r="I921" s="137" t="n">
        <x:v>1100.1361386138615</x:v>
      </x:c>
      <x:c r="J921" s="137" t="n">
        <x:v>869.0325273296844</x:v>
      </x:c>
      <x:c r="K921" s="136" t="str">
        <x:v>map-45</x:v>
      </x:c>
      <x:c r="L921" s="136" t="str">
        <x:v>DrillCamp | Picket Patrol | Picket Patrol 03||Spawn | Spawnpoint_Picket_Patrol_3_5 [map-45/003]</x:v>
      </x:c>
      <x:c r="M921" s="35"/>
      <x:c r="N921" s="35"/>
      <x:c r="O921" s="35"/>
      <x:c r="P921" s="35"/>
      <x:c r="Q921" s="35"/>
      <x:c r="R921" s="35"/>
      <x:c r="S921" s="35"/>
      <x:c r="T921" s="35"/>
      <x:c r="U921" s="35"/>
      <x:c r="V921" s="35"/>
      <x:c r="W921" s="35"/>
      <x:c r="X921" s="35"/>
      <x:c r="Y921" s="35"/>
      <x:c r="Z921" s="35"/>
      <x:c r="AA921" s="35"/>
    </x:row>
    <x:row r="922">
      <x:c r="A922" s="136" t="str">
        <x:v>DrillCamp | Picket Patrol | Picket Patrol 03</x:v>
      </x:c>
      <x:c r="B922" s="136" t="str">
        <x:v>Spawn | Spawnpoint_Picket_Patrol_3_6 [map-45/004]</x:v>
      </x:c>
      <x:c r="C922" s="136" t="str">
        <x:v>spawn</x:v>
      </x:c>
      <x:c r="D922" s="136" t="str"/>
      <x:c r="E922" s="136" t="str">
        <x:v>Spawnpoint_Picket_Patrol_3_6</x:v>
      </x:c>
      <x:c r="F922" s="137" t="n">
        <x:v>1840.3031005859375</x:v>
      </x:c>
      <x:c r="G922" s="137" t="n">
        <x:v>1792.53271484375</x:v>
      </x:c>
      <x:c r="H922" s="137" t="n">
        <x:v>68.24580383300781</x:v>
      </x:c>
      <x:c r="I922" s="137" t="n">
        <x:v>867.6197400990098</x:v>
      </x:c>
      <x:c r="J922" s="137" t="n">
        <x:v>567.11400211851</x:v>
      </x:c>
      <x:c r="K922" s="136" t="str">
        <x:v>map-45</x:v>
      </x:c>
      <x:c r="L922" s="136" t="str">
        <x:v>DrillCamp | Picket Patrol | Picket Patrol 03||Spawn | Spawnpoint_Picket_Patrol_3_6 [map-45/004]</x:v>
      </x:c>
      <x:c r="M922" s="35"/>
      <x:c r="N922" s="35"/>
      <x:c r="O922" s="35"/>
      <x:c r="P922" s="35"/>
      <x:c r="Q922" s="35"/>
      <x:c r="R922" s="35"/>
      <x:c r="S922" s="35"/>
      <x:c r="T922" s="35"/>
      <x:c r="U922" s="35"/>
      <x:c r="V922" s="35"/>
      <x:c r="W922" s="35"/>
      <x:c r="X922" s="35"/>
      <x:c r="Y922" s="35"/>
      <x:c r="Z922" s="35"/>
      <x:c r="AA922" s="35"/>
    </x:row>
    <x:row r="923">
      <x:c r="A923" s="136" t="str">
        <x:v>DrillCamp | Picket Patrol | Picket Patrol 03</x:v>
      </x:c>
      <x:c r="B923" s="136" t="str">
        <x:v>Spawn | Spawnpoint_Picket_Patrol_3_2 [map-45/005]</x:v>
      </x:c>
      <x:c r="C923" s="136" t="str">
        <x:v>spawn</x:v>
      </x:c>
      <x:c r="D923" s="136" t="str"/>
      <x:c r="E923" s="136" t="str">
        <x:v>Spawnpoint_Picket_Patrol_3_2</x:v>
      </x:c>
      <x:c r="F923" s="137" t="n">
        <x:v>1877.4759521484375</x:v>
      </x:c>
      <x:c r="G923" s="137" t="n">
        <x:v>1447.959228515625</x:v>
      </x:c>
      <x:c r="H923" s="137" t="n">
        <x:v>59.478492736816406</x:v>
      </x:c>
      <x:c r="I923" s="137" t="n">
        <x:v>961.8400371287129</x:v>
      </x:c>
      <x:c r="J923" s="137" t="n">
        <x:v>1441.5706310556577</x:v>
      </x:c>
      <x:c r="K923" s="136" t="str">
        <x:v>map-45</x:v>
      </x:c>
      <x:c r="L923" s="136" t="str">
        <x:v>DrillCamp | Picket Patrol | Picket Patrol 03||Spawn | Spawnpoint_Picket_Patrol_3_2 [map-45/005]</x:v>
      </x:c>
      <x:c r="M923" s="35"/>
      <x:c r="N923" s="35"/>
      <x:c r="O923" s="35"/>
      <x:c r="P923" s="35"/>
      <x:c r="Q923" s="35"/>
      <x:c r="R923" s="35"/>
      <x:c r="S923" s="35"/>
      <x:c r="T923" s="35"/>
      <x:c r="U923" s="35"/>
      <x:c r="V923" s="35"/>
      <x:c r="W923" s="35"/>
      <x:c r="X923" s="35"/>
      <x:c r="Y923" s="35"/>
      <x:c r="Z923" s="35"/>
      <x:c r="AA923" s="35"/>
    </x:row>
    <x:row r="924">
      <x:c r="A924" s="136" t="str">
        <x:v>DrillCamp | Picket Patrol | Picket Patrol 03</x:v>
      </x:c>
      <x:c r="B924" s="136" t="str">
        <x:v>Spawn | Spawnpoint_Picket_Patrol_3_7 [map-45/006]</x:v>
      </x:c>
      <x:c r="C924" s="136" t="str">
        <x:v>spawn</x:v>
      </x:c>
      <x:c r="D924" s="136" t="str"/>
      <x:c r="E924" s="136" t="str">
        <x:v>Spawnpoint_Picket_Patrol_3_7</x:v>
      </x:c>
      <x:c r="F924" s="137" t="n">
        <x:v>1972.4393310546875</x:v>
      </x:c>
      <x:c r="G924" s="137" t="n">
        <x:v>1920.5604248046875</x:v>
      </x:c>
      <x:c r="H924" s="137" t="n">
        <x:v>64.63204956054688</x:v>
      </x:c>
      <x:c r="I924" s="137" t="n">
        <x:v>1202.5392945544554</x:v>
      </x:c>
      <x:c r="J924" s="137" t="n">
        <x:v>242.2060097595917</x:v>
      </x:c>
      <x:c r="K924" s="136" t="str">
        <x:v>map-45</x:v>
      </x:c>
      <x:c r="L924" s="136" t="str">
        <x:v>DrillCamp | Picket Patrol | Picket Patrol 03||Spawn | Spawnpoint_Picket_Patrol_3_7 [map-45/006]</x:v>
      </x:c>
      <x:c r="M924" s="35"/>
      <x:c r="N924" s="35"/>
      <x:c r="O924" s="35"/>
      <x:c r="P924" s="35"/>
      <x:c r="Q924" s="35"/>
      <x:c r="R924" s="35"/>
      <x:c r="S924" s="35"/>
      <x:c r="T924" s="35"/>
      <x:c r="U924" s="35"/>
      <x:c r="V924" s="35"/>
      <x:c r="W924" s="35"/>
      <x:c r="X924" s="35"/>
      <x:c r="Y924" s="35"/>
      <x:c r="Z924" s="35"/>
      <x:c r="AA924" s="35"/>
    </x:row>
    <x:row r="925">
      <x:c r="A925" s="136" t="str">
        <x:v>DrillCamp | Picket Patrol | Picket Patrol 03</x:v>
      </x:c>
      <x:c r="B925" s="136" t="str">
        <x:v>Spawn | Spawnpoint_Picket_Patrol_3_3 [map-45/007]</x:v>
      </x:c>
      <x:c r="C925" s="136" t="str">
        <x:v>spawn</x:v>
      </x:c>
      <x:c r="D925" s="136" t="str"/>
      <x:c r="E925" s="136" t="str">
        <x:v>Spawnpoint_Picket_Patrol_3_3</x:v>
      </x:c>
      <x:c r="F925" s="137" t="n">
        <x:v>2041.0831298828125</x:v>
      </x:c>
      <x:c r="G925" s="137" t="n">
        <x:v>1507.0103759765625</x:v>
      </x:c>
      <x:c r="H925" s="137" t="n">
        <x:v>68.45341491699219</x:v>
      </x:c>
      <x:c r="I925" s="137" t="n">
        <x:v>1376.5275371287128</x:v>
      </x:c>
      <x:c r="J925" s="137" t="n">
        <x:v>1291.7109657232268</x:v>
      </x:c>
      <x:c r="K925" s="136" t="str">
        <x:v>map-45</x:v>
      </x:c>
      <x:c r="L925" s="136" t="str">
        <x:v>DrillCamp | Picket Patrol | Picket Patrol 03||Spawn | Spawnpoint_Picket_Patrol_3_3 [map-45/007]</x:v>
      </x:c>
      <x:c r="M925" s="35"/>
      <x:c r="N925" s="35"/>
      <x:c r="O925" s="35"/>
      <x:c r="P925" s="35"/>
      <x:c r="Q925" s="35"/>
      <x:c r="R925" s="35"/>
      <x:c r="S925" s="35"/>
      <x:c r="T925" s="35"/>
      <x:c r="U925" s="35"/>
      <x:c r="V925" s="35"/>
      <x:c r="W925" s="35"/>
      <x:c r="X925" s="35"/>
      <x:c r="Y925" s="35"/>
      <x:c r="Z925" s="35"/>
      <x:c r="AA925" s="35"/>
    </x:row>
    <x:row r="926">
      <x:c r="A926" s="136" t="str">
        <x:v>DrillCamp | Picket Patrol | Picket Patrol 04</x:v>
      </x:c>
      <x:c r="B926" s="136" t="str">
        <x:v>Spawn | Spawnpoint_Picket_Patrol_4_3 [map-46/001]</x:v>
      </x:c>
      <x:c r="C926" s="136" t="str">
        <x:v>spawn</x:v>
      </x:c>
      <x:c r="D926" s="136" t="str"/>
      <x:c r="E926" s="136" t="str">
        <x:v>Spawnpoint_Picket_Patrol_4_3</x:v>
      </x:c>
      <x:c r="F926" s="137" t="n">
        <x:v>1693.1829833984375</x:v>
      </x:c>
      <x:c r="G926" s="137" t="n">
        <x:v>1908.53857421875</x:v>
      </x:c>
      <x:c r="H926" s="137" t="n">
        <x:v>54.37186050415039</x:v>
      </x:c>
      <x:c r="I926" s="137" t="n">
        <x:v>1523.3775314169625</x:v>
      </x:c>
      <x:c r="J926" s="137" t="n">
        <x:v>755.8016199554256</x:v>
      </x:c>
      <x:c r="K926" s="136" t="str">
        <x:v>map-46</x:v>
      </x:c>
      <x:c r="L926" s="136" t="str">
        <x:v>DrillCamp | Picket Patrol | Picket Patrol 04||Spawn | Spawnpoint_Picket_Patrol_4_3 [map-46/001]</x:v>
      </x:c>
      <x:c r="M926" s="35"/>
      <x:c r="N926" s="35"/>
      <x:c r="O926" s="35"/>
      <x:c r="P926" s="35"/>
      <x:c r="Q926" s="35"/>
      <x:c r="R926" s="35"/>
      <x:c r="S926" s="35"/>
      <x:c r="T926" s="35"/>
      <x:c r="U926" s="35"/>
      <x:c r="V926" s="35"/>
      <x:c r="W926" s="35"/>
      <x:c r="X926" s="35"/>
      <x:c r="Y926" s="35"/>
      <x:c r="Z926" s="35"/>
      <x:c r="AA926" s="35"/>
    </x:row>
    <x:row r="927">
      <x:c r="A927" s="136" t="str">
        <x:v>DrillCamp | Picket Patrol | Picket Patrol 04</x:v>
      </x:c>
      <x:c r="B927" s="136" t="str">
        <x:v>Spawn | Spawnpoint_Picket_Patrol_4_1 [map-46/002]</x:v>
      </x:c>
      <x:c r="C927" s="136" t="str">
        <x:v>spawn</x:v>
      </x:c>
      <x:c r="D927" s="136" t="str"/>
      <x:c r="E927" s="136" t="str">
        <x:v>Spawnpoint_Picket_Patrol_4_1</x:v>
      </x:c>
      <x:c r="F927" s="137" t="n">
        <x:v>1500.074951171875</x:v>
      </x:c>
      <x:c r="G927" s="137" t="n">
        <x:v>1617.9427490234375</x:v>
      </x:c>
      <x:c r="H927" s="137" t="n">
        <x:v>55.0960807800293</x:v>
      </x:c>
      <x:c r="I927" s="137" t="n">
        <x:v>989.6592449483205</x:v>
      </x:c>
      <x:c r="J927" s="137" t="n">
        <x:v>1558.959852629133</x:v>
      </x:c>
      <x:c r="K927" s="136" t="str">
        <x:v>map-46</x:v>
      </x:c>
      <x:c r="L927" s="136" t="str">
        <x:v>DrillCamp | Picket Patrol | Picket Patrol 04||Spawn | Spawnpoint_Picket_Patrol_4_1 [map-46/002]</x:v>
      </x:c>
      <x:c r="M927" s="35"/>
      <x:c r="N927" s="35"/>
      <x:c r="O927" s="35"/>
      <x:c r="P927" s="35"/>
      <x:c r="Q927" s="35"/>
      <x:c r="R927" s="35"/>
      <x:c r="S927" s="35"/>
      <x:c r="T927" s="35"/>
      <x:c r="U927" s="35"/>
      <x:c r="V927" s="35"/>
      <x:c r="W927" s="35"/>
      <x:c r="X927" s="35"/>
      <x:c r="Y927" s="35"/>
      <x:c r="Z927" s="35"/>
      <x:c r="AA927" s="35"/>
    </x:row>
    <x:row r="928">
      <x:c r="A928" s="136" t="str">
        <x:v>DrillCamp | Picket Patrol | Picket Patrol 04</x:v>
      </x:c>
      <x:c r="B928" s="136" t="str">
        <x:v>Spawn | Spawnpoint_Picket_Patrol_4_5 [map-46/003]</x:v>
      </x:c>
      <x:c r="C928" s="136" t="str">
        <x:v>spawn</x:v>
      </x:c>
      <x:c r="D928" s="136" t="str"/>
      <x:c r="E928" s="136" t="str">
        <x:v>Spawnpoint_Picket_Patrol_4_5</x:v>
      </x:c>
      <x:c r="F928" s="137" t="n">
        <x:v>1313.1309814453125</x:v>
      </x:c>
      <x:c r="G928" s="137" t="n">
        <x:v>1866.572998046875</x:v>
      </x:c>
      <x:c r="H928" s="137" t="n">
        <x:v>59.10963439941406</x:v>
      </x:c>
      <x:c r="I928" s="137" t="n">
        <x:v>472.97739573841346</x:v>
      </x:c>
      <x:c r="J928" s="137" t="n">
        <x:v>871.7874499950811</x:v>
      </x:c>
      <x:c r="K928" s="136" t="str">
        <x:v>map-46</x:v>
      </x:c>
      <x:c r="L928" s="136" t="str">
        <x:v>DrillCamp | Picket Patrol | Picket Patrol 04||Spawn | Spawnpoint_Picket_Patrol_4_5 [map-46/003]</x:v>
      </x:c>
      <x:c r="M928" s="35"/>
      <x:c r="N928" s="35"/>
      <x:c r="O928" s="35"/>
      <x:c r="P928" s="35"/>
      <x:c r="Q928" s="35"/>
      <x:c r="R928" s="35"/>
      <x:c r="S928" s="35"/>
      <x:c r="T928" s="35"/>
      <x:c r="U928" s="35"/>
      <x:c r="V928" s="35"/>
      <x:c r="W928" s="35"/>
      <x:c r="X928" s="35"/>
      <x:c r="Y928" s="35"/>
      <x:c r="Z928" s="35"/>
      <x:c r="AA928" s="35"/>
    </x:row>
    <x:row r="929">
      <x:c r="A929" s="136" t="str">
        <x:v>DrillCamp | Picket Patrol | Picket Patrol 04</x:v>
      </x:c>
      <x:c r="B929" s="136" t="str">
        <x:v>Spawn | Spawnpoint_Picket_Patrol_4_7 [map-46/004]</x:v>
      </x:c>
      <x:c r="C929" s="136" t="str">
        <x:v>spawn</x:v>
      </x:c>
      <x:c r="D929" s="136" t="str"/>
      <x:c r="E929" s="136" t="str">
        <x:v>Spawnpoint_Picket_Patrol_4_7</x:v>
      </x:c>
      <x:c r="F929" s="137" t="n">
        <x:v>1589.2554931640625</x:v>
      </x:c>
      <x:c r="G929" s="137" t="n">
        <x:v>1957.2750244140625</x:v>
      </x:c>
      <x:c r="H929" s="137" t="n">
        <x:v>52.703636169433594</x:v>
      </x:c>
      <x:c r="I929" s="137" t="n">
        <x:v>1236.1393395855646</x:v>
      </x:c>
      <x:c r="J929" s="137" t="n">
        <x:v>621.1022271498034</x:v>
      </x:c>
      <x:c r="K929" s="136" t="str">
        <x:v>map-46</x:v>
      </x:c>
      <x:c r="L929" s="136" t="str">
        <x:v>DrillCamp | Picket Patrol | Picket Patrol 04||Spawn | Spawnpoint_Picket_Patrol_4_7 [map-46/004]</x:v>
      </x:c>
      <x:c r="M929" s="35"/>
      <x:c r="N929" s="35"/>
      <x:c r="O929" s="35"/>
      <x:c r="P929" s="35"/>
      <x:c r="Q929" s="35"/>
      <x:c r="R929" s="35"/>
      <x:c r="S929" s="35"/>
      <x:c r="T929" s="35"/>
      <x:c r="U929" s="35"/>
      <x:c r="V929" s="35"/>
      <x:c r="W929" s="35"/>
      <x:c r="X929" s="35"/>
      <x:c r="Y929" s="35"/>
      <x:c r="Z929" s="35"/>
      <x:c r="AA929" s="35"/>
    </x:row>
    <x:row r="930">
      <x:c r="A930" s="136" t="str">
        <x:v>DrillCamp | Picket Patrol | Picket Patrol 04</x:v>
      </x:c>
      <x:c r="B930" s="136" t="str">
        <x:v>Spawn | Spawnpoint_Picket_Patrol_4_2 [map-46/005]</x:v>
      </x:c>
      <x:c r="C930" s="136" t="str">
        <x:v>spawn</x:v>
      </x:c>
      <x:c r="D930" s="136" t="str"/>
      <x:c r="E930" s="136" t="str">
        <x:v>Spawnpoint_Picket_Patrol_4_2</x:v>
      </x:c>
      <x:c r="F930" s="137" t="n">
        <x:v>1669.126220703125</x:v>
      </x:c>
      <x:c r="G930" s="137" t="n">
        <x:v>1741.9761962890625</x:v>
      </x:c>
      <x:c r="H930" s="137" t="n">
        <x:v>63.30607604980469</x:v>
      </x:c>
      <x:c r="I930" s="137" t="n">
        <x:v>1456.8886649742603</x:v>
      </x:c>
      <x:c r="J930" s="137" t="n">
        <x:v>1216.1521600845747</x:v>
      </x:c>
      <x:c r="K930" s="136" t="str">
        <x:v>map-46</x:v>
      </x:c>
      <x:c r="L930" s="136" t="str">
        <x:v>DrillCamp | Picket Patrol | Picket Patrol 04||Spawn | Spawnpoint_Picket_Patrol_4_2 [map-46/005]</x:v>
      </x:c>
      <x:c r="M930" s="35"/>
      <x:c r="N930" s="35"/>
      <x:c r="O930" s="35"/>
      <x:c r="P930" s="35"/>
      <x:c r="Q930" s="35"/>
      <x:c r="R930" s="35"/>
      <x:c r="S930" s="35"/>
      <x:c r="T930" s="35"/>
      <x:c r="U930" s="35"/>
      <x:c r="V930" s="35"/>
      <x:c r="W930" s="35"/>
      <x:c r="X930" s="35"/>
      <x:c r="Y930" s="35"/>
      <x:c r="Z930" s="35"/>
      <x:c r="AA930" s="35"/>
    </x:row>
    <x:row r="931">
      <x:c r="A931" s="136" t="str">
        <x:v>DrillCamp | Picket Patrol | Picket Patrol 04</x:v>
      </x:c>
      <x:c r="B931" s="136" t="str">
        <x:v>Spawn | Spawnpoint_Picket_Patrol_4_4 [map-46/006]</x:v>
      </x:c>
      <x:c r="C931" s="136" t="str">
        <x:v>spawn</x:v>
      </x:c>
      <x:c r="D931" s="136" t="str"/>
      <x:c r="E931" s="136" t="str">
        <x:v>Spawnpoint_Picket_Patrol_4_4</x:v>
      </x:c>
      <x:c r="F931" s="137" t="n">
        <x:v>1485.973876953125</x:v>
      </x:c>
      <x:c r="G931" s="137" t="n">
        <x:v>1986.84765625</x:v>
      </x:c>
      <x:c r="H931" s="137" t="n">
        <x:v>57.850013732910156</x:v>
      </x:c>
      <x:c r="I931" s="137" t="n">
        <x:v>950.6862354746982</x:v>
      </x:c>
      <x:c r="J931" s="137" t="n">
        <x:v>539.3684214253125</x:v>
      </x:c>
      <x:c r="K931" s="136" t="str">
        <x:v>map-46</x:v>
      </x:c>
      <x:c r="L931" s="136" t="str">
        <x:v>DrillCamp | Picket Patrol | Picket Patrol 04||Spawn | Spawnpoint_Picket_Patrol_4_4 [map-46/006]</x:v>
      </x:c>
      <x:c r="M931" s="35"/>
      <x:c r="N931" s="35"/>
      <x:c r="O931" s="35"/>
      <x:c r="P931" s="35"/>
      <x:c r="Q931" s="35"/>
      <x:c r="R931" s="35"/>
      <x:c r="S931" s="35"/>
      <x:c r="T931" s="35"/>
      <x:c r="U931" s="35"/>
      <x:c r="V931" s="35"/>
      <x:c r="W931" s="35"/>
      <x:c r="X931" s="35"/>
      <x:c r="Y931" s="35"/>
      <x:c r="Z931" s="35"/>
      <x:c r="AA931" s="35"/>
    </x:row>
    <x:row r="932">
      <x:c r="A932" s="136" t="str">
        <x:v>DrillCamp | Picket Patrol | Picket Patrol 04</x:v>
      </x:c>
      <x:c r="B932" s="136" t="str">
        <x:v>Spawn | Spawnpoint_Picket_Patrol_4_6 [map-46/007]</x:v>
      </x:c>
      <x:c r="C932" s="136" t="str">
        <x:v>spawn</x:v>
      </x:c>
      <x:c r="D932" s="136" t="str"/>
      <x:c r="E932" s="136" t="str">
        <x:v>Spawnpoint_Picket_Patrol_4_6</x:v>
      </x:c>
      <x:c r="F932" s="137" t="n">
        <x:v>1440.8349609375</x:v>
      </x:c>
      <x:c r="G932" s="137" t="n">
        <x:v>1693.2230224609375</x:v>
      </x:c>
      <x:c r="H932" s="137" t="n">
        <x:v>55.93433380126953</x:v>
      </x:c>
      <x:c r="I932" s="137" t="n">
        <x:v>825.9298251320864</x:v>
      </x:c>
      <x:c r="J932" s="137" t="n">
        <x:v>1350.897774212766</x:v>
      </x:c>
      <x:c r="K932" s="136" t="str">
        <x:v>map-46</x:v>
      </x:c>
      <x:c r="L932" s="136" t="str">
        <x:v>DrillCamp | Picket Patrol | Picket Patrol 04||Spawn | Spawnpoint_Picket_Patrol_4_6 [map-46/007]</x:v>
      </x:c>
      <x:c r="M932" s="35"/>
      <x:c r="N932" s="35"/>
      <x:c r="O932" s="35"/>
      <x:c r="P932" s="35"/>
      <x:c r="Q932" s="35"/>
      <x:c r="R932" s="35"/>
      <x:c r="S932" s="35"/>
      <x:c r="T932" s="35"/>
      <x:c r="U932" s="35"/>
      <x:c r="V932" s="35"/>
      <x:c r="W932" s="35"/>
      <x:c r="X932" s="35"/>
      <x:c r="Y932" s="35"/>
      <x:c r="Z932" s="35"/>
      <x:c r="AA932" s="35"/>
    </x:row>
    <x:row r="933">
      <x:c r="A933" s="136" t="str">
        <x:v>DrillCamp | Picket Patrol | Picket Patrol 05</x:v>
      </x:c>
      <x:c r="B933" s="136" t="str">
        <x:v>Spawn | Spawnpoint_Picket_Patrol_5_2 [map-47/001]</x:v>
      </x:c>
      <x:c r="C933" s="136" t="str">
        <x:v>spawn</x:v>
      </x:c>
      <x:c r="D933" s="136" t="str"/>
      <x:c r="E933" s="136" t="str">
        <x:v>Spawnpoint_Picket_Patrol_5_2</x:v>
      </x:c>
      <x:c r="F933" s="137" t="n">
        <x:v>1446.1070556640625</x:v>
      </x:c>
      <x:c r="G933" s="137" t="n">
        <x:v>1351.1201171875</x:v>
      </x:c>
      <x:c r="H933" s="137" t="n">
        <x:v>57.615966796875</x:v>
      </x:c>
      <x:c r="I933" s="137" t="n">
        <x:v>1413.4706853808707</x:v>
      </x:c>
      <x:c r="J933" s="137" t="n">
        <x:v>1309.7246972612404</x:v>
      </x:c>
      <x:c r="K933" s="136" t="str">
        <x:v>map-47</x:v>
      </x:c>
      <x:c r="L933" s="136" t="str">
        <x:v>DrillCamp | Picket Patrol | Picket Patrol 05||Spawn | Spawnpoint_Picket_Patrol_5_2 [map-47/001]</x:v>
      </x:c>
      <x:c r="M933" s="35"/>
      <x:c r="N933" s="35"/>
      <x:c r="O933" s="35"/>
      <x:c r="P933" s="35"/>
      <x:c r="Q933" s="35"/>
      <x:c r="R933" s="35"/>
      <x:c r="S933" s="35"/>
      <x:c r="T933" s="35"/>
      <x:c r="U933" s="35"/>
      <x:c r="V933" s="35"/>
      <x:c r="W933" s="35"/>
      <x:c r="X933" s="35"/>
      <x:c r="Y933" s="35"/>
      <x:c r="Z933" s="35"/>
      <x:c r="AA933" s="35"/>
    </x:row>
    <x:row r="934">
      <x:c r="A934" s="136" t="str">
        <x:v>DrillCamp | Picket Patrol | Picket Patrol 05</x:v>
      </x:c>
      <x:c r="B934" s="136" t="str">
        <x:v>Spawn | Spawnpoint_Picket_Patrol_5_3 [map-47/002]</x:v>
      </x:c>
      <x:c r="C934" s="136" t="str">
        <x:v>spawn</x:v>
      </x:c>
      <x:c r="D934" s="136" t="str"/>
      <x:c r="E934" s="136" t="str">
        <x:v>Spawnpoint_Picket_Patrol_5_3</x:v>
      </x:c>
      <x:c r="F934" s="137" t="n">
        <x:v>1482.002685546875</x:v>
      </x:c>
      <x:c r="G934" s="137" t="n">
        <x:v>1533.6712646484375</x:v>
      </x:c>
      <x:c r="H934" s="137" t="n">
        <x:v>55.29945755004883</x:v>
      </x:c>
      <x:c r="I934" s="137" t="n">
        <x:v>1512.5464938694777</x:v>
      </x:c>
      <x:c r="J934" s="137" t="n">
        <x:v>805.1838737007479</x:v>
      </x:c>
      <x:c r="K934" s="136" t="str">
        <x:v>map-47</x:v>
      </x:c>
      <x:c r="L934" s="136" t="str">
        <x:v>DrillCamp | Picket Patrol | Picket Patrol 05||Spawn | Spawnpoint_Picket_Patrol_5_3 [map-47/002]</x:v>
      </x:c>
      <x:c r="M934" s="35"/>
      <x:c r="N934" s="35"/>
      <x:c r="O934" s="35"/>
      <x:c r="P934" s="35"/>
      <x:c r="Q934" s="35"/>
      <x:c r="R934" s="35"/>
      <x:c r="S934" s="35"/>
      <x:c r="T934" s="35"/>
      <x:c r="U934" s="35"/>
      <x:c r="V934" s="35"/>
      <x:c r="W934" s="35"/>
      <x:c r="X934" s="35"/>
      <x:c r="Y934" s="35"/>
      <x:c r="Z934" s="35"/>
      <x:c r="AA934" s="35"/>
    </x:row>
    <x:row r="935">
      <x:c r="A935" s="136" t="str">
        <x:v>DrillCamp | Picket Patrol | Picket Patrol 05</x:v>
      </x:c>
      <x:c r="B935" s="136" t="str">
        <x:v>Spawn | Spawnpoint_Picket_Patrol_5_4 [map-47/003]</x:v>
      </x:c>
      <x:c r="C935" s="136" t="str">
        <x:v>spawn</x:v>
      </x:c>
      <x:c r="D935" s="136" t="str"/>
      <x:c r="E935" s="136" t="str">
        <x:v>Spawnpoint_Picket_Patrol_5_4</x:v>
      </x:c>
      <x:c r="F935" s="137" t="n">
        <x:v>1210.4146728515625</x:v>
      </x:c>
      <x:c r="G935" s="137" t="n">
        <x:v>1621.9405517578125</x:v>
      </x:c>
      <x:c r="H935" s="137" t="n">
        <x:v>57.99648666381836</x:v>
      </x:c>
      <x:c r="I935" s="137" t="n">
        <x:v>762.9342981384842</x:v>
      </x:c>
      <x:c r="J935" s="137" t="n">
        <x:v>561.2223350706422</x:v>
      </x:c>
      <x:c r="K935" s="136" t="str">
        <x:v>map-47</x:v>
      </x:c>
      <x:c r="L935" s="136" t="str">
        <x:v>DrillCamp | Picket Patrol | Picket Patrol 05||Spawn | Spawnpoint_Picket_Patrol_5_4 [map-47/003]</x:v>
      </x:c>
      <x:c r="M935" s="35"/>
      <x:c r="N935" s="35"/>
      <x:c r="O935" s="35"/>
      <x:c r="P935" s="35"/>
      <x:c r="Q935" s="35"/>
      <x:c r="R935" s="35"/>
      <x:c r="S935" s="35"/>
      <x:c r="T935" s="35"/>
      <x:c r="U935" s="35"/>
      <x:c r="V935" s="35"/>
      <x:c r="W935" s="35"/>
      <x:c r="X935" s="35"/>
      <x:c r="Y935" s="35"/>
      <x:c r="Z935" s="35"/>
      <x:c r="AA935" s="35"/>
    </x:row>
    <x:row r="936">
      <x:c r="A936" s="136" t="str">
        <x:v>DrillCamp | Picket Patrol | Picket Patrol 05</x:v>
      </x:c>
      <x:c r="B936" s="136" t="str">
        <x:v>Spawn | Spawnpoint_Picket_Patrol_5_7 [map-47/004]</x:v>
      </x:c>
      <x:c r="C936" s="136" t="str">
        <x:v>spawn</x:v>
      </x:c>
      <x:c r="D936" s="136" t="str"/>
      <x:c r="E936" s="136" t="str">
        <x:v>Spawnpoint_Picket_Patrol_5_7</x:v>
      </x:c>
      <x:c r="F936" s="137" t="n">
        <x:v>1318.6368408203125</x:v>
      </x:c>
      <x:c r="G936" s="137" t="n">
        <x:v>1532.4639892578125</x:v>
      </x:c>
      <x:c r="H936" s="137" t="n">
        <x:v>57.94263458251953</x:v>
      </x:c>
      <x:c r="I936" s="137" t="n">
        <x:v>1061.639149478277</x:v>
      </x:c>
      <x:c r="J936" s="137" t="n">
        <x:v>808.5205808555501</x:v>
      </x:c>
      <x:c r="K936" s="136" t="str">
        <x:v>map-47</x:v>
      </x:c>
      <x:c r="L936" s="136" t="str">
        <x:v>DrillCamp | Picket Patrol | Picket Patrol 05||Spawn | Spawnpoint_Picket_Patrol_5_7 [map-47/004]</x:v>
      </x:c>
      <x:c r="M936" s="35"/>
      <x:c r="N936" s="35"/>
      <x:c r="O936" s="35"/>
      <x:c r="P936" s="35"/>
      <x:c r="Q936" s="35"/>
      <x:c r="R936" s="35"/>
      <x:c r="S936" s="35"/>
      <x:c r="T936" s="35"/>
      <x:c r="U936" s="35"/>
      <x:c r="V936" s="35"/>
      <x:c r="W936" s="35"/>
      <x:c r="X936" s="35"/>
      <x:c r="Y936" s="35"/>
      <x:c r="Z936" s="35"/>
      <x:c r="AA936" s="35"/>
    </x:row>
    <x:row r="937">
      <x:c r="A937" s="136" t="str">
        <x:v>DrillCamp | Picket Patrol | Picket Patrol 05</x:v>
      </x:c>
      <x:c r="B937" s="136" t="str">
        <x:v>Spawn | Spawnpoint_Picket_Patrol_5_5 [map-47/005]</x:v>
      </x:c>
      <x:c r="C937" s="136" t="str">
        <x:v>spawn</x:v>
      </x:c>
      <x:c r="D937" s="136" t="str"/>
      <x:c r="E937" s="136" t="str">
        <x:v>Spawnpoint_Picket_Patrol_5_5</x:v>
      </x:c>
      <x:c r="F937" s="137" t="n">
        <x:v>1111.6201171875</x:v>
      </x:c>
      <x:c r="G937" s="137" t="n">
        <x:v>1491.06005859375</x:v>
      </x:c>
      <x:c r="H937" s="137" t="n">
        <x:v>63.64104080200195</x:v>
      </x:c>
      <x:c r="I937" s="137" t="n">
        <x:v>490.2506731778751</x:v>
      </x:c>
      <x:c r="J937" s="137" t="n">
        <x:v>922.954116697102</x:v>
      </x:c>
      <x:c r="K937" s="136" t="str">
        <x:v>map-47</x:v>
      </x:c>
      <x:c r="L937" s="136" t="str">
        <x:v>DrillCamp | Picket Patrol | Picket Patrol 05||Spawn | Spawnpoint_Picket_Patrol_5_5 [map-47/005]</x:v>
      </x:c>
      <x:c r="M937" s="35"/>
      <x:c r="N937" s="35"/>
      <x:c r="O937" s="35"/>
      <x:c r="P937" s="35"/>
      <x:c r="Q937" s="35"/>
      <x:c r="R937" s="35"/>
      <x:c r="S937" s="35"/>
      <x:c r="T937" s="35"/>
      <x:c r="U937" s="35"/>
      <x:c r="V937" s="35"/>
      <x:c r="W937" s="35"/>
      <x:c r="X937" s="35"/>
      <x:c r="Y937" s="35"/>
      <x:c r="Z937" s="35"/>
      <x:c r="AA937" s="35"/>
    </x:row>
    <x:row r="938">
      <x:c r="A938" s="136" t="str">
        <x:v>DrillCamp | Picket Patrol | Picket Patrol 05</x:v>
      </x:c>
      <x:c r="B938" s="136" t="str">
        <x:v>Spawn | Spawnpoint_Picket_Patrol_5_1 [map-47/006]</x:v>
      </x:c>
      <x:c r="C938" s="136" t="str">
        <x:v>spawn</x:v>
      </x:c>
      <x:c r="D938" s="136" t="str"/>
      <x:c r="E938" s="136" t="str">
        <x:v>Spawnpoint_Picket_Patrol_5_1</x:v>
      </x:c>
      <x:c r="F938" s="137" t="n">
        <x:v>1318.9654541015625</x:v>
      </x:c>
      <x:c r="G938" s="137" t="n">
        <x:v>1264.45556640625</x:v>
      </x:c>
      <x:c r="H938" s="137" t="n">
        <x:v>58.60790252685547</x:v>
      </x:c>
      <x:c r="I938" s="137" t="n">
        <x:v>1062.5461575632787</x:v>
      </x:c>
      <x:c r="J938" s="137" t="n">
        <x:v>1549.2510132162167</x:v>
      </x:c>
      <x:c r="K938" s="136" t="str">
        <x:v>map-47</x:v>
      </x:c>
      <x:c r="L938" s="136" t="str">
        <x:v>DrillCamp | Picket Patrol | Picket Patrol 05||Spawn | Spawnpoint_Picket_Patrol_5_1 [map-47/006]</x:v>
      </x:c>
      <x:c r="M938" s="35"/>
      <x:c r="N938" s="35"/>
      <x:c r="O938" s="35"/>
      <x:c r="P938" s="35"/>
      <x:c r="Q938" s="35"/>
      <x:c r="R938" s="35"/>
      <x:c r="S938" s="35"/>
      <x:c r="T938" s="35"/>
      <x:c r="U938" s="35"/>
      <x:c r="V938" s="35"/>
      <x:c r="W938" s="35"/>
      <x:c r="X938" s="35"/>
      <x:c r="Y938" s="35"/>
      <x:c r="Z938" s="35"/>
      <x:c r="AA938" s="35"/>
    </x:row>
    <x:row r="939">
      <x:c r="A939" s="136" t="str">
        <x:v>DrillCamp | Picket Patrol | Picket Patrol 05</x:v>
      </x:c>
      <x:c r="B939" s="136" t="str">
        <x:v>Spawn | Spawnpoint_Picket_Patrol_5_6 [map-47/007]</x:v>
      </x:c>
      <x:c r="C939" s="136" t="str">
        <x:v>spawn</x:v>
      </x:c>
      <x:c r="D939" s="136" t="str"/>
      <x:c r="E939" s="136" t="str">
        <x:v>Spawnpoint_Picket_Patrol_5_6</x:v>
      </x:c>
      <x:c r="F939" s="137" t="n">
        <x:v>1196.0736083984375</x:v>
      </x:c>
      <x:c r="G939" s="137" t="n">
        <x:v>1383.6876220703125</x:v>
      </x:c>
      <x:c r="H939" s="137" t="n">
        <x:v>60.28395080566406</x:v>
      </x:c>
      <x:c r="I939" s="137" t="n">
        <x:v>723.3514140960757</x:v>
      </x:c>
      <x:c r="J939" s="137" t="n">
        <x:v>1219.7135635958075</x:v>
      </x:c>
      <x:c r="K939" s="136" t="str">
        <x:v>map-47</x:v>
      </x:c>
      <x:c r="L939" s="136" t="str">
        <x:v>DrillCamp | Picket Patrol | Picket Patrol 05||Spawn | Spawnpoint_Picket_Patrol_5_6 [map-47/007]</x:v>
      </x:c>
      <x:c r="M939" s="35"/>
      <x:c r="N939" s="35"/>
      <x:c r="O939" s="35"/>
      <x:c r="P939" s="35"/>
      <x:c r="Q939" s="35"/>
      <x:c r="R939" s="35"/>
      <x:c r="S939" s="35"/>
      <x:c r="T939" s="35"/>
      <x:c r="U939" s="35"/>
      <x:c r="V939" s="35"/>
      <x:c r="W939" s="35"/>
      <x:c r="X939" s="35"/>
      <x:c r="Y939" s="35"/>
      <x:c r="Z939" s="35"/>
      <x:c r="AA939" s="35"/>
    </x:row>
    <x:row r="940">
      <x:c r="A940" s="136" t="str">
        <x:v>DrillCamp | Picket Patrol | Picket Patrol 06</x:v>
      </x:c>
      <x:c r="B940" s="136" t="str">
        <x:v>Spawn | Spawnpoint_Picket_Patrol_6_2 [map-48/001]</x:v>
      </x:c>
      <x:c r="C940" s="136" t="str">
        <x:v>spawn</x:v>
      </x:c>
      <x:c r="D940" s="136" t="str"/>
      <x:c r="E940" s="136" t="str">
        <x:v>Spawnpoint_Picket_Patrol_6_2</x:v>
      </x:c>
      <x:c r="F940" s="137" t="n">
        <x:v>2191.47705078125</x:v>
      </x:c>
      <x:c r="G940" s="137" t="n">
        <x:v>992.2346801757812</x:v>
      </x:c>
      <x:c r="H940" s="137" t="n">
        <x:v>62.830299377441406</x:v>
      </x:c>
      <x:c r="I940" s="137" t="n">
        <x:v>1224.527398977967</x:v>
      </x:c>
      <x:c r="J940" s="137" t="n">
        <x:v>1058.4573052701376</x:v>
      </x:c>
      <x:c r="K940" s="136" t="str">
        <x:v>map-48</x:v>
      </x:c>
      <x:c r="L940" s="136" t="str">
        <x:v>DrillCamp | Picket Patrol | Picket Patrol 06||Spawn | Spawnpoint_Picket_Patrol_6_2 [map-48/001]</x:v>
      </x:c>
      <x:c r="M940" s="35"/>
      <x:c r="N940" s="35"/>
      <x:c r="O940" s="35"/>
      <x:c r="P940" s="35"/>
      <x:c r="Q940" s="35"/>
      <x:c r="R940" s="35"/>
      <x:c r="S940" s="35"/>
      <x:c r="T940" s="35"/>
      <x:c r="U940" s="35"/>
      <x:c r="V940" s="35"/>
      <x:c r="W940" s="35"/>
      <x:c r="X940" s="35"/>
      <x:c r="Y940" s="35"/>
      <x:c r="Z940" s="35"/>
      <x:c r="AA940" s="35"/>
    </x:row>
    <x:row r="941">
      <x:c r="A941" s="136" t="str">
        <x:v>DrillCamp | Picket Patrol | Picket Patrol 06</x:v>
      </x:c>
      <x:c r="B941" s="136" t="str">
        <x:v>Spawn | Spawnpoint_Picket_Patrol_6_4 [map-48/002]</x:v>
      </x:c>
      <x:c r="C941" s="136" t="str">
        <x:v>spawn</x:v>
      </x:c>
      <x:c r="D941" s="136" t="str"/>
      <x:c r="E941" s="136" t="str">
        <x:v>Spawnpoint_Picket_Patrol_6_4</x:v>
      </x:c>
      <x:c r="F941" s="137" t="n">
        <x:v>2065.814208984375</x:v>
      </x:c>
      <x:c r="G941" s="137" t="n">
        <x:v>1076.807373046875</x:v>
      </x:c>
      <x:c r="H941" s="137" t="n">
        <x:v>70.65141296386719</x:v>
      </x:c>
      <x:c r="I941" s="137" t="n">
        <x:v>871.9828779354938</x:v>
      </x:c>
      <x:c r="J941" s="137" t="n">
        <x:v>820.8648839784402</x:v>
      </x:c>
      <x:c r="K941" s="136" t="str">
        <x:v>map-48</x:v>
      </x:c>
      <x:c r="L941" s="136" t="str">
        <x:v>DrillCamp | Picket Patrol | Picket Patrol 06||Spawn | Spawnpoint_Picket_Patrol_6_4 [map-48/002]</x:v>
      </x:c>
      <x:c r="M941" s="35"/>
      <x:c r="N941" s="35"/>
      <x:c r="O941" s="35"/>
      <x:c r="P941" s="35"/>
      <x:c r="Q941" s="35"/>
      <x:c r="R941" s="35"/>
      <x:c r="S941" s="35"/>
      <x:c r="T941" s="35"/>
      <x:c r="U941" s="35"/>
      <x:c r="V941" s="35"/>
      <x:c r="W941" s="35"/>
      <x:c r="X941" s="35"/>
      <x:c r="Y941" s="35"/>
      <x:c r="Z941" s="35"/>
      <x:c r="AA941" s="35"/>
    </x:row>
    <x:row r="942">
      <x:c r="A942" s="136" t="str">
        <x:v>DrillCamp | Picket Patrol | Picket Patrol 06</x:v>
      </x:c>
      <x:c r="B942" s="136" t="str">
        <x:v>Spawn | Spawnpoint_Picket_Patrol_6_7 [map-48/003]</x:v>
      </x:c>
      <x:c r="C942" s="136" t="str">
        <x:v>spawn</x:v>
      </x:c>
      <x:c r="D942" s="136" t="str"/>
      <x:c r="E942" s="136" t="str">
        <x:v>Spawnpoint_Picket_Patrol_6_7</x:v>
      </x:c>
      <x:c r="F942" s="137" t="n">
        <x:v>2135.59375</x:v>
      </x:c>
      <x:c r="G942" s="137" t="n">
        <x:v>1193.7623291015625</x:v>
      </x:c>
      <x:c r="H942" s="137" t="n">
        <x:v>64.44638061523438</x:v>
      </x:c>
      <x:c r="I942" s="137" t="n">
        <x:v>1067.747946703252</x:v>
      </x:c>
      <x:c r="J942" s="137" t="n">
        <x:v>492.3000689328638</x:v>
      </x:c>
      <x:c r="K942" s="136" t="str">
        <x:v>map-48</x:v>
      </x:c>
      <x:c r="L942" s="136" t="str">
        <x:v>DrillCamp | Picket Patrol | Picket Patrol 06||Spawn | Spawnpoint_Picket_Patrol_6_7 [map-48/003]</x:v>
      </x:c>
      <x:c r="M942" s="35"/>
      <x:c r="N942" s="35"/>
      <x:c r="O942" s="35"/>
      <x:c r="P942" s="35"/>
      <x:c r="Q942" s="35"/>
      <x:c r="R942" s="35"/>
      <x:c r="S942" s="35"/>
      <x:c r="T942" s="35"/>
      <x:c r="U942" s="35"/>
      <x:c r="V942" s="35"/>
      <x:c r="W942" s="35"/>
      <x:c r="X942" s="35"/>
      <x:c r="Y942" s="35"/>
      <x:c r="Z942" s="35"/>
      <x:c r="AA942" s="35"/>
    </x:row>
    <x:row r="943">
      <x:c r="A943" s="136" t="str">
        <x:v>DrillCamp | Picket Patrol | Picket Patrol 06</x:v>
      </x:c>
      <x:c r="B943" s="136" t="str">
        <x:v>Spawn | Spawnpoint_Picket_Patrol_6_3 [map-48/004]</x:v>
      </x:c>
      <x:c r="C943" s="136" t="str">
        <x:v>spawn</x:v>
      </x:c>
      <x:c r="D943" s="136" t="str"/>
      <x:c r="E943" s="136" t="str">
        <x:v>Spawnpoint_Picket_Patrol_6_3</x:v>
      </x:c>
      <x:c r="F943" s="137" t="n">
        <x:v>2323.75341796875</x:v>
      </x:c>
      <x:c r="G943" s="137" t="n">
        <x:v>1081.009765625</x:v>
      </x:c>
      <x:c r="H943" s="137" t="n">
        <x:v>79.1866226196289</x:v>
      </x:c>
      <x:c r="I943" s="137" t="n">
        <x:v>1595.6260296355083</x:v>
      </x:c>
      <x:c r="J943" s="137" t="n">
        <x:v>809.0589854790649</x:v>
      </x:c>
      <x:c r="K943" s="136" t="str">
        <x:v>map-48</x:v>
      </x:c>
      <x:c r="L943" s="136" t="str">
        <x:v>DrillCamp | Picket Patrol | Picket Patrol 06||Spawn | Spawnpoint_Picket_Patrol_6_3 [map-48/004]</x:v>
      </x:c>
      <x:c r="M943" s="35"/>
      <x:c r="N943" s="35"/>
      <x:c r="O943" s="35"/>
      <x:c r="P943" s="35"/>
      <x:c r="Q943" s="35"/>
      <x:c r="R943" s="35"/>
      <x:c r="S943" s="35"/>
      <x:c r="T943" s="35"/>
      <x:c r="U943" s="35"/>
      <x:c r="V943" s="35"/>
      <x:c r="W943" s="35"/>
      <x:c r="X943" s="35"/>
      <x:c r="Y943" s="35"/>
      <x:c r="Z943" s="35"/>
      <x:c r="AA943" s="35"/>
    </x:row>
    <x:row r="944">
      <x:c r="A944" s="136" t="str">
        <x:v>DrillCamp | Picket Patrol | Picket Patrol 06</x:v>
      </x:c>
      <x:c r="B944" s="136" t="str">
        <x:v>Spawn | Spawnpoint_Picket_Patrol_6_6 [map-48/005]</x:v>
      </x:c>
      <x:c r="C944" s="136" t="str">
        <x:v>spawn</x:v>
      </x:c>
      <x:c r="D944" s="136" t="str"/>
      <x:c r="E944" s="136" t="str">
        <x:v>Spawnpoint_Picket_Patrol_6_6</x:v>
      </x:c>
      <x:c r="F944" s="137" t="n">
        <x:v>2025.135498046875</x:v>
      </x:c>
      <x:c r="G944" s="137" t="n">
        <x:v>845.3816528320312</x:v>
      </x:c>
      <x:c r="H944" s="137" t="n">
        <x:v>61.273231506347656</x:v>
      </x:c>
      <x:c r="I944" s="137" t="n">
        <x:v>757.8595901041757</x:v>
      </x:c>
      <x:c r="J944" s="137" t="n">
        <x:v>1471.015604599671</x:v>
      </x:c>
      <x:c r="K944" s="136" t="str">
        <x:v>map-48</x:v>
      </x:c>
      <x:c r="L944" s="136" t="str">
        <x:v>DrillCamp | Picket Patrol | Picket Patrol 06||Spawn | Spawnpoint_Picket_Patrol_6_6 [map-48/005]</x:v>
      </x:c>
      <x:c r="M944" s="35"/>
      <x:c r="N944" s="35"/>
      <x:c r="O944" s="35"/>
      <x:c r="P944" s="35"/>
      <x:c r="Q944" s="35"/>
      <x:c r="R944" s="35"/>
      <x:c r="S944" s="35"/>
      <x:c r="T944" s="35"/>
      <x:c r="U944" s="35"/>
      <x:c r="V944" s="35"/>
      <x:c r="W944" s="35"/>
      <x:c r="X944" s="35"/>
      <x:c r="Y944" s="35"/>
      <x:c r="Z944" s="35"/>
      <x:c r="AA944" s="35"/>
    </x:row>
    <x:row r="945">
      <x:c r="A945" s="136" t="str">
        <x:v>DrillCamp | Picket Patrol | Picket Patrol 06</x:v>
      </x:c>
      <x:c r="B945" s="136" t="str">
        <x:v>Spawn | Spawnpoint_Picket_Patrol_6_1 [map-48/006]</x:v>
      </x:c>
      <x:c r="C945" s="136" t="str">
        <x:v>spawn</x:v>
      </x:c>
      <x:c r="D945" s="136" t="str"/>
      <x:c r="E945" s="136" t="str">
        <x:v>Spawnpoint_Picket_Patrol_6_1</x:v>
      </x:c>
      <x:c r="F945" s="137" t="n">
        <x:v>2162.708984375</x:v>
      </x:c>
      <x:c r="G945" s="137" t="n">
        <x:v>808.5721435546875</x:v>
      </x:c>
      <x:c r="H945" s="137" t="n">
        <x:v>58.724544525146484</x:v>
      </x:c>
      <x:c r="I945" s="137" t="n">
        <x:v>1143.8191796866724</x:v>
      </x:c>
      <x:c r="J945" s="137" t="n">
        <x:v>1574.4255840961673</x:v>
      </x:c>
      <x:c r="K945" s="136" t="str">
        <x:v>map-48</x:v>
      </x:c>
      <x:c r="L945" s="136" t="str">
        <x:v>DrillCamp | Picket Patrol | Picket Patrol 06||Spawn | Spawnpoint_Picket_Patrol_6_1 [map-48/006]</x:v>
      </x:c>
      <x:c r="M945" s="35"/>
      <x:c r="N945" s="35"/>
      <x:c r="O945" s="35"/>
      <x:c r="P945" s="35"/>
      <x:c r="Q945" s="35"/>
      <x:c r="R945" s="35"/>
      <x:c r="S945" s="35"/>
      <x:c r="T945" s="35"/>
      <x:c r="U945" s="35"/>
      <x:c r="V945" s="35"/>
      <x:c r="W945" s="35"/>
      <x:c r="X945" s="35"/>
      <x:c r="Y945" s="35"/>
      <x:c r="Z945" s="35"/>
      <x:c r="AA945" s="35"/>
    </x:row>
    <x:row r="946">
      <x:c r="A946" s="136" t="str">
        <x:v>DrillCamp | Picket Patrol | Picket Patrol 06</x:v>
      </x:c>
      <x:c r="B946" s="136" t="str">
        <x:v>Spawn | Spawnpoint_Picket_Patrol_6_5 [map-48/007]</x:v>
      </x:c>
      <x:c r="C946" s="136" t="str">
        <x:v>spawn</x:v>
      </x:c>
      <x:c r="D946" s="136" t="str"/>
      <x:c r="E946" s="136" t="str">
        <x:v>Spawnpoint_Picket_Patrol_6_5</x:v>
      </x:c>
      <x:c r="F946" s="137" t="n">
        <x:v>1948.900146484375</x:v>
      </x:c>
      <x:c r="G946" s="137" t="n">
        <x:v>1076.3975830078125</x:v>
      </x:c>
      <x:c r="H946" s="137" t="n">
        <x:v>63.62934494018555</x:v>
      </x:c>
      <x:c r="I946" s="137" t="n">
        <x:v>543.9828774753951</x:v>
      </x:c>
      <x:c r="J946" s="137" t="n">
        <x:v>822.01611854715</x:v>
      </x:c>
      <x:c r="K946" s="136" t="str">
        <x:v>map-48</x:v>
      </x:c>
      <x:c r="L946" s="136" t="str">
        <x:v>DrillCamp | Picket Patrol | Picket Patrol 06||Spawn | Spawnpoint_Picket_Patrol_6_5 [map-48/007]</x:v>
      </x:c>
      <x:c r="M946" s="35"/>
      <x:c r="N946" s="35"/>
      <x:c r="O946" s="35"/>
      <x:c r="P946" s="35"/>
      <x:c r="Q946" s="35"/>
      <x:c r="R946" s="35"/>
      <x:c r="S946" s="35"/>
      <x:c r="T946" s="35"/>
      <x:c r="U946" s="35"/>
      <x:c r="V946" s="35"/>
      <x:c r="W946" s="35"/>
      <x:c r="X946" s="35"/>
      <x:c r="Y946" s="35"/>
      <x:c r="Z946" s="35"/>
      <x:c r="AA946" s="35"/>
    </x:row>
    <x:row r="947">
      <x:c r="A947" s="136" t="str">
        <x:v>DrillCamp | Picket Patrol | Picket Patrol 07</x:v>
      </x:c>
      <x:c r="B947" s="136" t="str">
        <x:v>Spawn | Spawnpoint_Picket_Patrol_7_2 [map-49/001]</x:v>
      </x:c>
      <x:c r="C947" s="136" t="str">
        <x:v>spawn</x:v>
      </x:c>
      <x:c r="D947" s="136" t="str"/>
      <x:c r="E947" s="136" t="str">
        <x:v>Spawnpoint_Picket_Patrol_7_2</x:v>
      </x:c>
      <x:c r="F947" s="137" t="n">
        <x:v>1021.5983276367188</x:v>
      </x:c>
      <x:c r="G947" s="137" t="n">
        <x:v>1212.2265625</x:v>
      </x:c>
      <x:c r="H947" s="137" t="n">
        <x:v>73.5214614868164</x:v>
      </x:c>
      <x:c r="I947" s="137" t="n">
        <x:v>1455.5861996644296</x:v>
      </x:c>
      <x:c r="J947" s="137" t="n">
        <x:v>909.8255033557047</x:v>
      </x:c>
      <x:c r="K947" s="136" t="str">
        <x:v>map-49</x:v>
      </x:c>
      <x:c r="L947" s="136" t="str">
        <x:v>DrillCamp | Picket Patrol | Picket Patrol 07||Spawn | Spawnpoint_Picket_Patrol_7_2 [map-49/001]</x:v>
      </x:c>
      <x:c r="M947" s="35"/>
      <x:c r="N947" s="35"/>
      <x:c r="O947" s="35"/>
      <x:c r="P947" s="35"/>
      <x:c r="Q947" s="35"/>
      <x:c r="R947" s="35"/>
      <x:c r="S947" s="35"/>
      <x:c r="T947" s="35"/>
      <x:c r="U947" s="35"/>
      <x:c r="V947" s="35"/>
      <x:c r="W947" s="35"/>
      <x:c r="X947" s="35"/>
      <x:c r="Y947" s="35"/>
      <x:c r="Z947" s="35"/>
      <x:c r="AA947" s="35"/>
    </x:row>
    <x:row r="948">
      <x:c r="A948" s="136" t="str">
        <x:v>DrillCamp | Picket Patrol | Picket Patrol 07</x:v>
      </x:c>
      <x:c r="B948" s="136" t="str">
        <x:v>Spawn | Spawnpoint_Picket_Patrol_7_4 [map-49/002]</x:v>
      </x:c>
      <x:c r="C948" s="136" t="str">
        <x:v>spawn</x:v>
      </x:c>
      <x:c r="D948" s="136" t="str"/>
      <x:c r="E948" s="136" t="str">
        <x:v>Spawnpoint_Picket_Patrol_7_4</x:v>
      </x:c>
      <x:c r="F948" s="137" t="n">
        <x:v>867.7938842773438</x:v>
      </x:c>
      <x:c r="G948" s="137" t="n">
        <x:v>1369.6590576171875</x:v>
      </x:c>
      <x:c r="H948" s="137" t="n">
        <x:v>75.51431274414062</x:v>
      </x:c>
      <x:c r="I948" s="137" t="n">
        <x:v>927.07697147651</x:v>
      </x:c>
      <x:c r="J948" s="137" t="n">
        <x:v>368.84941275167785</x:v>
      </x:c>
      <x:c r="K948" s="136" t="str">
        <x:v>map-49</x:v>
      </x:c>
      <x:c r="L948" s="136" t="str">
        <x:v>DrillCamp | Picket Patrol | Picket Patrol 07||Spawn | Spawnpoint_Picket_Patrol_7_4 [map-49/002]</x:v>
      </x:c>
      <x:c r="M948" s="35"/>
      <x:c r="N948" s="35"/>
      <x:c r="O948" s="35"/>
      <x:c r="P948" s="35"/>
      <x:c r="Q948" s="35"/>
      <x:c r="R948" s="35"/>
      <x:c r="S948" s="35"/>
      <x:c r="T948" s="35"/>
      <x:c r="U948" s="35"/>
      <x:c r="V948" s="35"/>
      <x:c r="W948" s="35"/>
      <x:c r="X948" s="35"/>
      <x:c r="Y948" s="35"/>
      <x:c r="Z948" s="35"/>
      <x:c r="AA948" s="35"/>
    </x:row>
    <x:row r="949">
      <x:c r="A949" s="136" t="str">
        <x:v>DrillCamp | Picket Patrol | Picket Patrol 07</x:v>
      </x:c>
      <x:c r="B949" s="136" t="str">
        <x:v>Spawn | Spawnpoint_Picket_Patrol_7_5 [map-49/003]</x:v>
      </x:c>
      <x:c r="C949" s="136" t="str">
        <x:v>spawn</x:v>
      </x:c>
      <x:c r="D949" s="136" t="str"/>
      <x:c r="E949" s="136" t="str">
        <x:v>Spawnpoint_Picket_Patrol_7_5</x:v>
      </x:c>
      <x:c r="F949" s="137" t="n">
        <x:v>723.458740234375</x:v>
      </x:c>
      <x:c r="G949" s="137" t="n">
        <x:v>1266.3900146484375</x:v>
      </x:c>
      <x:c r="H949" s="137" t="n">
        <x:v>85.82296752929688</x:v>
      </x:c>
      <x:c r="I949" s="137" t="n">
        <x:v>431.1065436241611</x:v>
      </x:c>
      <x:c r="J949" s="137" t="n">
        <x:v>723.7067953020135</x:v>
      </x:c>
      <x:c r="K949" s="136" t="str">
        <x:v>map-49</x:v>
      </x:c>
      <x:c r="L949" s="136" t="str">
        <x:v>DrillCamp | Picket Patrol | Picket Patrol 07||Spawn | Spawnpoint_Picket_Patrol_7_5 [map-49/003]</x:v>
      </x:c>
      <x:c r="M949" s="35"/>
      <x:c r="N949" s="35"/>
      <x:c r="O949" s="35"/>
      <x:c r="P949" s="35"/>
      <x:c r="Q949" s="35"/>
      <x:c r="R949" s="35"/>
      <x:c r="S949" s="35"/>
      <x:c r="T949" s="35"/>
      <x:c r="U949" s="35"/>
      <x:c r="V949" s="35"/>
      <x:c r="W949" s="35"/>
      <x:c r="X949" s="35"/>
      <x:c r="Y949" s="35"/>
      <x:c r="Z949" s="35"/>
      <x:c r="AA949" s="35"/>
    </x:row>
    <x:row r="950">
      <x:c r="A950" s="136" t="str">
        <x:v>DrillCamp | Picket Patrol | Picket Patrol 07</x:v>
      </x:c>
      <x:c r="B950" s="136" t="str">
        <x:v>Spawn | Spawnpoint_Picket_Patrol_7_1 [map-49/004]</x:v>
      </x:c>
      <x:c r="C950" s="136" t="str">
        <x:v>spawn</x:v>
      </x:c>
      <x:c r="D950" s="136" t="str"/>
      <x:c r="E950" s="136" t="str">
        <x:v>Spawnpoint_Picket_Patrol_7_1</x:v>
      </x:c>
      <x:c r="F950" s="137" t="n">
        <x:v>1006.6583251953125</x:v>
      </x:c>
      <x:c r="G950" s="137" t="n">
        <x:v>995.1458129882812</x:v>
      </x:c>
      <x:c r="H950" s="137" t="n">
        <x:v>86.04237365722656</x:v>
      </x:c>
      <x:c r="I950" s="137" t="n">
        <x:v>1404.2487416107383</x:v>
      </x:c>
      <x:c r="J950" s="137" t="n">
        <x:v>1655.7674077181207</x:v>
      </x:c>
      <x:c r="K950" s="136" t="str">
        <x:v>map-49</x:v>
      </x:c>
      <x:c r="L950" s="136" t="str">
        <x:v>DrillCamp | Picket Patrol | Picket Patrol 07||Spawn | Spawnpoint_Picket_Patrol_7_1 [map-49/004]</x:v>
      </x:c>
      <x:c r="M950" s="35"/>
      <x:c r="N950" s="35"/>
      <x:c r="O950" s="35"/>
      <x:c r="P950" s="35"/>
      <x:c r="Q950" s="35"/>
      <x:c r="R950" s="35"/>
      <x:c r="S950" s="35"/>
      <x:c r="T950" s="35"/>
      <x:c r="U950" s="35"/>
      <x:c r="V950" s="35"/>
      <x:c r="W950" s="35"/>
      <x:c r="X950" s="35"/>
      <x:c r="Y950" s="35"/>
      <x:c r="Z950" s="35"/>
      <x:c r="AA950" s="35"/>
    </x:row>
    <x:row r="951">
      <x:c r="A951" s="136" t="str">
        <x:v>DrillCamp | Picket Patrol | Picket Patrol 07</x:v>
      </x:c>
      <x:c r="B951" s="136" t="str">
        <x:v>Spawn | Spawnpoint_Picket_Patrol_7_7 [map-49/005]</x:v>
      </x:c>
      <x:c r="C951" s="136" t="str">
        <x:v>spawn</x:v>
      </x:c>
      <x:c r="D951" s="136" t="str"/>
      <x:c r="E951" s="136" t="str">
        <x:v>Spawnpoint_Picket_Patrol_7_7</x:v>
      </x:c>
      <x:c r="F951" s="137" t="n">
        <x:v>796.0853881835938</x:v>
      </x:c>
      <x:c r="G951" s="137" t="n">
        <x:v>1381.154052734375</x:v>
      </x:c>
      <x:c r="H951" s="137" t="n">
        <x:v>77.40390014648438</x:v>
      </x:c>
      <x:c r="I951" s="137" t="n">
        <x:v>680.6692533557047</x:v>
      </x:c>
      <x:c r="J951" s="137" t="n">
        <x:v>329.3498322147651</x:v>
      </x:c>
      <x:c r="K951" s="136" t="str">
        <x:v>map-49</x:v>
      </x:c>
      <x:c r="L951" s="136" t="str">
        <x:v>DrillCamp | Picket Patrol | Picket Patrol 07||Spawn | Spawnpoint_Picket_Patrol_7_7 [map-49/005]</x:v>
      </x:c>
      <x:c r="M951" s="35"/>
      <x:c r="N951" s="35"/>
      <x:c r="O951" s="35"/>
      <x:c r="P951" s="35"/>
      <x:c r="Q951" s="35"/>
      <x:c r="R951" s="35"/>
      <x:c r="S951" s="35"/>
      <x:c r="T951" s="35"/>
      <x:c r="U951" s="35"/>
      <x:c r="V951" s="35"/>
      <x:c r="W951" s="35"/>
      <x:c r="X951" s="35"/>
      <x:c r="Y951" s="35"/>
      <x:c r="Z951" s="35"/>
      <x:c r="AA951" s="35"/>
    </x:row>
    <x:row r="952">
      <x:c r="A952" s="136" t="str">
        <x:v>DrillCamp | Picket Patrol | Picket Patrol 07</x:v>
      </x:c>
      <x:c r="B952" s="136" t="str">
        <x:v>Spawn | Spawnpoint_Picket_Patrol_7_3 [map-49/006]</x:v>
      </x:c>
      <x:c r="C952" s="136" t="str">
        <x:v>spawn</x:v>
      </x:c>
      <x:c r="D952" s="136" t="str"/>
      <x:c r="E952" s="136" t="str">
        <x:v>Spawnpoint_Picket_Patrol_7_3</x:v>
      </x:c>
      <x:c r="F952" s="137" t="n">
        <x:v>1002.5322265625</x:v>
      </x:c>
      <x:c r="G952" s="137" t="n">
        <x:v>1328.7135009765625</x:v>
      </x:c>
      <x:c r="H952" s="137" t="n">
        <x:v>68.43571472167969</x:v>
      </x:c>
      <x:c r="I952" s="137" t="n">
        <x:v>1390.0704697986578</x:v>
      </x:c>
      <x:c r="J952" s="137" t="n">
        <x:v>509.54823825503354</x:v>
      </x:c>
      <x:c r="K952" s="136" t="str">
        <x:v>map-49</x:v>
      </x:c>
      <x:c r="L952" s="136" t="str">
        <x:v>DrillCamp | Picket Patrol | Picket Patrol 07||Spawn | Spawnpoint_Picket_Patrol_7_3 [map-49/006]</x:v>
      </x:c>
      <x:c r="M952" s="35"/>
      <x:c r="N952" s="35"/>
      <x:c r="O952" s="35"/>
      <x:c r="P952" s="35"/>
      <x:c r="Q952" s="35"/>
      <x:c r="R952" s="35"/>
      <x:c r="S952" s="35"/>
      <x:c r="T952" s="35"/>
      <x:c r="U952" s="35"/>
      <x:c r="V952" s="35"/>
      <x:c r="W952" s="35"/>
      <x:c r="X952" s="35"/>
      <x:c r="Y952" s="35"/>
      <x:c r="Z952" s="35"/>
      <x:c r="AA952" s="35"/>
    </x:row>
    <x:row r="953">
      <x:c r="A953" s="136" t="str">
        <x:v>DrillCamp | Picket Patrol | Picket Patrol 07</x:v>
      </x:c>
      <x:c r="B953" s="136" t="str">
        <x:v>Spawn | Spawnpoint_Picket_Patrol_7_6 [map-49/007]</x:v>
      </x:c>
      <x:c r="C953" s="136" t="str">
        <x:v>spawn</x:v>
      </x:c>
      <x:c r="D953" s="136" t="str"/>
      <x:c r="E953" s="136" t="str">
        <x:v>Spawnpoint_Picket_Patrol_7_6</x:v>
      </x:c>
      <x:c r="F953" s="137" t="n">
        <x:v>802.4172973632812</x:v>
      </x:c>
      <x:c r="G953" s="137" t="n">
        <x:v>1020.2135009765625</x:v>
      </x:c>
      <x:c r="H953" s="137" t="n">
        <x:v>107.16007232666016</x:v>
      </x:c>
      <x:c r="I953" s="137" t="n">
        <x:v>702.4272231543624</x:v>
      </x:c>
      <x:c r="J953" s="137" t="n">
        <x:v>1569.6287751677853</x:v>
      </x:c>
      <x:c r="K953" s="136" t="str">
        <x:v>map-49</x:v>
      </x:c>
      <x:c r="L953" s="136" t="str">
        <x:v>DrillCamp | Picket Patrol | Picket Patrol 07||Spawn | Spawnpoint_Picket_Patrol_7_6 [map-49/007]</x:v>
      </x:c>
      <x:c r="M953" s="35"/>
      <x:c r="N953" s="35"/>
      <x:c r="O953" s="35"/>
      <x:c r="P953" s="35"/>
      <x:c r="Q953" s="35"/>
      <x:c r="R953" s="35"/>
      <x:c r="S953" s="35"/>
      <x:c r="T953" s="35"/>
      <x:c r="U953" s="35"/>
      <x:c r="V953" s="35"/>
      <x:c r="W953" s="35"/>
      <x:c r="X953" s="35"/>
      <x:c r="Y953" s="35"/>
      <x:c r="Z953" s="35"/>
      <x:c r="AA953" s="35"/>
    </x:row>
    <x:row r="954">
      <x:c r="A954" s="136" t="str">
        <x:v>DrillCamp | Picket Patrol | Picket Patrol 08</x:v>
      </x:c>
      <x:c r="B954" s="136" t="str">
        <x:v>Spawn | Spawnpoint_Picket_Patrol_8_6 [map-50/001]</x:v>
      </x:c>
      <x:c r="C954" s="136" t="str">
        <x:v>spawn</x:v>
      </x:c>
      <x:c r="D954" s="136" t="str"/>
      <x:c r="E954" s="136" t="str">
        <x:v>Spawnpoint_Picket_Patrol_8_6</x:v>
      </x:c>
      <x:c r="F954" s="137" t="n">
        <x:v>2204.68017578125</x:v>
      </x:c>
      <x:c r="G954" s="137" t="n">
        <x:v>1329.224853515625</x:v>
      </x:c>
      <x:c r="H954" s="137" t="n">
        <x:v>68.73164367675781</x:v>
      </x:c>
      <x:c r="I954" s="137" t="n">
        <x:v>565.8808724832214</x:v>
      </x:c>
      <x:c r="J954" s="137" t="n">
        <x:v>1390.9052013422818</x:v>
      </x:c>
      <x:c r="K954" s="136" t="str">
        <x:v>map-50</x:v>
      </x:c>
      <x:c r="L954" s="136" t="str">
        <x:v>DrillCamp | Picket Patrol | Picket Patrol 08||Spawn | Spawnpoint_Picket_Patrol_8_6 [map-50/001]</x:v>
      </x:c>
      <x:c r="M954" s="35"/>
      <x:c r="N954" s="35"/>
      <x:c r="O954" s="35"/>
      <x:c r="P954" s="35"/>
      <x:c r="Q954" s="35"/>
      <x:c r="R954" s="35"/>
      <x:c r="S954" s="35"/>
      <x:c r="T954" s="35"/>
      <x:c r="U954" s="35"/>
      <x:c r="V954" s="35"/>
      <x:c r="W954" s="35"/>
      <x:c r="X954" s="35"/>
      <x:c r="Y954" s="35"/>
      <x:c r="Z954" s="35"/>
      <x:c r="AA954" s="35"/>
    </x:row>
    <x:row r="955">
      <x:c r="A955" s="136" t="str">
        <x:v>DrillCamp | Picket Patrol | Picket Patrol 08</x:v>
      </x:c>
      <x:c r="B955" s="136" t="str">
        <x:v>Spawn | Spawnpoint_Picket_Patrol_8_2 [map-50/002]</x:v>
      </x:c>
      <x:c r="C955" s="136" t="str">
        <x:v>spawn</x:v>
      </x:c>
      <x:c r="D955" s="136" t="str"/>
      <x:c r="E955" s="136" t="str">
        <x:v>Spawnpoint_Picket_Patrol_8_2</x:v>
      </x:c>
      <x:c r="F955" s="137" t="n">
        <x:v>2509.319091796875</x:v>
      </x:c>
      <x:c r="G955" s="137" t="n">
        <x:v>1396.3419189453125</x:v>
      </x:c>
      <x:c r="H955" s="137" t="n">
        <x:v>71.24174499511719</x:v>
      </x:c>
      <x:c r="I955" s="137" t="n">
        <x:v>1612.6937919463087</x:v>
      </x:c>
      <x:c r="J955" s="137" t="n">
        <x:v>1160.2747483221476</x:v>
      </x:c>
      <x:c r="K955" s="136" t="str">
        <x:v>map-50</x:v>
      </x:c>
      <x:c r="L955" s="136" t="str">
        <x:v>DrillCamp | Picket Patrol | Picket Patrol 08||Spawn | Spawnpoint_Picket_Patrol_8_2 [map-50/002]</x:v>
      </x:c>
      <x:c r="M955" s="35"/>
      <x:c r="N955" s="35"/>
      <x:c r="O955" s="35"/>
      <x:c r="P955" s="35"/>
      <x:c r="Q955" s="35"/>
      <x:c r="R955" s="35"/>
      <x:c r="S955" s="35"/>
      <x:c r="T955" s="35"/>
      <x:c r="U955" s="35"/>
      <x:c r="V955" s="35"/>
      <x:c r="W955" s="35"/>
      <x:c r="X955" s="35"/>
      <x:c r="Y955" s="35"/>
      <x:c r="Z955" s="35"/>
      <x:c r="AA955" s="35"/>
    </x:row>
    <x:row r="956">
      <x:c r="A956" s="136" t="str">
        <x:v>DrillCamp | Picket Patrol | Picket Patrol 08</x:v>
      </x:c>
      <x:c r="B956" s="136" t="str">
        <x:v>Spawn | Spawnpoint_Picket_Patrol_8_3 [map-50/003]</x:v>
      </x:c>
      <x:c r="C956" s="136" t="str">
        <x:v>spawn</x:v>
      </x:c>
      <x:c r="D956" s="136" t="str"/>
      <x:c r="E956" s="136" t="str">
        <x:v>Spawnpoint_Picket_Patrol_8_3</x:v>
      </x:c>
      <x:c r="F956" s="137" t="n">
        <x:v>2527.15966796875</x:v>
      </x:c>
      <x:c r="G956" s="137" t="n">
        <x:v>1540.454345703125</x:v>
      </x:c>
      <x:c r="H956" s="137" t="n">
        <x:v>70.23042297363281</x:v>
      </x:c>
      <x:c r="I956" s="137" t="n">
        <x:v>1673.998322147651</x:v>
      </x:c>
      <x:c r="J956" s="137" t="n">
        <x:v>665.0696308724832</x:v>
      </x:c>
      <x:c r="K956" s="136" t="str">
        <x:v>map-50</x:v>
      </x:c>
      <x:c r="L956" s="136" t="str">
        <x:v>DrillCamp | Picket Patrol | Picket Patrol 08||Spawn | Spawnpoint_Picket_Patrol_8_3 [map-50/003]</x:v>
      </x:c>
      <x:c r="M956" s="35"/>
      <x:c r="N956" s="35"/>
      <x:c r="O956" s="35"/>
      <x:c r="P956" s="35"/>
      <x:c r="Q956" s="35"/>
      <x:c r="R956" s="35"/>
      <x:c r="S956" s="35"/>
      <x:c r="T956" s="35"/>
      <x:c r="U956" s="35"/>
      <x:c r="V956" s="35"/>
      <x:c r="W956" s="35"/>
      <x:c r="X956" s="35"/>
      <x:c r="Y956" s="35"/>
      <x:c r="Z956" s="35"/>
      <x:c r="AA956" s="35"/>
    </x:row>
    <x:row r="957">
      <x:c r="A957" s="136" t="str">
        <x:v>DrillCamp | Picket Patrol | Picket Patrol 08</x:v>
      </x:c>
      <x:c r="B957" s="136" t="str">
        <x:v>Spawn | Spawnpoint_Picket_Patrol_8_5 [map-50/004]</x:v>
      </x:c>
      <x:c r="C957" s="136" t="str">
        <x:v>spawn</x:v>
      </x:c>
      <x:c r="D957" s="136" t="str"/>
      <x:c r="E957" s="136" t="str">
        <x:v>Spawnpoint_Picket_Patrol_8_5</x:v>
      </x:c>
      <x:c r="F957" s="137" t="n">
        <x:v>2179.017333984375</x:v>
      </x:c>
      <x:c r="G957" s="137" t="n">
        <x:v>1539.275634765625</x:v>
      </x:c>
      <x:c r="H957" s="137" t="n">
        <x:v>76.60475158691406</x:v>
      </x:c>
      <x:c r="I957" s="137" t="n">
        <x:v>477.69714765100673</x:v>
      </x:c>
      <x:c r="J957" s="137" t="n">
        <x:v>669.119966442953</x:v>
      </x:c>
      <x:c r="K957" s="136" t="str">
        <x:v>map-50</x:v>
      </x:c>
      <x:c r="L957" s="136" t="str">
        <x:v>DrillCamp | Picket Patrol | Picket Patrol 08||Spawn | Spawnpoint_Picket_Patrol_8_5 [map-50/004]</x:v>
      </x:c>
      <x:c r="M957" s="35"/>
      <x:c r="N957" s="35"/>
      <x:c r="O957" s="35"/>
      <x:c r="P957" s="35"/>
      <x:c r="Q957" s="35"/>
      <x:c r="R957" s="35"/>
      <x:c r="S957" s="35"/>
      <x:c r="T957" s="35"/>
      <x:c r="U957" s="35"/>
      <x:c r="V957" s="35"/>
      <x:c r="W957" s="35"/>
      <x:c r="X957" s="35"/>
      <x:c r="Y957" s="35"/>
      <x:c r="Z957" s="35"/>
      <x:c r="AA957" s="35"/>
    </x:row>
    <x:row r="958">
      <x:c r="A958" s="136" t="str">
        <x:v>DrillCamp | Picket Patrol | Picket Patrol 08</x:v>
      </x:c>
      <x:c r="B958" s="136" t="str">
        <x:v>Spawn | Spawnpoint_Picket_Patrol_8_7 [map-50/005]</x:v>
      </x:c>
      <x:c r="C958" s="136" t="str">
        <x:v>spawn</x:v>
      </x:c>
      <x:c r="D958" s="136" t="str"/>
      <x:c r="E958" s="136" t="str">
        <x:v>Spawnpoint_Picket_Patrol_8_7</x:v>
      </x:c>
      <x:c r="F958" s="137" t="n">
        <x:v>2247.122802734375</x:v>
      </x:c>
      <x:c r="G958" s="137" t="n">
        <x:v>1266.7640380859375</x:v>
      </x:c>
      <x:c r="H958" s="137" t="n">
        <x:v>73.31332397460938</x:v>
      </x:c>
      <x:c r="I958" s="137" t="n">
        <x:v>711.7239932885906</x:v>
      </x:c>
      <x:c r="J958" s="137" t="n">
        <x:v>1605.5356543624162</x:v>
      </x:c>
      <x:c r="K958" s="136" t="str">
        <x:v>map-50</x:v>
      </x:c>
      <x:c r="L958" s="136" t="str">
        <x:v>DrillCamp | Picket Patrol | Picket Patrol 08||Spawn | Spawnpoint_Picket_Patrol_8_7 [map-50/005]</x:v>
      </x:c>
      <x:c r="M958" s="35"/>
      <x:c r="N958" s="35"/>
      <x:c r="O958" s="35"/>
      <x:c r="P958" s="35"/>
      <x:c r="Q958" s="35"/>
      <x:c r="R958" s="35"/>
      <x:c r="S958" s="35"/>
      <x:c r="T958" s="35"/>
      <x:c r="U958" s="35"/>
      <x:c r="V958" s="35"/>
      <x:c r="W958" s="35"/>
      <x:c r="X958" s="35"/>
      <x:c r="Y958" s="35"/>
      <x:c r="Z958" s="35"/>
      <x:c r="AA958" s="35"/>
    </x:row>
    <x:row r="959">
      <x:c r="A959" s="136" t="str">
        <x:v>DrillCamp | Picket Patrol | Picket Patrol 08</x:v>
      </x:c>
      <x:c r="B959" s="136" t="str">
        <x:v>Spawn | Spawnpoint_Picket_Patrol_8_1 [map-50/006]</x:v>
      </x:c>
      <x:c r="C959" s="136" t="str">
        <x:v>spawn</x:v>
      </x:c>
      <x:c r="D959" s="136" t="str"/>
      <x:c r="E959" s="136" t="str">
        <x:v>Spawnpoint_Picket_Patrol_8_1</x:v>
      </x:c>
      <x:c r="F959" s="137" t="n">
        <x:v>2376.24267578125</x:v>
      </x:c>
      <x:c r="G959" s="137" t="n">
        <x:v>1253.6513671875</x:v>
      </x:c>
      <x:c r="H959" s="137" t="n">
        <x:v>88.15935516357422</x:v>
      </x:c>
      <x:c r="I959" s="137" t="n">
        <x:v>1155.4110738255033</x:v>
      </x:c>
      <x:c r="J959" s="137" t="n">
        <x:v>1650.5939597315437</x:v>
      </x:c>
      <x:c r="K959" s="136" t="str">
        <x:v>map-50</x:v>
      </x:c>
      <x:c r="L959" s="136" t="str">
        <x:v>DrillCamp | Picket Patrol | Picket Patrol 08||Spawn | Spawnpoint_Picket_Patrol_8_1 [map-50/006]</x:v>
      </x:c>
      <x:c r="M959" s="35"/>
      <x:c r="N959" s="35"/>
      <x:c r="O959" s="35"/>
      <x:c r="P959" s="35"/>
      <x:c r="Q959" s="35"/>
      <x:c r="R959" s="35"/>
      <x:c r="S959" s="35"/>
      <x:c r="T959" s="35"/>
      <x:c r="U959" s="35"/>
      <x:c r="V959" s="35"/>
      <x:c r="W959" s="35"/>
      <x:c r="X959" s="35"/>
      <x:c r="Y959" s="35"/>
      <x:c r="Z959" s="35"/>
      <x:c r="AA959" s="35"/>
    </x:row>
    <x:row r="960">
      <x:c r="A960" s="136" t="str">
        <x:v>DrillCamp | Picket Patrol | Picket Patrol 08</x:v>
      </x:c>
      <x:c r="B960" s="136" t="str">
        <x:v>Spawn | Spawnpoint_Picket_Patrol_8_4 [map-50/007]</x:v>
      </x:c>
      <x:c r="C960" s="136" t="str">
        <x:v>spawn</x:v>
      </x:c>
      <x:c r="D960" s="136" t="str"/>
      <x:c r="E960" s="136" t="str">
        <x:v>Spawnpoint_Picket_Patrol_8_4</x:v>
      </x:c>
      <x:c r="F960" s="137" t="n">
        <x:v>2334.671875</x:v>
      </x:c>
      <x:c r="G960" s="137" t="n">
        <x:v>1625.566650390625</x:v>
      </x:c>
      <x:c r="H960" s="137" t="n">
        <x:v>71.09033966064453</x:v>
      </x:c>
      <x:c r="I960" s="137" t="n">
        <x:v>1012.5637583892617</x:v>
      </x:c>
      <x:c r="J960" s="137" t="n">
        <x:v>372.6031879194631</x:v>
      </x:c>
      <x:c r="K960" s="136" t="str">
        <x:v>map-50</x:v>
      </x:c>
      <x:c r="L960" s="136" t="str">
        <x:v>DrillCamp | Picket Patrol | Picket Patrol 08||Spawn | Spawnpoint_Picket_Patrol_8_4 [map-50/007]</x:v>
      </x:c>
      <x:c r="M960" s="35"/>
      <x:c r="N960" s="35"/>
      <x:c r="O960" s="35"/>
      <x:c r="P960" s="35"/>
      <x:c r="Q960" s="35"/>
      <x:c r="R960" s="35"/>
      <x:c r="S960" s="35"/>
      <x:c r="T960" s="35"/>
      <x:c r="U960" s="35"/>
      <x:c r="V960" s="35"/>
      <x:c r="W960" s="35"/>
      <x:c r="X960" s="35"/>
      <x:c r="Y960" s="35"/>
      <x:c r="Z960" s="35"/>
      <x:c r="AA960" s="35"/>
    </x:row>
    <x:row r="961">
      <x:c r="A961" s="136" t="str">
        <x:v>DrillCamp | Picket Patrol | Picket Patrol 09</x:v>
      </x:c>
      <x:c r="B961" s="136" t="str">
        <x:v>Spawn | Spawnpoint_Picket_Patrol_9_7 [map-51/001]</x:v>
      </x:c>
      <x:c r="C961" s="136" t="str">
        <x:v>spawn</x:v>
      </x:c>
      <x:c r="D961" s="136" t="str"/>
      <x:c r="E961" s="136" t="str">
        <x:v>Spawnpoint_Picket_Patrol_9_7</x:v>
      </x:c>
      <x:c r="F961" s="137" t="n">
        <x:v>1185.0513916015625</x:v>
      </x:c>
      <x:c r="G961" s="137" t="n">
        <x:v>2653.149169921875</x:v>
      </x:c>
      <x:c r="H961" s="137" t="n">
        <x:v>51.87179946899414</x:v>
      </x:c>
      <x:c r="I961" s="137" t="n">
        <x:v>1041.3578020134228</x:v>
      </x:c>
      <x:c r="J961" s="137" t="n">
        <x:v>1504.5612416107383</x:v>
      </x:c>
      <x:c r="K961" s="136" t="str">
        <x:v>map-51</x:v>
      </x:c>
      <x:c r="L961" s="136" t="str">
        <x:v>DrillCamp | Picket Patrol | Picket Patrol 09||Spawn | Spawnpoint_Picket_Patrol_9_7 [map-51/001]</x:v>
      </x:c>
      <x:c r="M961" s="35"/>
      <x:c r="N961" s="35"/>
      <x:c r="O961" s="35"/>
      <x:c r="P961" s="35"/>
      <x:c r="Q961" s="35"/>
      <x:c r="R961" s="35"/>
      <x:c r="S961" s="35"/>
      <x:c r="T961" s="35"/>
      <x:c r="U961" s="35"/>
      <x:c r="V961" s="35"/>
      <x:c r="W961" s="35"/>
      <x:c r="X961" s="35"/>
      <x:c r="Y961" s="35"/>
      <x:c r="Z961" s="35"/>
      <x:c r="AA961" s="35"/>
    </x:row>
    <x:row r="962">
      <x:c r="A962" s="136" t="str">
        <x:v>DrillCamp | Picket Patrol | Picket Patrol 09</x:v>
      </x:c>
      <x:c r="B962" s="136" t="str">
        <x:v>Spawn | Spawnpoint_Picket_Patrol_9_6 [map-51/002]</x:v>
      </x:c>
      <x:c r="C962" s="136" t="str">
        <x:v>spawn</x:v>
      </x:c>
      <x:c r="D962" s="136" t="str"/>
      <x:c r="E962" s="136" t="str">
        <x:v>Spawnpoint_Picket_Patrol_9_6</x:v>
      </x:c>
      <x:c r="F962" s="137" t="n">
        <x:v>1033.3912353515625</x:v>
      </x:c>
      <x:c r="G962" s="137" t="n">
        <x:v>2625.51171875</x:v>
      </x:c>
      <x:c r="H962" s="137" t="n">
        <x:v>57.139156341552734</x:v>
      </x:c>
      <x:c r="I962" s="137" t="n">
        <x:v>520.2168624161073</x:v>
      </x:c>
      <x:c r="J962" s="137" t="n">
        <x:v>1599.5302013422818</x:v>
      </x:c>
      <x:c r="K962" s="136" t="str">
        <x:v>map-51</x:v>
      </x:c>
      <x:c r="L962" s="136" t="str">
        <x:v>DrillCamp | Picket Patrol | Picket Patrol 09||Spawn | Spawnpoint_Picket_Patrol_9_6 [map-51/002]</x:v>
      </x:c>
      <x:c r="M962" s="35"/>
      <x:c r="N962" s="35"/>
      <x:c r="O962" s="35"/>
      <x:c r="P962" s="35"/>
      <x:c r="Q962" s="35"/>
      <x:c r="R962" s="35"/>
      <x:c r="S962" s="35"/>
      <x:c r="T962" s="35"/>
      <x:c r="U962" s="35"/>
      <x:c r="V962" s="35"/>
      <x:c r="W962" s="35"/>
      <x:c r="X962" s="35"/>
      <x:c r="Y962" s="35"/>
      <x:c r="Z962" s="35"/>
      <x:c r="AA962" s="35"/>
    </x:row>
    <x:row r="963">
      <x:c r="A963" s="136" t="str">
        <x:v>DrillCamp | Picket Patrol | Picket Patrol 09</x:v>
      </x:c>
      <x:c r="B963" s="136" t="str">
        <x:v>Spawn | Spawnpoint_Picket_Patrol_9_2 [map-51/003]</x:v>
      </x:c>
      <x:c r="C963" s="136" t="str">
        <x:v>spawn</x:v>
      </x:c>
      <x:c r="D963" s="136" t="str"/>
      <x:c r="E963" s="136" t="str">
        <x:v>Spawnpoint_Picket_Patrol_9_2</x:v>
      </x:c>
      <x:c r="F963" s="137" t="n">
        <x:v>1320.9752197265625</x:v>
      </x:c>
      <x:c r="G963" s="137" t="n">
        <x:v>2848.522705078125</x:v>
      </x:c>
      <x:c r="H963" s="137" t="n">
        <x:v>59.4700927734375</x:v>
      </x:c>
      <x:c r="I963" s="137" t="n">
        <x:v>1508.4249161073826</x:v>
      </x:c>
      <x:c r="J963" s="137" t="n">
        <x:v>833.2105704697987</x:v>
      </x:c>
      <x:c r="K963" s="136" t="str">
        <x:v>map-51</x:v>
      </x:c>
      <x:c r="L963" s="136" t="str">
        <x:v>DrillCamp | Picket Patrol | Picket Patrol 09||Spawn | Spawnpoint_Picket_Patrol_9_2 [map-51/003]</x:v>
      </x:c>
      <x:c r="M963" s="35"/>
      <x:c r="N963" s="35"/>
      <x:c r="O963" s="35"/>
      <x:c r="P963" s="35"/>
      <x:c r="Q963" s="35"/>
      <x:c r="R963" s="35"/>
      <x:c r="S963" s="35"/>
      <x:c r="T963" s="35"/>
      <x:c r="U963" s="35"/>
      <x:c r="V963" s="35"/>
      <x:c r="W963" s="35"/>
      <x:c r="X963" s="35"/>
      <x:c r="Y963" s="35"/>
      <x:c r="Z963" s="35"/>
      <x:c r="AA963" s="35"/>
    </x:row>
    <x:row r="964">
      <x:c r="A964" s="136" t="str">
        <x:v>DrillCamp | Picket Patrol | Picket Patrol 09</x:v>
      </x:c>
      <x:c r="B964" s="136" t="str">
        <x:v>Spawn | Spawnpoint_Picket_Patrol_9_5 [map-51/004]</x:v>
      </x:c>
      <x:c r="C964" s="136" t="str">
        <x:v>spawn</x:v>
      </x:c>
      <x:c r="D964" s="136" t="str"/>
      <x:c r="E964" s="136" t="str">
        <x:v>Spawnpoint_Picket_Patrol_9_5</x:v>
      </x:c>
      <x:c r="F964" s="137" t="n">
        <x:v>1084.7618408203125</x:v>
      </x:c>
      <x:c r="G964" s="137" t="n">
        <x:v>2737.673583984375</x:v>
      </x:c>
      <x:c r="H964" s="137" t="n">
        <x:v>59.827457427978516</x:v>
      </x:c>
      <x:c r="I964" s="137" t="n">
        <x:v>696.7386744966443</x:v>
      </x:c>
      <x:c r="J964" s="137" t="n">
        <x:v>1214.114932885906</x:v>
      </x:c>
      <x:c r="K964" s="136" t="str">
        <x:v>map-51</x:v>
      </x:c>
      <x:c r="L964" s="136" t="str">
        <x:v>DrillCamp | Picket Patrol | Picket Patrol 09||Spawn | Spawnpoint_Picket_Patrol_9_5 [map-51/004]</x:v>
      </x:c>
      <x:c r="M964" s="35"/>
      <x:c r="N964" s="35"/>
      <x:c r="O964" s="35"/>
      <x:c r="P964" s="35"/>
      <x:c r="Q964" s="35"/>
      <x:c r="R964" s="35"/>
      <x:c r="S964" s="35"/>
      <x:c r="T964" s="35"/>
      <x:c r="U964" s="35"/>
      <x:c r="V964" s="35"/>
      <x:c r="W964" s="35"/>
      <x:c r="X964" s="35"/>
      <x:c r="Y964" s="35"/>
      <x:c r="Z964" s="35"/>
      <x:c r="AA964" s="35"/>
    </x:row>
    <x:row r="965">
      <x:c r="A965" s="136" t="str">
        <x:v>DrillCamp | Picket Patrol | Picket Patrol 09</x:v>
      </x:c>
      <x:c r="B965" s="136" t="str">
        <x:v>Spawn | Spawnpoint_Picket_Patrol_9_1 [map-51/005]</x:v>
      </x:c>
      <x:c r="C965" s="136" t="str">
        <x:v>spawn</x:v>
      </x:c>
      <x:c r="D965" s="136" t="str"/>
      <x:c r="E965" s="136" t="str">
        <x:v>Spawnpoint_Picket_Patrol_9_1</x:v>
      </x:c>
      <x:c r="F965" s="137" t="n">
        <x:v>1320.767578125</x:v>
      </x:c>
      <x:c r="G965" s="137" t="n">
        <x:v>2637.765380859375</x:v>
      </x:c>
      <x:c r="H965" s="137" t="n">
        <x:v>52.2374382019043</x:v>
      </x:c>
      <x:c r="I965" s="137" t="n">
        <x:v>1507.711409395973</x:v>
      </x:c>
      <x:c r="J965" s="137" t="n">
        <x:v>1557.4236577181207</x:v>
      </x:c>
      <x:c r="K965" s="136" t="str">
        <x:v>map-51</x:v>
      </x:c>
      <x:c r="L965" s="136" t="str">
        <x:v>DrillCamp | Picket Patrol | Picket Patrol 09||Spawn | Spawnpoint_Picket_Patrol_9_1 [map-51/005]</x:v>
      </x:c>
      <x:c r="M965" s="35"/>
      <x:c r="N965" s="35"/>
      <x:c r="O965" s="35"/>
      <x:c r="P965" s="35"/>
      <x:c r="Q965" s="35"/>
      <x:c r="R965" s="35"/>
      <x:c r="S965" s="35"/>
      <x:c r="T965" s="35"/>
      <x:c r="U965" s="35"/>
      <x:c r="V965" s="35"/>
      <x:c r="W965" s="35"/>
      <x:c r="X965" s="35"/>
      <x:c r="Y965" s="35"/>
      <x:c r="Z965" s="35"/>
      <x:c r="AA965" s="35"/>
    </x:row>
    <x:row r="966">
      <x:c r="A966" s="136" t="str">
        <x:v>DrillCamp | Picket Patrol | Picket Patrol 09</x:v>
      </x:c>
      <x:c r="B966" s="136" t="str">
        <x:v>Spawn | Spawnpoint_Picket_Patrol_9_3 [map-51/006]</x:v>
      </x:c>
      <x:c r="C966" s="136" t="str">
        <x:v>spawn</x:v>
      </x:c>
      <x:c r="D966" s="136" t="str"/>
      <x:c r="E966" s="136" t="str">
        <x:v>Spawnpoint_Picket_Patrol_9_3</x:v>
      </x:c>
      <x:c r="F966" s="137" t="n">
        <x:v>1347.6954345703125</x:v>
      </x:c>
      <x:c r="G966" s="137" t="n">
        <x:v>2976.794677734375</x:v>
      </x:c>
      <x:c r="H966" s="137" t="n">
        <x:v>60.01306915283203</x:v>
      </x:c>
      <x:c r="I966" s="137" t="n">
        <x:v>1600.2420302013422</x:v>
      </x:c>
      <x:c r="J966" s="137" t="n">
        <x:v>392.43708053691273</x:v>
      </x:c>
      <x:c r="K966" s="136" t="str">
        <x:v>map-51</x:v>
      </x:c>
      <x:c r="L966" s="136" t="str">
        <x:v>DrillCamp | Picket Patrol | Picket Patrol 09||Spawn | Spawnpoint_Picket_Patrol_9_3 [map-51/006]</x:v>
      </x:c>
      <x:c r="M966" s="35"/>
      <x:c r="N966" s="35"/>
      <x:c r="O966" s="35"/>
      <x:c r="P966" s="35"/>
      <x:c r="Q966" s="35"/>
      <x:c r="R966" s="35"/>
      <x:c r="S966" s="35"/>
      <x:c r="T966" s="35"/>
      <x:c r="U966" s="35"/>
      <x:c r="V966" s="35"/>
      <x:c r="W966" s="35"/>
      <x:c r="X966" s="35"/>
      <x:c r="Y966" s="35"/>
      <x:c r="Z966" s="35"/>
      <x:c r="AA966" s="35"/>
    </x:row>
    <x:row r="967">
      <x:c r="A967" s="136" t="str">
        <x:v>DrillCamp | Picket Patrol | Picket Patrol 09</x:v>
      </x:c>
      <x:c r="B967" s="136" t="str">
        <x:v>Spawn | Spawnpoint_Picket_Patrol_9_4 [map-51/007]</x:v>
      </x:c>
      <x:c r="C967" s="136" t="str">
        <x:v>spawn</x:v>
      </x:c>
      <x:c r="D967" s="136" t="str"/>
      <x:c r="E967" s="136" t="str">
        <x:v>Spawnpoint_Picket_Patrol_9_4</x:v>
      </x:c>
      <x:c r="F967" s="137" t="n">
        <x:v>1164.2401123046875</x:v>
      </x:c>
      <x:c r="G967" s="137" t="n">
        <x:v>2917.8046875</x:v>
      </x:c>
      <x:c r="H967" s="137" t="n">
        <x:v>63.75508499145508</x:v>
      </x:c>
      <x:c r="I967" s="137" t="n">
        <x:v>969.8452181208054</x:v>
      </x:c>
      <x:c r="J967" s="137" t="n">
        <x:v>595.1409395973154</x:v>
      </x:c>
      <x:c r="K967" s="136" t="str">
        <x:v>map-51</x:v>
      </x:c>
      <x:c r="L967" s="136" t="str">
        <x:v>DrillCamp | Picket Patrol | Picket Patrol 09||Spawn | Spawnpoint_Picket_Patrol_9_4 [map-51/007]</x:v>
      </x:c>
      <x:c r="M967" s="35"/>
      <x:c r="N967" s="35"/>
      <x:c r="O967" s="35"/>
      <x:c r="P967" s="35"/>
      <x:c r="Q967" s="35"/>
      <x:c r="R967" s="35"/>
      <x:c r="S967" s="35"/>
      <x:c r="T967" s="35"/>
      <x:c r="U967" s="35"/>
      <x:c r="V967" s="35"/>
      <x:c r="W967" s="35"/>
      <x:c r="X967" s="35"/>
      <x:c r="Y967" s="35"/>
      <x:c r="Z967" s="35"/>
      <x:c r="AA967" s="35"/>
    </x:row>
    <x:row r="968">
      <x:c r="A968" s="136" t="str">
        <x:v>DrillCamp | Picket Patrol | Picket Patrol 10</x:v>
      </x:c>
      <x:c r="B968" s="136" t="str">
        <x:v>Spawn | Spawnpoint_Picket_Patrol_10_6 [map-52/001]</x:v>
      </x:c>
      <x:c r="C968" s="136" t="str">
        <x:v>spawn</x:v>
      </x:c>
      <x:c r="D968" s="136" t="str"/>
      <x:c r="E968" s="136" t="str">
        <x:v>Spawnpoint_Picket_Patrol_10_6</x:v>
      </x:c>
      <x:c r="F968" s="137" t="n">
        <x:v>681.3245849609375</x:v>
      </x:c>
      <x:c r="G968" s="137" t="n">
        <x:v>2728.94482421875</x:v>
      </x:c>
      <x:c r="H968" s="137" t="n">
        <x:v>61.40094757080078</x:v>
      </x:c>
      <x:c r="I968" s="137" t="n">
        <x:v>837.840599023888</x:v>
      </x:c>
      <x:c r="J968" s="137" t="n">
        <x:v>1659.5982920507938</x:v>
      </x:c>
      <x:c r="K968" s="136" t="str">
        <x:v>map-52</x:v>
      </x:c>
      <x:c r="L968" s="136" t="str">
        <x:v>DrillCamp | Picket Patrol | Picket Patrol 10||Spawn | Spawnpoint_Picket_Patrol_10_6 [map-52/001]</x:v>
      </x:c>
      <x:c r="M968" s="35"/>
      <x:c r="N968" s="35"/>
      <x:c r="O968" s="35"/>
      <x:c r="P968" s="35"/>
      <x:c r="Q968" s="35"/>
      <x:c r="R968" s="35"/>
      <x:c r="S968" s="35"/>
      <x:c r="T968" s="35"/>
      <x:c r="U968" s="35"/>
      <x:c r="V968" s="35"/>
      <x:c r="W968" s="35"/>
      <x:c r="X968" s="35"/>
      <x:c r="Y968" s="35"/>
      <x:c r="Z968" s="35"/>
      <x:c r="AA968" s="35"/>
    </x:row>
    <x:row r="969">
      <x:c r="A969" s="136" t="str">
        <x:v>DrillCamp | Picket Patrol | Picket Patrol 10</x:v>
      </x:c>
      <x:c r="B969" s="136" t="str">
        <x:v>Spawn | Spawnpoint_Picket_Patrol_10_5 [map-52/002]</x:v>
      </x:c>
      <x:c r="C969" s="136" t="str">
        <x:v>spawn</x:v>
      </x:c>
      <x:c r="D969" s="136" t="str"/>
      <x:c r="E969" s="136" t="str">
        <x:v>Spawnpoint_Picket_Patrol_10_5</x:v>
      </x:c>
      <x:c r="F969" s="137" t="n">
        <x:v>618.4510498046875</x:v>
      </x:c>
      <x:c r="G969" s="137" t="n">
        <x:v>3076.989501953125</x:v>
      </x:c>
      <x:c r="H969" s="137" t="n">
        <x:v>70.58668518066406</x:v>
      </x:c>
      <x:c r="I969" s="137" t="n">
        <x:v>617.7294877201325</x:v>
      </x:c>
      <x:c r="J969" s="137" t="n">
        <x:v>441.1444448305401</x:v>
      </x:c>
      <x:c r="K969" s="136" t="str">
        <x:v>map-52</x:v>
      </x:c>
      <x:c r="L969" s="136" t="str">
        <x:v>DrillCamp | Picket Patrol | Picket Patrol 10||Spawn | Spawnpoint_Picket_Patrol_10_5 [map-52/002]</x:v>
      </x:c>
      <x:c r="M969" s="35"/>
      <x:c r="N969" s="35"/>
      <x:c r="O969" s="35"/>
      <x:c r="P969" s="35"/>
      <x:c r="Q969" s="35"/>
      <x:c r="R969" s="35"/>
      <x:c r="S969" s="35"/>
      <x:c r="T969" s="35"/>
      <x:c r="U969" s="35"/>
      <x:c r="V969" s="35"/>
      <x:c r="W969" s="35"/>
      <x:c r="X969" s="35"/>
      <x:c r="Y969" s="35"/>
      <x:c r="Z969" s="35"/>
      <x:c r="AA969" s="35"/>
    </x:row>
    <x:row r="970">
      <x:c r="A970" s="136" t="str">
        <x:v>DrillCamp | Picket Patrol | Picket Patrol 10</x:v>
      </x:c>
      <x:c r="B970" s="136" t="str">
        <x:v>Spawn | Spawnpoint_Picket_Patrol_10_3 [map-52/003]</x:v>
      </x:c>
      <x:c r="C970" s="136" t="str">
        <x:v>spawn</x:v>
      </x:c>
      <x:c r="D970" s="136" t="str"/>
      <x:c r="E970" s="136" t="str">
        <x:v>Spawnpoint_Picket_Patrol_10_3</x:v>
      </x:c>
      <x:c r="F970" s="137" t="n">
        <x:v>923.8843383789062</x:v>
      </x:c>
      <x:c r="G970" s="137" t="n">
        <x:v>3096.6904296875</x:v>
      </x:c>
      <x:c r="H970" s="137" t="n">
        <x:v>82.51664733886719</x:v>
      </x:c>
      <x:c r="I970" s="137" t="n">
        <x:v>1687.007052758543</x:v>
      </x:c>
      <x:c r="J970" s="137" t="n">
        <x:v>372.1743593000911</x:v>
      </x:c>
      <x:c r="K970" s="136" t="str">
        <x:v>map-52</x:v>
      </x:c>
      <x:c r="L970" s="136" t="str">
        <x:v>DrillCamp | Picket Patrol | Picket Patrol 10||Spawn | Spawnpoint_Picket_Patrol_10_3 [map-52/003]</x:v>
      </x:c>
      <x:c r="M970" s="35"/>
      <x:c r="N970" s="35"/>
      <x:c r="O970" s="35"/>
      <x:c r="P970" s="35"/>
      <x:c r="Q970" s="35"/>
      <x:c r="R970" s="35"/>
      <x:c r="S970" s="35"/>
      <x:c r="T970" s="35"/>
      <x:c r="U970" s="35"/>
      <x:c r="V970" s="35"/>
      <x:c r="W970" s="35"/>
      <x:c r="X970" s="35"/>
      <x:c r="Y970" s="35"/>
      <x:c r="Z970" s="35"/>
      <x:c r="AA970" s="35"/>
    </x:row>
    <x:row r="971">
      <x:c r="A971" s="136" t="str">
        <x:v>DrillCamp | Picket Patrol | Picket Patrol 10</x:v>
      </x:c>
      <x:c r="B971" s="136" t="str">
        <x:v>Spawn | Spawnpoint_Picket_Patrol_10_4 [map-52/004]</x:v>
      </x:c>
      <x:c r="C971" s="136" t="str">
        <x:v>spawn</x:v>
      </x:c>
      <x:c r="D971" s="136" t="str"/>
      <x:c r="E971" s="136" t="str">
        <x:v>Spawnpoint_Picket_Patrol_10_4</x:v>
      </x:c>
      <x:c r="F971" s="137" t="n">
        <x:v>716.6050415039062</x:v>
      </x:c>
      <x:c r="G971" s="137" t="n">
        <x:v>3094.3193359375</x:v>
      </x:c>
      <x:c r="H971" s="137" t="n">
        <x:v>78.06471252441406</x:v>
      </x:c>
      <x:c r="I971" s="137" t="n">
        <x:v>961.3523512687393</x:v>
      </x:c>
      <x:c r="J971" s="137" t="n">
        <x:v>380.47521400821086</x:v>
      </x:c>
      <x:c r="K971" s="136" t="str">
        <x:v>map-52</x:v>
      </x:c>
      <x:c r="L971" s="136" t="str">
        <x:v>DrillCamp | Picket Patrol | Picket Patrol 10||Spawn | Spawnpoint_Picket_Patrol_10_4 [map-52/004]</x:v>
      </x:c>
      <x:c r="M971" s="35"/>
      <x:c r="N971" s="35"/>
      <x:c r="O971" s="35"/>
      <x:c r="P971" s="35"/>
      <x:c r="Q971" s="35"/>
      <x:c r="R971" s="35"/>
      <x:c r="S971" s="35"/>
      <x:c r="T971" s="35"/>
      <x:c r="U971" s="35"/>
      <x:c r="V971" s="35"/>
      <x:c r="W971" s="35"/>
      <x:c r="X971" s="35"/>
      <x:c r="Y971" s="35"/>
      <x:c r="Z971" s="35"/>
      <x:c r="AA971" s="35"/>
    </x:row>
    <x:row r="972">
      <x:c r="A972" s="136" t="str">
        <x:v>DrillCamp | Picket Patrol | Picket Patrol 10</x:v>
      </x:c>
      <x:c r="B972" s="136" t="str">
        <x:v>Spawn | Spawnpoint_Picket_Patrol_10_7 [map-52/005]</x:v>
      </x:c>
      <x:c r="C972" s="136" t="str">
        <x:v>spawn</x:v>
      </x:c>
      <x:c r="D972" s="136" t="str"/>
      <x:c r="E972" s="136" t="str">
        <x:v>Spawnpoint_Picket_Patrol_10_7</x:v>
      </x:c>
      <x:c r="F972" s="137" t="n">
        <x:v>661.6318969726562</x:v>
      </x:c>
      <x:c r="G972" s="137" t="n">
        <x:v>2884.8564453125</x:v>
      </x:c>
      <x:c r="H972" s="137" t="n">
        <x:v>65.63534545898438</x:v>
      </x:c>
      <x:c r="I972" s="137" t="n">
        <x:v>768.8993596473103</x:v>
      </x:c>
      <x:c r="J972" s="137" t="n">
        <x:v>1113.7743599491496</x:v>
      </x:c>
      <x:c r="K972" s="136" t="str">
        <x:v>map-52</x:v>
      </x:c>
      <x:c r="L972" s="136" t="str">
        <x:v>DrillCamp | Picket Patrol | Picket Patrol 10||Spawn | Spawnpoint_Picket_Patrol_10_7 [map-52/005]</x:v>
      </x:c>
      <x:c r="M972" s="35"/>
      <x:c r="N972" s="35"/>
      <x:c r="O972" s="35"/>
      <x:c r="P972" s="35"/>
      <x:c r="Q972" s="35"/>
      <x:c r="R972" s="35"/>
      <x:c r="S972" s="35"/>
      <x:c r="T972" s="35"/>
      <x:c r="U972" s="35"/>
      <x:c r="V972" s="35"/>
      <x:c r="W972" s="35"/>
      <x:c r="X972" s="35"/>
      <x:c r="Y972" s="35"/>
      <x:c r="Z972" s="35"/>
      <x:c r="AA972" s="35"/>
    </x:row>
    <x:row r="973">
      <x:c r="A973" s="136" t="str">
        <x:v>DrillCamp | Picket Patrol | Picket Patrol 10</x:v>
      </x:c>
      <x:c r="B973" s="136" t="str">
        <x:v>Spawn | Spawnpoint_Picket_Patrol_10_1 [map-52/006]</x:v>
      </x:c>
      <x:c r="C973" s="136" t="str">
        <x:v>spawn</x:v>
      </x:c>
      <x:c r="D973" s="136" t="str"/>
      <x:c r="E973" s="136" t="str">
        <x:v>Spawnpoint_Picket_Patrol_10_1</x:v>
      </x:c>
      <x:c r="F973" s="137" t="n">
        <x:v>823.3182373046875</x:v>
      </x:c>
      <x:c r="G973" s="137" t="n">
        <x:v>2763.773681640625</x:v>
      </x:c>
      <x:c r="H973" s="137" t="n">
        <x:v>59.00638198852539</x:v>
      </x:c>
      <x:c r="I973" s="137" t="n">
        <x:v>1334.9397447581014</x:v>
      </x:c>
      <x:c r="J973" s="137" t="n">
        <x:v>1537.6675227133092</x:v>
      </x:c>
      <x:c r="K973" s="136" t="str">
        <x:v>map-52</x:v>
      </x:c>
      <x:c r="L973" s="136" t="str">
        <x:v>DrillCamp | Picket Patrol | Picket Patrol 10||Spawn | Spawnpoint_Picket_Patrol_10_1 [map-52/006]</x:v>
      </x:c>
      <x:c r="M973" s="35"/>
      <x:c r="N973" s="35"/>
      <x:c r="O973" s="35"/>
      <x:c r="P973" s="35"/>
      <x:c r="Q973" s="35"/>
      <x:c r="R973" s="35"/>
      <x:c r="S973" s="35"/>
      <x:c r="T973" s="35"/>
      <x:c r="U973" s="35"/>
      <x:c r="V973" s="35"/>
      <x:c r="W973" s="35"/>
      <x:c r="X973" s="35"/>
      <x:c r="Y973" s="35"/>
      <x:c r="Z973" s="35"/>
      <x:c r="AA973" s="35"/>
    </x:row>
    <x:row r="974">
      <x:c r="A974" s="136" t="str">
        <x:v>DrillCamp | Picket Patrol | Picket Patrol 10</x:v>
      </x:c>
      <x:c r="B974" s="136" t="str">
        <x:v>Spawn | Spawnpoint_Picket_Patrol_10_2 [map-52/007]</x:v>
      </x:c>
      <x:c r="C974" s="136" t="str">
        <x:v>spawn</x:v>
      </x:c>
      <x:c r="D974" s="136" t="str"/>
      <x:c r="E974" s="136" t="str">
        <x:v>Spawnpoint_Picket_Patrol_10_2</x:v>
      </x:c>
      <x:c r="F974" s="137" t="n">
        <x:v>882.8872680664062</x:v>
      </x:c>
      <x:c r="G974" s="137" t="n">
        <x:v>2909.833251953125</x:v>
      </x:c>
      <x:c r="H974" s="137" t="n">
        <x:v>70.89759063720703</x:v>
      </x:c>
      <x:c r="I974" s="137" t="n">
        <x:v>1543.482266308142</x:v>
      </x:c>
      <x:c r="J974" s="137" t="n">
        <x:v>1026.33418893245</x:v>
      </x:c>
      <x:c r="K974" s="136" t="str">
        <x:v>map-52</x:v>
      </x:c>
      <x:c r="L974" s="136" t="str">
        <x:v>DrillCamp | Picket Patrol | Picket Patrol 10||Spawn | Spawnpoint_Picket_Patrol_10_2 [map-52/007]</x:v>
      </x:c>
      <x:c r="M974" s="35"/>
      <x:c r="N974" s="35"/>
      <x:c r="O974" s="35"/>
      <x:c r="P974" s="35"/>
      <x:c r="Q974" s="35"/>
      <x:c r="R974" s="35"/>
      <x:c r="S974" s="35"/>
      <x:c r="T974" s="35"/>
      <x:c r="U974" s="35"/>
      <x:c r="V974" s="35"/>
      <x:c r="W974" s="35"/>
      <x:c r="X974" s="35"/>
      <x:c r="Y974" s="35"/>
      <x:c r="Z974" s="35"/>
      <x:c r="AA974" s="35"/>
    </x:row>
    <x:row r="975">
      <x:c r="A975" s="136" t="str">
        <x:v>DrillCamp | Picket Patrol | Picket Patrol 11</x:v>
      </x:c>
      <x:c r="B975" s="136" t="str">
        <x:v>Spawn | Spawnpoint_Picket_Patrol_11_4 [map-53/001]</x:v>
      </x:c>
      <x:c r="C975" s="136" t="str">
        <x:v>spawn</x:v>
      </x:c>
      <x:c r="D975" s="136" t="str"/>
      <x:c r="E975" s="136" t="str">
        <x:v>Spawnpoint_Picket_Patrol_11_4</x:v>
      </x:c>
      <x:c r="F975" s="137" t="n">
        <x:v>1383.6021728515625</x:v>
      </x:c>
      <x:c r="G975" s="137" t="n">
        <x:v>3456.306884765625</x:v>
      </x:c>
      <x:c r="H975" s="137" t="n">
        <x:v>64.05806732177734</x:v>
      </x:c>
      <x:c r="I975" s="137" t="n">
        <x:v>1708.6622196596602</x:v>
      </x:c>
      <x:c r="J975" s="137" t="n">
        <x:v>694.9053409572541</x:v>
      </x:c>
      <x:c r="K975" s="136" t="str">
        <x:v>map-53</x:v>
      </x:c>
      <x:c r="L975" s="136" t="str">
        <x:v>DrillCamp | Picket Patrol | Picket Patrol 11||Spawn | Spawnpoint_Picket_Patrol_11_4 [map-53/001]</x:v>
      </x:c>
      <x:c r="M975" s="35"/>
      <x:c r="N975" s="35"/>
      <x:c r="O975" s="35"/>
      <x:c r="P975" s="35"/>
      <x:c r="Q975" s="35"/>
      <x:c r="R975" s="35"/>
      <x:c r="S975" s="35"/>
      <x:c r="T975" s="35"/>
      <x:c r="U975" s="35"/>
      <x:c r="V975" s="35"/>
      <x:c r="W975" s="35"/>
      <x:c r="X975" s="35"/>
      <x:c r="Y975" s="35"/>
      <x:c r="Z975" s="35"/>
      <x:c r="AA975" s="35"/>
    </x:row>
    <x:row r="976">
      <x:c r="A976" s="136" t="str">
        <x:v>DrillCamp | Picket Patrol | Picket Patrol 11</x:v>
      </x:c>
      <x:c r="B976" s="136" t="str">
        <x:v>Spawn | Spawnpoint_Picket_Patrol_11_5 [map-53/002]</x:v>
      </x:c>
      <x:c r="C976" s="136" t="str">
        <x:v>spawn</x:v>
      </x:c>
      <x:c r="D976" s="136" t="str"/>
      <x:c r="E976" s="136" t="str">
        <x:v>Spawnpoint_Picket_Patrol_11_5</x:v>
      </x:c>
      <x:c r="F976" s="137" t="n">
        <x:v>1086.601318359375</x:v>
      </x:c>
      <x:c r="G976" s="137" t="n">
        <x:v>3534.47314453125</x:v>
      </x:c>
      <x:c r="H976" s="137" t="n">
        <x:v>71.4968032836914</x:v>
      </x:c>
      <x:c r="I976" s="137" t="n">
        <x:v>724.4263766048747</x:v>
      </x:c>
      <x:c r="J976" s="137" t="n">
        <x:v>435.86893276105144</x:v>
      </x:c>
      <x:c r="K976" s="136" t="str">
        <x:v>map-53</x:v>
      </x:c>
      <x:c r="L976" s="136" t="str">
        <x:v>DrillCamp | Picket Patrol | Picket Patrol 11||Spawn | Spawnpoint_Picket_Patrol_11_5 [map-53/002]</x:v>
      </x:c>
      <x:c r="M976" s="35"/>
      <x:c r="N976" s="35"/>
      <x:c r="O976" s="35"/>
      <x:c r="P976" s="35"/>
      <x:c r="Q976" s="35"/>
      <x:c r="R976" s="35"/>
      <x:c r="S976" s="35"/>
      <x:c r="T976" s="35"/>
      <x:c r="U976" s="35"/>
      <x:c r="V976" s="35"/>
      <x:c r="W976" s="35"/>
      <x:c r="X976" s="35"/>
      <x:c r="Y976" s="35"/>
      <x:c r="Z976" s="35"/>
      <x:c r="AA976" s="35"/>
    </x:row>
    <x:row r="977">
      <x:c r="A977" s="136" t="str">
        <x:v>DrillCamp | Picket Patrol | Picket Patrol 11</x:v>
      </x:c>
      <x:c r="B977" s="136" t="str">
        <x:v>Spawn | Spawnpoint_Picket_Patrol_11_7 [map-53/003]</x:v>
      </x:c>
      <x:c r="C977" s="136" t="str">
        <x:v>spawn</x:v>
      </x:c>
      <x:c r="D977" s="136" t="str"/>
      <x:c r="E977" s="136" t="str">
        <x:v>Spawnpoint_Picket_Patrol_11_7</x:v>
      </x:c>
      <x:c r="F977" s="137" t="n">
        <x:v>962.0855712890625</x:v>
      </x:c>
      <x:c r="G977" s="137" t="n">
        <x:v>3263.11474609375</x:v>
      </x:c>
      <x:c r="H977" s="137" t="n">
        <x:v>63.8562126159668</x:v>
      </x:c>
      <x:c r="I977" s="137" t="n">
        <x:v>311.7916671832923</x:v>
      </x:c>
      <x:c r="J977" s="137" t="n">
        <x:v>1335.1278339274609</x:v>
      </x:c>
      <x:c r="K977" s="136" t="str">
        <x:v>map-53</x:v>
      </x:c>
      <x:c r="L977" s="136" t="str">
        <x:v>DrillCamp | Picket Patrol | Picket Patrol 11||Spawn | Spawnpoint_Picket_Patrol_11_7 [map-53/003]</x:v>
      </x:c>
      <x:c r="M977" s="35"/>
      <x:c r="N977" s="35"/>
      <x:c r="O977" s="35"/>
      <x:c r="P977" s="35"/>
      <x:c r="Q977" s="35"/>
      <x:c r="R977" s="35"/>
      <x:c r="S977" s="35"/>
      <x:c r="T977" s="35"/>
      <x:c r="U977" s="35"/>
      <x:c r="V977" s="35"/>
      <x:c r="W977" s="35"/>
      <x:c r="X977" s="35"/>
      <x:c r="Y977" s="35"/>
      <x:c r="Z977" s="35"/>
      <x:c r="AA977" s="35"/>
    </x:row>
    <x:row r="978">
      <x:c r="A978" s="136" t="str">
        <x:v>DrillCamp | Picket Patrol | Picket Patrol 11</x:v>
      </x:c>
      <x:c r="B978" s="136" t="str">
        <x:v>Spawn | Spawnpoint_Picket_Patrol_11_1 [map-53/004]</x:v>
      </x:c>
      <x:c r="C978" s="136" t="str">
        <x:v>spawn</x:v>
      </x:c>
      <x:c r="D978" s="136" t="str"/>
      <x:c r="E978" s="136" t="str">
        <x:v>Spawnpoint_Picket_Patrol_11_1</x:v>
      </x:c>
      <x:c r="F978" s="137" t="n">
        <x:v>1181.591552734375</x:v>
      </x:c>
      <x:c r="G978" s="137" t="n">
        <x:v>3167.64892578125</x:v>
      </x:c>
      <x:c r="H978" s="137" t="n">
        <x:v>64.39534759521484</x:v>
      </x:c>
      <x:c r="I978" s="137" t="n">
        <x:v>1039.2160211394128</x:v>
      </x:c>
      <x:c r="J978" s="137" t="n">
        <x:v>1651.4935302445456</x:v>
      </x:c>
      <x:c r="K978" s="136" t="str">
        <x:v>map-53</x:v>
      </x:c>
      <x:c r="L978" s="136" t="str">
        <x:v>DrillCamp | Picket Patrol | Picket Patrol 11||Spawn | Spawnpoint_Picket_Patrol_11_1 [map-53/004]</x:v>
      </x:c>
      <x:c r="M978" s="35"/>
      <x:c r="N978" s="35"/>
      <x:c r="O978" s="35"/>
      <x:c r="P978" s="35"/>
      <x:c r="Q978" s="35"/>
      <x:c r="R978" s="35"/>
      <x:c r="S978" s="35"/>
      <x:c r="T978" s="35"/>
      <x:c r="U978" s="35"/>
      <x:c r="V978" s="35"/>
      <x:c r="W978" s="35"/>
      <x:c r="X978" s="35"/>
      <x:c r="Y978" s="35"/>
      <x:c r="Z978" s="35"/>
      <x:c r="AA978" s="35"/>
    </x:row>
    <x:row r="979">
      <x:c r="A979" s="136" t="str">
        <x:v>DrillCamp | Picket Patrol | Picket Patrol 11</x:v>
      </x:c>
      <x:c r="B979" s="136" t="str">
        <x:v>Spawn | Spawnpoint_Picket_Patrol_11_3 [map-53/005]</x:v>
      </x:c>
      <x:c r="C979" s="136" t="str">
        <x:v>spawn</x:v>
      </x:c>
      <x:c r="D979" s="136" t="str"/>
      <x:c r="E979" s="136" t="str">
        <x:v>Spawnpoint_Picket_Patrol_11_3</x:v>
      </x:c>
      <x:c r="F979" s="137" t="n">
        <x:v>1289.7802734375</x:v>
      </x:c>
      <x:c r="G979" s="137" t="n">
        <x:v>3252.706787109375</x:v>
      </x:c>
      <x:c r="H979" s="137" t="n">
        <x:v>58.25015640258789</x:v>
      </x:c>
      <x:c r="I979" s="137" t="n">
        <x:v>1397.7443388855827</x:v>
      </x:c>
      <x:c r="J979" s="137" t="n">
        <x:v>1369.6189343082358</x:v>
      </x:c>
      <x:c r="K979" s="136" t="str">
        <x:v>map-53</x:v>
      </x:c>
      <x:c r="L979" s="136" t="str">
        <x:v>DrillCamp | Picket Patrol | Picket Patrol 11||Spawn | Spawnpoint_Picket_Patrol_11_3 [map-53/005]</x:v>
      </x:c>
      <x:c r="M979" s="35"/>
      <x:c r="N979" s="35"/>
      <x:c r="O979" s="35"/>
      <x:c r="P979" s="35"/>
      <x:c r="Q979" s="35"/>
      <x:c r="R979" s="35"/>
      <x:c r="S979" s="35"/>
      <x:c r="T979" s="35"/>
      <x:c r="U979" s="35"/>
      <x:c r="V979" s="35"/>
      <x:c r="W979" s="35"/>
      <x:c r="X979" s="35"/>
      <x:c r="Y979" s="35"/>
      <x:c r="Z979" s="35"/>
      <x:c r="AA979" s="35"/>
    </x:row>
    <x:row r="980">
      <x:c r="A980" s="136" t="str">
        <x:v>DrillCamp | Picket Patrol | Picket Patrol 11</x:v>
      </x:c>
      <x:c r="B980" s="136" t="str">
        <x:v>Spawn | Spawnpoint_Picket_Patrol_11_6 [map-53/006]</x:v>
      </x:c>
      <x:c r="C980" s="136" t="str">
        <x:v>spawn</x:v>
      </x:c>
      <x:c r="D980" s="136" t="str"/>
      <x:c r="E980" s="136" t="str">
        <x:v>Spawnpoint_Picket_Patrol_11_6</x:v>
      </x:c>
      <x:c r="F980" s="137" t="n">
        <x:v>990.4674072265625</x:v>
      </x:c>
      <x:c r="G980" s="137" t="n">
        <x:v>3436.087158203125</x:v>
      </x:c>
      <x:c r="H980" s="137" t="n">
        <x:v>69.98289489746094</x:v>
      </x:c>
      <x:c r="I980" s="137" t="n">
        <x:v>405.8466835203673</x:v>
      </x:c>
      <x:c r="J980" s="137" t="n">
        <x:v>761.9118135601904</x:v>
      </x:c>
      <x:c r="K980" s="136" t="str">
        <x:v>map-53</x:v>
      </x:c>
      <x:c r="L980" s="136" t="str">
        <x:v>DrillCamp | Picket Patrol | Picket Patrol 11||Spawn | Spawnpoint_Picket_Patrol_11_6 [map-53/006]</x:v>
      </x:c>
      <x:c r="M980" s="35"/>
      <x:c r="N980" s="35"/>
      <x:c r="O980" s="35"/>
      <x:c r="P980" s="35"/>
      <x:c r="Q980" s="35"/>
      <x:c r="R980" s="35"/>
      <x:c r="S980" s="35"/>
      <x:c r="T980" s="35"/>
      <x:c r="U980" s="35"/>
      <x:c r="V980" s="35"/>
      <x:c r="W980" s="35"/>
      <x:c r="X980" s="35"/>
      <x:c r="Y980" s="35"/>
      <x:c r="Z980" s="35"/>
      <x:c r="AA980" s="35"/>
    </x:row>
    <x:row r="981">
      <x:c r="A981" s="136" t="str">
        <x:v>DrillCamp | Picket Patrol | Picket Patrol 11</x:v>
      </x:c>
      <x:c r="B981" s="136" t="str">
        <x:v>Spawn | Spawnpoint_Picket_Patrol_11_2 [map-53/007]</x:v>
      </x:c>
      <x:c r="C981" s="136" t="str">
        <x:v>spawn</x:v>
      </x:c>
      <x:c r="D981" s="136" t="str"/>
      <x:c r="E981" s="136" t="str">
        <x:v>Spawnpoint_Picket_Patrol_11_2</x:v>
      </x:c>
      <x:c r="F981" s="137" t="n">
        <x:v>1333.791259765625</x:v>
      </x:c>
      <x:c r="G981" s="137" t="n">
        <x:v>3158.537109375</x:v>
      </x:c>
      <x:c r="H981" s="137" t="n">
        <x:v>57.341461181640625</x:v>
      </x:c>
      <x:c r="I981" s="137" t="n">
        <x:v>1543.593044628866</x:v>
      </x:c>
      <x:c r="J981" s="137" t="n">
        <x:v>1681.689323174838</x:v>
      </x:c>
      <x:c r="K981" s="136" t="str">
        <x:v>map-53</x:v>
      </x:c>
      <x:c r="L981" s="136" t="str">
        <x:v>DrillCamp | Picket Patrol | Picket Patrol 11||Spawn | Spawnpoint_Picket_Patrol_11_2 [map-53/007]</x:v>
      </x:c>
      <x:c r="M981" s="35"/>
      <x:c r="N981" s="35"/>
      <x:c r="O981" s="35"/>
      <x:c r="P981" s="35"/>
      <x:c r="Q981" s="35"/>
      <x:c r="R981" s="35"/>
      <x:c r="S981" s="35"/>
      <x:c r="T981" s="35"/>
      <x:c r="U981" s="35"/>
      <x:c r="V981" s="35"/>
      <x:c r="W981" s="35"/>
      <x:c r="X981" s="35"/>
      <x:c r="Y981" s="35"/>
      <x:c r="Z981" s="35"/>
      <x:c r="AA981" s="35"/>
    </x:row>
    <x:row r="982">
      <x:c r="A982" s="136" t="str">
        <x:v>DrillCamp | Skirmish | Alexander Farm</x:v>
      </x:c>
      <x:c r="B982" s="136" t="str">
        <x:v>Spawn | CSA Spawnpoint_AF_Defend_CSA_1stLA1 [map-54/001]</x:v>
      </x:c>
      <x:c r="C982" s="136" t="str">
        <x:v>spawn</x:v>
      </x:c>
      <x:c r="D982" s="136" t="str">
        <x:v>CSA</x:v>
      </x:c>
      <x:c r="E982" s="136" t="str">
        <x:v>Spawnpoint_AF_Defend_CSA_1stLA1</x:v>
      </x:c>
      <x:c r="F982" s="137" t="n">
        <x:v>1784.1795654296875</x:v>
      </x:c>
      <x:c r="G982" s="137" t="n">
        <x:v>1593.2515869140625</x:v>
      </x:c>
      <x:c r="H982" s="137" t="n">
        <x:v>58.95048522949219</x:v>
      </x:c>
      <x:c r="I982" s="137" t="n">
        <x:v>572.2628625753471</x:v>
      </x:c>
      <x:c r="J982" s="137" t="n">
        <x:v>1316.8590707447943</x:v>
      </x:c>
      <x:c r="K982" s="136" t="str">
        <x:v>map-54</x:v>
      </x:c>
      <x:c r="L982" s="136" t="str">
        <x:v>DrillCamp | Skirmish | Alexander Farm||Spawn | CSA Spawnpoint_AF_Defend_CSA_1stLA1 [map-54/001]</x:v>
      </x:c>
      <x:c r="M982" s="35"/>
      <x:c r="N982" s="35"/>
      <x:c r="O982" s="35"/>
      <x:c r="P982" s="35"/>
      <x:c r="Q982" s="35"/>
      <x:c r="R982" s="35"/>
      <x:c r="S982" s="35"/>
      <x:c r="T982" s="35"/>
      <x:c r="U982" s="35"/>
      <x:c r="V982" s="35"/>
      <x:c r="W982" s="35"/>
      <x:c r="X982" s="35"/>
      <x:c r="Y982" s="35"/>
      <x:c r="Z982" s="35"/>
      <x:c r="AA982" s="35"/>
    </x:row>
    <x:row r="983">
      <x:c r="A983" s="136" t="str">
        <x:v>DrillCamp | Skirmish | Alexander Farm</x:v>
      </x:c>
      <x:c r="B983" s="136" t="str">
        <x:v>Artillery | USA Spawnpoint_AF_USA_Arty_Base [map-54/002]</x:v>
      </x:c>
      <x:c r="C983" s="136" t="str">
        <x:v>battery</x:v>
      </x:c>
      <x:c r="D983" s="136" t="str">
        <x:v>USA</x:v>
      </x:c>
      <x:c r="E983" s="136" t="str">
        <x:v>Spawnpoint_AF_USA_Arty_Base</x:v>
      </x:c>
      <x:c r="F983" s="137" t="n">
        <x:v>2214.138427734375</x:v>
      </x:c>
      <x:c r="G983" s="137" t="n">
        <x:v>1919.482421875</x:v>
      </x:c>
      <x:c r="H983" s="137" t="n">
        <x:v>64.38532257080078</x:v>
      </x:c>
      <x:c r="I983" s="137" t="n">
        <x:v>1407.3702754428573</x:v>
      </x:c>
      <x:c r="J983" s="137" t="n">
        <x:v>684.0266738981672</x:v>
      </x:c>
      <x:c r="K983" s="136" t="str">
        <x:v>map-54</x:v>
      </x:c>
      <x:c r="L983" s="136" t="str">
        <x:v>DrillCamp | Skirmish | Alexander Farm||Artillery | USA Spawnpoint_AF_USA_Arty_Base [map-54/002]</x:v>
      </x:c>
      <x:c r="M983" s="35"/>
      <x:c r="N983" s="35"/>
      <x:c r="O983" s="35"/>
      <x:c r="P983" s="35"/>
      <x:c r="Q983" s="35"/>
      <x:c r="R983" s="35"/>
      <x:c r="S983" s="35"/>
      <x:c r="T983" s="35"/>
      <x:c r="U983" s="35"/>
      <x:c r="V983" s="35"/>
      <x:c r="W983" s="35"/>
      <x:c r="X983" s="35"/>
      <x:c r="Y983" s="35"/>
      <x:c r="Z983" s="35"/>
      <x:c r="AA983" s="35"/>
    </x:row>
    <x:row r="984">
      <x:c r="A984" s="136" t="str">
        <x:v>DrillCamp | Skirmish | Alexander Farm</x:v>
      </x:c>
      <x:c r="B984" s="136" t="str">
        <x:v>Spawn | USA Spawnpoint_AF_Base_USA_9thNY2 [map-54/003]</x:v>
      </x:c>
      <x:c r="C984" s="136" t="str">
        <x:v>spawn</x:v>
      </x:c>
      <x:c r="D984" s="136" t="str">
        <x:v>USA</x:v>
      </x:c>
      <x:c r="E984" s="136" t="str">
        <x:v>Spawnpoint_AF_Base_USA_9thNY2</x:v>
      </x:c>
      <x:c r="F984" s="137" t="n">
        <x:v>2189.915283203125</x:v>
      </x:c>
      <x:c r="G984" s="137" t="n">
        <x:v>1939.2159423828125</x:v>
      </x:c>
      <x:c r="H984" s="137" t="n">
        <x:v>62.99830627441406</x:v>
      </x:c>
      <x:c r="I984" s="137" t="n">
        <x:v>1361.0119228127553</x:v>
      </x:c>
      <x:c r="J984" s="137" t="n">
        <x:v>646.3837241074376</x:v>
      </x:c>
      <x:c r="K984" s="136" t="str">
        <x:v>map-54</x:v>
      </x:c>
      <x:c r="L984" s="136" t="str">
        <x:v>DrillCamp | Skirmish | Alexander Farm||Spawn | USA Spawnpoint_AF_Base_USA_9thNY2 [map-54/003]</x:v>
      </x:c>
      <x:c r="M984" s="35"/>
      <x:c r="N984" s="35"/>
      <x:c r="O984" s="35"/>
      <x:c r="P984" s="35"/>
      <x:c r="Q984" s="35"/>
      <x:c r="R984" s="35"/>
      <x:c r="S984" s="35"/>
      <x:c r="T984" s="35"/>
      <x:c r="U984" s="35"/>
      <x:c r="V984" s="35"/>
      <x:c r="W984" s="35"/>
      <x:c r="X984" s="35"/>
      <x:c r="Y984" s="35"/>
      <x:c r="Z984" s="35"/>
      <x:c r="AA984" s="35"/>
    </x:row>
    <x:row r="985">
      <x:c r="A985" s="136" t="str">
        <x:v>DrillCamp | Skirmish | Alexander Farm</x:v>
      </x:c>
      <x:c r="B985" s="136" t="str">
        <x:v>Spawn | CSA Spawnpoint_AF_Base_CSA_1stLA2 [map-54/004]</x:v>
      </x:c>
      <x:c r="C985" s="136" t="str">
        <x:v>spawn</x:v>
      </x:c>
      <x:c r="D985" s="136" t="str">
        <x:v>CSA</x:v>
      </x:c>
      <x:c r="E985" s="136" t="str">
        <x:v>Spawnpoint_AF_Base_CSA_1stLA2</x:v>
      </x:c>
      <x:c r="F985" s="137" t="n">
        <x:v>1569.3734130859375</x:v>
      </x:c>
      <x:c r="G985" s="137" t="n">
        <x:v>1562.3319091796875</x:v>
      </x:c>
      <x:c r="H985" s="137" t="n">
        <x:v>53.05207061767578</x:v>
      </x:c>
      <x:c r="I985" s="137" t="n">
        <x:v>157.4372016481407</x:v>
      </x:c>
      <x:c r="J985" s="137" t="n">
        <x:v>1379.0443100600246</x:v>
      </x:c>
      <x:c r="K985" s="136" t="str">
        <x:v>map-54</x:v>
      </x:c>
      <x:c r="L985" s="136" t="str">
        <x:v>DrillCamp | Skirmish | Alexander Farm||Spawn | CSA Spawnpoint_AF_Base_CSA_1stLA2 [map-54/004]</x:v>
      </x:c>
      <x:c r="M985" s="35"/>
      <x:c r="N985" s="35"/>
      <x:c r="O985" s="35"/>
      <x:c r="P985" s="35"/>
      <x:c r="Q985" s="35"/>
      <x:c r="R985" s="35"/>
      <x:c r="S985" s="35"/>
      <x:c r="T985" s="35"/>
      <x:c r="U985" s="35"/>
      <x:c r="V985" s="35"/>
      <x:c r="W985" s="35"/>
      <x:c r="X985" s="35"/>
      <x:c r="Y985" s="35"/>
      <x:c r="Z985" s="35"/>
      <x:c r="AA985" s="35"/>
    </x:row>
    <x:row r="986">
      <x:c r="A986" s="136" t="str">
        <x:v>DrillCamp | Skirmish | Alexander Farm</x:v>
      </x:c>
      <x:c r="B986" s="136" t="str">
        <x:v>Spawn | CSA Spawnpoint_AF_Defend_CSA_1stTX1 [map-54/005]</x:v>
      </x:c>
      <x:c r="C986" s="136" t="str">
        <x:v>spawn</x:v>
      </x:c>
      <x:c r="D986" s="136" t="str">
        <x:v>CSA</x:v>
      </x:c>
      <x:c r="E986" s="136" t="str">
        <x:v>Spawnpoint_AF_Defend_CSA_1stTX1</x:v>
      </x:c>
      <x:c r="F986" s="137" t="n">
        <x:v>1748.2783203125</x:v>
      </x:c>
      <x:c r="G986" s="137" t="n">
        <x:v>1617.7435302734375</x:v>
      </x:c>
      <x:c r="H986" s="137" t="n">
        <x:v>57.74934768676758</x:v>
      </x:c>
      <x:c r="I986" s="137" t="n">
        <x:v>503.4688037881578</x:v>
      </x:c>
      <x:c r="J986" s="137" t="n">
        <x:v>1270.2131162122594</x:v>
      </x:c>
      <x:c r="K986" s="136" t="str">
        <x:v>map-54</x:v>
      </x:c>
      <x:c r="L986" s="136" t="str">
        <x:v>DrillCamp | Skirmish | Alexander Farm||Spawn | CSA Spawnpoint_AF_Defend_CSA_1stTX1 [map-54/005]</x:v>
      </x:c>
      <x:c r="M986" s="35"/>
      <x:c r="N986" s="35"/>
      <x:c r="O986" s="35"/>
      <x:c r="P986" s="35"/>
      <x:c r="Q986" s="35"/>
      <x:c r="R986" s="35"/>
      <x:c r="S986" s="35"/>
      <x:c r="T986" s="35"/>
      <x:c r="U986" s="35"/>
      <x:c r="V986" s="35"/>
      <x:c r="W986" s="35"/>
      <x:c r="X986" s="35"/>
      <x:c r="Y986" s="35"/>
      <x:c r="Z986" s="35"/>
      <x:c r="AA986" s="35"/>
    </x:row>
    <x:row r="987">
      <x:c r="A987" s="136" t="str">
        <x:v>DrillCamp | Skirmish | Alexander Farm</x:v>
      </x:c>
      <x:c r="B987" s="136" t="str">
        <x:v>Spawn | CSA Spawnpoint_AF_Base_CSA_1stVA [map-54/006]</x:v>
      </x:c>
      <x:c r="C987" s="136" t="str">
        <x:v>spawn</x:v>
      </x:c>
      <x:c r="D987" s="136" t="str">
        <x:v>CSA</x:v>
      </x:c>
      <x:c r="E987" s="136" t="str">
        <x:v>Spawnpoint_AF_Base_CSA_1stVA</x:v>
      </x:c>
      <x:c r="F987" s="137" t="n">
        <x:v>1552.540283203125</x:v>
      </x:c>
      <x:c r="G987" s="137" t="n">
        <x:v>1580.70166015625</x:v>
      </x:c>
      <x:c r="H987" s="137" t="n">
        <x:v>54.018123626708984</x:v>
      </x:c>
      <x:c r="I987" s="137" t="n">
        <x:v>125.30621226457471</x:v>
      </x:c>
      <x:c r="J987" s="137" t="n">
        <x:v>1343.9303822892805</x:v>
      </x:c>
      <x:c r="K987" s="136" t="str">
        <x:v>map-54</x:v>
      </x:c>
      <x:c r="L987" s="136" t="str">
        <x:v>DrillCamp | Skirmish | Alexander Farm||Spawn | CSA Spawnpoint_AF_Base_CSA_1stVA [map-54/006]</x:v>
      </x:c>
      <x:c r="M987" s="35"/>
      <x:c r="N987" s="35"/>
      <x:c r="O987" s="35"/>
      <x:c r="P987" s="35"/>
      <x:c r="Q987" s="35"/>
      <x:c r="R987" s="35"/>
      <x:c r="S987" s="35"/>
      <x:c r="T987" s="35"/>
      <x:c r="U987" s="35"/>
      <x:c r="V987" s="35"/>
      <x:c r="W987" s="35"/>
      <x:c r="X987" s="35"/>
      <x:c r="Y987" s="35"/>
      <x:c r="Z987" s="35"/>
      <x:c r="AA987" s="35"/>
    </x:row>
    <x:row r="988">
      <x:c r="A988" s="136" t="str">
        <x:v>DrillCamp | Skirmish | Alexander Farm</x:v>
      </x:c>
      <x:c r="B988" s="136" t="str">
        <x:v>Objective | Skirmish_1_VictorySequence [map-54/007]</x:v>
      </x:c>
      <x:c r="C988" s="136" t="str">
        <x:v>objective</x:v>
      </x:c>
      <x:c r="D988" s="136" t="str"/>
      <x:c r="E988" s="136" t="str">
        <x:v>Skirmish_1_VictorySequence</x:v>
      </x:c>
      <x:c r="F988" s="137" t="n">
        <x:v>1879.552978515625</x:v>
      </x:c>
      <x:c r="G988" s="137" t="n">
        <x:v>1640.6163330078125</x:v>
      </x:c>
      <x:c r="H988" s="137" t="n">
        <x:v>63.87765121459961</x:v>
      </x:c>
      <x:c r="I988" s="137" t="n">
        <x:v>757.0535611404931</x:v>
      </x:c>
      <x:c r="J988" s="137" t="n">
        <x:v>1224.5618547524703</x:v>
      </x:c>
      <x:c r="K988" s="136" t="str">
        <x:v>map-54</x:v>
      </x:c>
      <x:c r="L988" s="136" t="str">
        <x:v>DrillCamp | Skirmish | Alexander Farm||Objective | Skirmish_1_VictorySequence [map-54/007]</x:v>
      </x:c>
      <x:c r="M988" s="35"/>
      <x:c r="N988" s="35"/>
      <x:c r="O988" s="35"/>
      <x:c r="P988" s="35"/>
      <x:c r="Q988" s="35"/>
      <x:c r="R988" s="35"/>
      <x:c r="S988" s="35"/>
      <x:c r="T988" s="35"/>
      <x:c r="U988" s="35"/>
      <x:c r="V988" s="35"/>
      <x:c r="W988" s="35"/>
      <x:c r="X988" s="35"/>
      <x:c r="Y988" s="35"/>
      <x:c r="Z988" s="35"/>
      <x:c r="AA988" s="35"/>
    </x:row>
    <x:row r="989">
      <x:c r="A989" s="136" t="str">
        <x:v>DrillCamp | Skirmish | Alexander Farm</x:v>
      </x:c>
      <x:c r="B989" s="136" t="str">
        <x:v>Artillery | CSA Spawnpoint_AF_CSA_Arty_Richardson_Forward [map-54/008]</x:v>
      </x:c>
      <x:c r="C989" s="136" t="str">
        <x:v>battery</x:v>
      </x:c>
      <x:c r="D989" s="136" t="str">
        <x:v>CSA</x:v>
      </x:c>
      <x:c r="E989" s="136" t="str">
        <x:v>Spawnpoint_AF_CSA_Arty_Richardson_Forward</x:v>
      </x:c>
      <x:c r="F989" s="137" t="n">
        <x:v>1738.91650390625</x:v>
      </x:c>
      <x:c r="G989" s="137" t="n">
        <x:v>1632.4765625</x:v>
      </x:c>
      <x:c r="H989" s="137" t="n">
        <x:v>56.8814697265625</x:v>
      </x:c>
      <x:c r="I989" s="137" t="n">
        <x:v>485.68080729728484</x:v>
      </x:c>
      <x:c r="J989" s="137" t="n">
        <x:v>1241.9983424752616</x:v>
      </x:c>
      <x:c r="K989" s="136" t="str">
        <x:v>map-54</x:v>
      </x:c>
      <x:c r="L989" s="136" t="str">
        <x:v>DrillCamp | Skirmish | Alexander Farm||Artillery | CSA Spawnpoint_AF_CSA_Arty_Richardson_Forward [map-54/008]</x:v>
      </x:c>
      <x:c r="M989" s="35"/>
      <x:c r="N989" s="35"/>
      <x:c r="O989" s="35"/>
      <x:c r="P989" s="35"/>
      <x:c r="Q989" s="35"/>
      <x:c r="R989" s="35"/>
      <x:c r="S989" s="35"/>
      <x:c r="T989" s="35"/>
      <x:c r="U989" s="35"/>
      <x:c r="V989" s="35"/>
      <x:c r="W989" s="35"/>
      <x:c r="X989" s="35"/>
      <x:c r="Y989" s="35"/>
      <x:c r="Z989" s="35"/>
      <x:c r="AA989" s="35"/>
    </x:row>
    <x:row r="990">
      <x:c r="A990" s="136" t="str">
        <x:v>DrillCamp | Skirmish | Alexander Farm</x:v>
      </x:c>
      <x:c r="B990" s="136" t="str">
        <x:v>Spawn | CSA Spawnpoint_AF_Defend_CSA_1stTX2 [map-54/009]</x:v>
      </x:c>
      <x:c r="C990" s="136" t="str">
        <x:v>spawn</x:v>
      </x:c>
      <x:c r="D990" s="136" t="str">
        <x:v>CSA</x:v>
      </x:c>
      <x:c r="E990" s="136" t="str">
        <x:v>Spawnpoint_AF_Defend_CSA_1stTX2</x:v>
      </x:c>
      <x:c r="F990" s="137" t="n">
        <x:v>1744.8499755859375</x:v>
      </x:c>
      <x:c r="G990" s="137" t="n">
        <x:v>1606.2589111328125</x:v>
      </x:c>
      <x:c r="H990" s="137" t="n">
        <x:v>58.17442321777344</x:v>
      </x:c>
      <x:c r="I990" s="137" t="n">
        <x:v>496.6490787593531</x:v>
      </x:c>
      <x:c r="J990" s="137" t="n">
        <x:v>1292.342917235756</x:v>
      </x:c>
      <x:c r="K990" s="136" t="str">
        <x:v>map-54</x:v>
      </x:c>
      <x:c r="L990" s="136" t="str">
        <x:v>DrillCamp | Skirmish | Alexander Farm||Spawn | CSA Spawnpoint_AF_Defend_CSA_1stTX2 [map-54/009]</x:v>
      </x:c>
      <x:c r="M990" s="35"/>
      <x:c r="N990" s="35"/>
      <x:c r="O990" s="35"/>
      <x:c r="P990" s="35"/>
      <x:c r="Q990" s="35"/>
      <x:c r="R990" s="35"/>
      <x:c r="S990" s="35"/>
      <x:c r="T990" s="35"/>
      <x:c r="U990" s="35"/>
      <x:c r="V990" s="35"/>
      <x:c r="W990" s="35"/>
      <x:c r="X990" s="35"/>
      <x:c r="Y990" s="35"/>
      <x:c r="Z990" s="35"/>
      <x:c r="AA990" s="35"/>
    </x:row>
    <x:row r="991">
      <x:c r="A991" s="136" t="str">
        <x:v>DrillCamp | Skirmish | Alexander Farm</x:v>
      </x:c>
      <x:c r="B991" s="136" t="str">
        <x:v>Spawn | CSA Spawnpoint_AF_Base_CSA_1stLA1 [map-54/010]</x:v>
      </x:c>
      <x:c r="C991" s="136" t="str">
        <x:v>spawn</x:v>
      </x:c>
      <x:c r="D991" s="136" t="str">
        <x:v>CSA</x:v>
      </x:c>
      <x:c r="E991" s="136" t="str">
        <x:v>Spawnpoint_AF_Base_CSA_1stLA1</x:v>
      </x:c>
      <x:c r="F991" s="137" t="n">
        <x:v>1553.635986328125</x:v>
      </x:c>
      <x:c r="G991" s="137" t="n">
        <x:v>1554.8646240234375</x:v>
      </x:c>
      <x:c r="H991" s="137" t="n">
        <x:v>53.33856964111328</x:v>
      </x:c>
      <x:c r="I991" s="137" t="n">
        <x:v>126.95146722684768</x:v>
      </x:c>
      <x:c r="J991" s="137" t="n">
        <x:v>1393.6043102140268</x:v>
      </x:c>
      <x:c r="K991" s="136" t="str">
        <x:v>map-54</x:v>
      </x:c>
      <x:c r="L991" s="136" t="str">
        <x:v>DrillCamp | Skirmish | Alexander Farm||Spawn | CSA Spawnpoint_AF_Base_CSA_1stLA1 [map-54/010]</x:v>
      </x:c>
      <x:c r="M991" s="35"/>
      <x:c r="N991" s="35"/>
      <x:c r="O991" s="35"/>
      <x:c r="P991" s="35"/>
      <x:c r="Q991" s="35"/>
      <x:c r="R991" s="35"/>
      <x:c r="S991" s="35"/>
      <x:c r="T991" s="35"/>
      <x:c r="U991" s="35"/>
      <x:c r="V991" s="35"/>
      <x:c r="W991" s="35"/>
      <x:c r="X991" s="35"/>
      <x:c r="Y991" s="35"/>
      <x:c r="Z991" s="35"/>
      <x:c r="AA991" s="35"/>
    </x:row>
    <x:row r="992">
      <x:c r="A992" s="136" t="str">
        <x:v>DrillCamp | Skirmish | Alexander Farm</x:v>
      </x:c>
      <x:c r="B992" s="136" t="str">
        <x:v>Artillery | CSA Spawnpoint_AF_CSA_Arty_Base [map-54/011]</x:v>
      </x:c>
      <x:c r="C992" s="136" t="str">
        <x:v>battery</x:v>
      </x:c>
      <x:c r="D992" s="136" t="str">
        <x:v>CSA</x:v>
      </x:c>
      <x:c r="E992" s="136" t="str">
        <x:v>Spawnpoint_AF_CSA_Arty_Base</x:v>
      </x:c>
      <x:c r="F992" s="137" t="n">
        <x:v>1537.7718505859375</x:v>
      </x:c>
      <x:c r="G992" s="137" t="n">
        <x:v>1580.0718994140625</x:v>
      </x:c>
      <x:c r="H992" s="137" t="n">
        <x:v>56.237548828125</x:v>
      </x:c>
      <x:c r="I992" s="137" t="n">
        <x:v>96.81305493137583</x:v>
      </x:c>
      <x:c r="J992" s="137" t="n">
        <x:v>1345.3286941358879</x:v>
      </x:c>
      <x:c r="K992" s="136" t="str">
        <x:v>map-54</x:v>
      </x:c>
      <x:c r="L992" s="136" t="str">
        <x:v>DrillCamp | Skirmish | Alexander Farm||Artillery | CSA Spawnpoint_AF_CSA_Arty_Base [map-54/011]</x:v>
      </x:c>
      <x:c r="M992" s="35"/>
      <x:c r="N992" s="35"/>
      <x:c r="O992" s="35"/>
      <x:c r="P992" s="35"/>
      <x:c r="Q992" s="35"/>
      <x:c r="R992" s="35"/>
      <x:c r="S992" s="35"/>
      <x:c r="T992" s="35"/>
      <x:c r="U992" s="35"/>
      <x:c r="V992" s="35"/>
      <x:c r="W992" s="35"/>
      <x:c r="X992" s="35"/>
      <x:c r="Y992" s="35"/>
      <x:c r="Z992" s="35"/>
      <x:c r="AA992" s="35"/>
    </x:row>
    <x:row r="993">
      <x:c r="A993" s="136" t="str">
        <x:v>DrillCamp | Skirmish | Alexander Farm</x:v>
      </x:c>
      <x:c r="B993" s="136" t="str">
        <x:v>Spawn | USA Spawnpoint_AF_Base_USA_9thNY1 [map-54/012]</x:v>
      </x:c>
      <x:c r="C993" s="136" t="str">
        <x:v>spawn</x:v>
      </x:c>
      <x:c r="D993" s="136" t="str">
        <x:v>USA</x:v>
      </x:c>
      <x:c r="E993" s="136" t="str">
        <x:v>Spawnpoint_AF_Base_USA_9thNY1</x:v>
      </x:c>
      <x:c r="F993" s="137" t="n">
        <x:v>2172.459228515625</x:v>
      </x:c>
      <x:c r="G993" s="137" t="n">
        <x:v>1931.6771240234375</x:v>
      </x:c>
      <x:c r="H993" s="137" t="n">
        <x:v>65.03941345214844</x:v>
      </x:c>
      <x:c r="I993" s="137" t="n">
        <x:v>1327.2104223641688</x:v>
      </x:c>
      <x:c r="J993" s="137" t="n">
        <x:v>661.1030767158721</x:v>
      </x:c>
      <x:c r="K993" s="136" t="str">
        <x:v>map-54</x:v>
      </x:c>
      <x:c r="L993" s="136" t="str">
        <x:v>DrillCamp | Skirmish | Alexander Farm||Spawn | USA Spawnpoint_AF_Base_USA_9thNY1 [map-54/012]</x:v>
      </x:c>
      <x:c r="M993" s="35"/>
      <x:c r="N993" s="35"/>
      <x:c r="O993" s="35"/>
      <x:c r="P993" s="35"/>
      <x:c r="Q993" s="35"/>
      <x:c r="R993" s="35"/>
      <x:c r="S993" s="35"/>
      <x:c r="T993" s="35"/>
      <x:c r="U993" s="35"/>
      <x:c r="V993" s="35"/>
      <x:c r="W993" s="35"/>
      <x:c r="X993" s="35"/>
      <x:c r="Y993" s="35"/>
      <x:c r="Z993" s="35"/>
      <x:c r="AA993" s="35"/>
    </x:row>
    <x:row r="994">
      <x:c r="A994" s="136" t="str">
        <x:v>DrillCamp | Skirmish | Alexander Farm</x:v>
      </x:c>
      <x:c r="B994" s="136" t="str">
        <x:v>Spawn | CSA Spawnpoint_AF_Mounted_CSA_1stVA [map-54/013]</x:v>
      </x:c>
      <x:c r="C994" s="136" t="str">
        <x:v>spawn</x:v>
      </x:c>
      <x:c r="D994" s="136" t="str">
        <x:v>CSA</x:v>
      </x:c>
      <x:c r="E994" s="136" t="str">
        <x:v>Spawnpoint_AF_Mounted_CSA_1stVA</x:v>
      </x:c>
      <x:c r="F994" s="137" t="n">
        <x:v>1596.6114501953125</x:v>
      </x:c>
      <x:c r="G994" s="137" t="n">
        <x:v>1346.2298583984375</x:v>
      </x:c>
      <x:c r="H994" s="137" t="n">
        <x:v>58.87200164794922</x:v>
      </x:c>
      <x:c r="I994" s="137" t="n">
        <x:v>206.0540032131418</x:v>
      </x:c>
      <x:c r="J994" s="137" t="n">
        <x:v>1794.290021399704</x:v>
      </x:c>
      <x:c r="K994" s="136" t="str">
        <x:v>map-54</x:v>
      </x:c>
      <x:c r="L994" s="136" t="str">
        <x:v>DrillCamp | Skirmish | Alexander Farm||Spawn | CSA Spawnpoint_AF_Mounted_CSA_1stVA [map-54/013]</x:v>
      </x:c>
      <x:c r="M994" s="35"/>
      <x:c r="N994" s="35"/>
      <x:c r="O994" s="35"/>
      <x:c r="P994" s="35"/>
      <x:c r="Q994" s="35"/>
      <x:c r="R994" s="35"/>
      <x:c r="S994" s="35"/>
      <x:c r="T994" s="35"/>
      <x:c r="U994" s="35"/>
      <x:c r="V994" s="35"/>
      <x:c r="W994" s="35"/>
      <x:c r="X994" s="35"/>
      <x:c r="Y994" s="35"/>
      <x:c r="Z994" s="35"/>
      <x:c r="AA994" s="35"/>
    </x:row>
    <x:row r="995">
      <x:c r="A995" s="136" t="str">
        <x:v>DrillCamp | Skirmish | Alexander Farm</x:v>
      </x:c>
      <x:c r="B995" s="136" t="str">
        <x:v>Spawn | USA Spawnpoint_AF_Base_USA_6thPA [map-54/014]</x:v>
      </x:c>
      <x:c r="C995" s="136" t="str">
        <x:v>spawn</x:v>
      </x:c>
      <x:c r="D995" s="136" t="str">
        <x:v>USA</x:v>
      </x:c>
      <x:c r="E995" s="136" t="str">
        <x:v>Spawnpoint_AF_Base_USA_6thPA</x:v>
      </x:c>
      <x:c r="F995" s="137" t="n">
        <x:v>2180.193359375</x:v>
      </x:c>
      <x:c r="G995" s="137" t="n">
        <x:v>1915.2259521484375</x:v>
      </x:c>
      <x:c r="H995" s="137" t="n">
        <x:v>66.5758056640625</x:v>
      </x:c>
      <x:c r="I995" s="137" t="n">
        <x:v>1341.8282227447019</x:v>
      </x:c>
      <x:c r="J995" s="137" t="n">
        <x:v>692.6426780360601</x:v>
      </x:c>
      <x:c r="K995" s="136" t="str">
        <x:v>map-54</x:v>
      </x:c>
      <x:c r="L995" s="136" t="str">
        <x:v>DrillCamp | Skirmish | Alexander Farm||Spawn | USA Spawnpoint_AF_Base_USA_6thPA [map-54/014]</x:v>
      </x:c>
      <x:c r="M995" s="35"/>
      <x:c r="N995" s="35"/>
      <x:c r="O995" s="35"/>
      <x:c r="P995" s="35"/>
      <x:c r="Q995" s="35"/>
      <x:c r="R995" s="35"/>
      <x:c r="S995" s="35"/>
      <x:c r="T995" s="35"/>
      <x:c r="U995" s="35"/>
      <x:c r="V995" s="35"/>
      <x:c r="W995" s="35"/>
      <x:c r="X995" s="35"/>
      <x:c r="Y995" s="35"/>
      <x:c r="Z995" s="35"/>
      <x:c r="AA995" s="35"/>
    </x:row>
    <x:row r="996">
      <x:c r="A996" s="136" t="str">
        <x:v>DrillCamp | Skirmish | Alexander Farm</x:v>
      </x:c>
      <x:c r="B996" s="136" t="str">
        <x:v>Spawn | USA Spawnpoint_AF_Base_USA_6thWI1 [map-54/015]</x:v>
      </x:c>
      <x:c r="C996" s="136" t="str">
        <x:v>spawn</x:v>
      </x:c>
      <x:c r="D996" s="136" t="str">
        <x:v>USA</x:v>
      </x:c>
      <x:c r="E996" s="136" t="str">
        <x:v>Spawnpoint_AF_Base_USA_6thWI1</x:v>
      </x:c>
      <x:c r="F996" s="137" t="n">
        <x:v>2176.51806640625</x:v>
      </x:c>
      <x:c r="G996" s="137" t="n">
        <x:v>1923.3310546875</x:v>
      </x:c>
      <x:c r="H996" s="137" t="n">
        <x:v>65.6716079711914</x:v>
      </x:c>
      <x:c r="I996" s="137" t="n">
        <x:v>1334.8869847616309</x:v>
      </x:c>
      <x:c r="J996" s="137" t="n">
        <x:v>677.1021509576364</x:v>
      </x:c>
      <x:c r="K996" s="136" t="str">
        <x:v>map-54</x:v>
      </x:c>
      <x:c r="L996" s="136" t="str">
        <x:v>DrillCamp | Skirmish | Alexander Farm||Spawn | USA Spawnpoint_AF_Base_USA_6thWI1 [map-54/015]</x:v>
      </x:c>
      <x:c r="M996" s="35"/>
      <x:c r="N996" s="35"/>
      <x:c r="O996" s="35"/>
      <x:c r="P996" s="35"/>
      <x:c r="Q996" s="35"/>
      <x:c r="R996" s="35"/>
      <x:c r="S996" s="35"/>
      <x:c r="T996" s="35"/>
      <x:c r="U996" s="35"/>
      <x:c r="V996" s="35"/>
      <x:c r="W996" s="35"/>
      <x:c r="X996" s="35"/>
      <x:c r="Y996" s="35"/>
      <x:c r="Z996" s="35"/>
      <x:c r="AA996" s="35"/>
    </x:row>
    <x:row r="997">
      <x:c r="A997" s="136" t="str">
        <x:v>DrillCamp | Skirmish | Alexander Farm</x:v>
      </x:c>
      <x:c r="B997" s="136" t="str">
        <x:v>Spawn | CSA Spawnpoint_AF_Defend_CSA_1stLA2 [map-54/016]</x:v>
      </x:c>
      <x:c r="C997" s="136" t="str">
        <x:v>spawn</x:v>
      </x:c>
      <x:c r="D997" s="136" t="str">
        <x:v>CSA</x:v>
      </x:c>
      <x:c r="E997" s="136" t="str">
        <x:v>Spawnpoint_AF_Defend_CSA_1stLA2</x:v>
      </x:c>
      <x:c r="F997" s="137" t="n">
        <x:v>1776.77490234375</x:v>
      </x:c>
      <x:c r="G997" s="137" t="n">
        <x:v>1585.62744140625</x:v>
      </x:c>
      <x:c r="H997" s="137" t="n">
        <x:v>58.474021911621094</x:v>
      </x:c>
      <x:c r="I997" s="137" t="n">
        <x:v>557.8444912639541</x:v>
      </x:c>
      <x:c r="J997" s="137" t="n">
        <x:v>1331.615107002181</x:v>
      </x:c>
      <x:c r="K997" s="136" t="str">
        <x:v>map-54</x:v>
      </x:c>
      <x:c r="L997" s="136" t="str">
        <x:v>DrillCamp | Skirmish | Alexander Farm||Spawn | CSA Spawnpoint_AF_Defend_CSA_1stLA2 [map-54/016]</x:v>
      </x:c>
      <x:c r="M997" s="35"/>
      <x:c r="N997" s="35"/>
      <x:c r="O997" s="35"/>
      <x:c r="P997" s="35"/>
      <x:c r="Q997" s="35"/>
      <x:c r="R997" s="35"/>
      <x:c r="S997" s="35"/>
      <x:c r="T997" s="35"/>
      <x:c r="U997" s="35"/>
      <x:c r="V997" s="35"/>
      <x:c r="W997" s="35"/>
      <x:c r="X997" s="35"/>
      <x:c r="Y997" s="35"/>
      <x:c r="Z997" s="35"/>
      <x:c r="AA997" s="35"/>
    </x:row>
    <x:row r="998">
      <x:c r="A998" s="136" t="str">
        <x:v>DrillCamp | Skirmish | Alexander Farm</x:v>
      </x:c>
      <x:c r="B998" s="136" t="str">
        <x:v>Spawn | CSA Spawnpoint_AF_Base_CSA_1stTX1 [map-54/017]</x:v>
      </x:c>
      <x:c r="C998" s="136" t="str">
        <x:v>spawn</x:v>
      </x:c>
      <x:c r="D998" s="136" t="str">
        <x:v>CSA</x:v>
      </x:c>
      <x:c r="E998" s="136" t="str">
        <x:v>Spawnpoint_AF_Base_CSA_1stTX1</x:v>
      </x:c>
      <x:c r="F998" s="137" t="n">
        <x:v>1550.9766845703125</x:v>
      </x:c>
      <x:c r="G998" s="137" t="n">
        <x:v>1568.8275146484375</x:v>
      </x:c>
      <x:c r="H998" s="137" t="n">
        <x:v>54.014671325683594</x:v>
      </x:c>
      <x:c r="I998" s="137" t="n">
        <x:v>122.07570126357959</x:v>
      </x:c>
      <x:c r="J998" s="137" t="n">
        <x:v>1366.785653266147</x:v>
      </x:c>
      <x:c r="K998" s="136" t="str">
        <x:v>map-54</x:v>
      </x:c>
      <x:c r="L998" s="136" t="str">
        <x:v>DrillCamp | Skirmish | Alexander Farm||Spawn | CSA Spawnpoint_AF_Base_CSA_1stTX1 [map-54/017]</x:v>
      </x:c>
      <x:c r="M998" s="35"/>
      <x:c r="N998" s="35"/>
      <x:c r="O998" s="35"/>
      <x:c r="P998" s="35"/>
      <x:c r="Q998" s="35"/>
      <x:c r="R998" s="35"/>
      <x:c r="S998" s="35"/>
      <x:c r="T998" s="35"/>
      <x:c r="U998" s="35"/>
      <x:c r="V998" s="35"/>
      <x:c r="W998" s="35"/>
      <x:c r="X998" s="35"/>
      <x:c r="Y998" s="35"/>
      <x:c r="Z998" s="35"/>
      <x:c r="AA998" s="35"/>
    </x:row>
    <x:row r="999">
      <x:c r="A999" s="136" t="str">
        <x:v>DrillCamp | Skirmish | Alexander Farm</x:v>
      </x:c>
      <x:c r="B999" s="136" t="str">
        <x:v>Artillery | CSA Spawnpoint_AF_CSA_Arty_Pelham_Forward [map-54/018]</x:v>
      </x:c>
      <x:c r="C999" s="136" t="str">
        <x:v>battery</x:v>
      </x:c>
      <x:c r="D999" s="136" t="str">
        <x:v>CSA</x:v>
      </x:c>
      <x:c r="E999" s="136" t="str">
        <x:v>Spawnpoint_AF_CSA_Arty_Pelham_Forward</x:v>
      </x:c>
      <x:c r="F999" s="137" t="n">
        <x:v>1795.9959716796875</x:v>
      </x:c>
      <x:c r="G999" s="137" t="n">
        <x:v>1569.8709716796875</x:v>
      </x:c>
      <x:c r="H999" s="137" t="n">
        <x:v>56.95275115966797</x:v>
      </x:c>
      <x:c r="I999" s="137" t="n">
        <x:v>594.6280788733301</x:v>
      </x:c>
      <x:c r="J999" s="137" t="n">
        <x:v>1361.6731021977596</x:v>
      </x:c>
      <x:c r="K999" s="136" t="str">
        <x:v>map-54</x:v>
      </x:c>
      <x:c r="L999" s="136" t="str">
        <x:v>DrillCamp | Skirmish | Alexander Farm||Artillery | CSA Spawnpoint_AF_CSA_Arty_Pelham_Forward [map-54/018]</x:v>
      </x:c>
      <x:c r="M999" s="35"/>
      <x:c r="N999" s="35"/>
      <x:c r="O999" s="35"/>
      <x:c r="P999" s="35"/>
      <x:c r="Q999" s="35"/>
      <x:c r="R999" s="35"/>
      <x:c r="S999" s="35"/>
      <x:c r="T999" s="35"/>
      <x:c r="U999" s="35"/>
      <x:c r="V999" s="35"/>
      <x:c r="W999" s="35"/>
      <x:c r="X999" s="35"/>
      <x:c r="Y999" s="35"/>
      <x:c r="Z999" s="35"/>
      <x:c r="AA999" s="35"/>
    </x:row>
    <x:row r="1000">
      <x:c r="A1000" s="136" t="str">
        <x:v>DrillCamp | Skirmish | Alexander Farm</x:v>
      </x:c>
      <x:c r="B1000" s="136" t="str">
        <x:v>Spawn | CSA Spawnpoint_AF_Base_CSA_1stTX2 [map-54/019]</x:v>
      </x:c>
      <x:c r="C1000" s="136" t="str">
        <x:v>spawn</x:v>
      </x:c>
      <x:c r="D1000" s="136" t="str">
        <x:v>CSA</x:v>
      </x:c>
      <x:c r="E1000" s="136" t="str">
        <x:v>Spawnpoint_AF_Base_CSA_1stTX2</x:v>
      </x:c>
      <x:c r="F1000" s="137" t="n">
        <x:v>1534.5057373046875</x:v>
      </x:c>
      <x:c r="G1000" s="137" t="n">
        <x:v>1563.6905517578125</x:v>
      </x:c>
      <x:c r="H1000" s="137" t="n">
        <x:v>56.713706970214844</x:v>
      </x:c>
      <x:c r="I1000" s="137" t="n">
        <x:v>90.2175299273076</x:v>
      </x:c>
      <x:c r="J1000" s="137" t="n">
        <x:v>1376.8734534734992</x:v>
      </x:c>
      <x:c r="K1000" s="136" t="str">
        <x:v>map-54</x:v>
      </x:c>
      <x:c r="L1000" s="136" t="str">
        <x:v>DrillCamp | Skirmish | Alexander Farm||Spawn | CSA Spawnpoint_AF_Base_CSA_1stTX2 [map-54/019]</x:v>
      </x:c>
      <x:c r="M1000" s="35"/>
      <x:c r="N1000" s="35"/>
      <x:c r="O1000" s="35"/>
      <x:c r="P1000" s="35"/>
      <x:c r="Q1000" s="35"/>
      <x:c r="R1000" s="35"/>
      <x:c r="S1000" s="35"/>
      <x:c r="T1000" s="35"/>
      <x:c r="U1000" s="35"/>
      <x:c r="V1000" s="35"/>
      <x:c r="W1000" s="35"/>
      <x:c r="X1000" s="35"/>
      <x:c r="Y1000" s="35"/>
      <x:c r="Z1000" s="35"/>
      <x:c r="AA1000" s="35"/>
    </x:row>
    <x:row r="1001">
      <x:c r="A1001" s="136" t="str">
        <x:v>DrillCamp | Skirmish | Alexander Farm</x:v>
      </x:c>
      <x:c r="B1001" s="136" t="str">
        <x:v>Artillery | USA Spawnpoint_AF_USA_Arty_Crome_Forward [map-54/020]</x:v>
      </x:c>
      <x:c r="C1001" s="136" t="str">
        <x:v>battery</x:v>
      </x:c>
      <x:c r="D1001" s="136" t="str">
        <x:v>USA</x:v>
      </x:c>
      <x:c r="E1001" s="136" t="str">
        <x:v>Spawnpoint_AF_USA_Arty_Crome_Forward</x:v>
      </x:c>
      <x:c r="F1001" s="137" t="n">
        <x:v>2055.64794921875</x:v>
      </x:c>
      <x:c r="G1001" s="137" t="n">
        <x:v>1919.3221435546875</x:v>
      </x:c>
      <x:c r="H1001" s="137" t="n">
        <x:v>66.15898895263672</x:v>
      </x:c>
      <x:c r="I1001" s="137" t="n">
        <x:v>1101.7095671368972</x:v>
      </x:c>
      <x:c r="J1001" s="137" t="n">
        <x:v>686.3439275280512</x:v>
      </x:c>
      <x:c r="K1001" s="136" t="str">
        <x:v>map-54</x:v>
      </x:c>
      <x:c r="L1001" s="136" t="str">
        <x:v>DrillCamp | Skirmish | Alexander Farm||Artillery | USA Spawnpoint_AF_USA_Arty_Crome_Forward [map-54/020]</x:v>
      </x:c>
      <x:c r="M1001" s="35"/>
      <x:c r="N1001" s="35"/>
      <x:c r="O1001" s="35"/>
      <x:c r="P1001" s="35"/>
      <x:c r="Q1001" s="35"/>
      <x:c r="R1001" s="35"/>
      <x:c r="S1001" s="35"/>
      <x:c r="T1001" s="35"/>
      <x:c r="U1001" s="35"/>
      <x:c r="V1001" s="35"/>
      <x:c r="W1001" s="35"/>
      <x:c r="X1001" s="35"/>
      <x:c r="Y1001" s="35"/>
      <x:c r="Z1001" s="35"/>
      <x:c r="AA1001" s="35"/>
    </x:row>
    <x:row r="1002">
      <x:c r="A1002" s="136" t="str">
        <x:v>DrillCamp | Skirmish | Alexander Farm</x:v>
      </x:c>
      <x:c r="B1002" s="136" t="str">
        <x:v>Artillery | USA Spawnpoint_AF_USA_Arty_Clark_Forward [map-54/021]</x:v>
      </x:c>
      <x:c r="C1002" s="136" t="str">
        <x:v>battery</x:v>
      </x:c>
      <x:c r="D1002" s="136" t="str">
        <x:v>USA</x:v>
      </x:c>
      <x:c r="E1002" s="136" t="str">
        <x:v>Spawnpoint_AF_USA_Arty_Clark_Forward</x:v>
      </x:c>
      <x:c r="F1002" s="137" t="n">
        <x:v>2106.595458984375</x:v>
      </x:c>
      <x:c r="G1002" s="137" t="n">
        <x:v>1736.7938232421875</x:v>
      </x:c>
      <x:c r="H1002" s="137" t="n">
        <x:v>77.60188293457031</x:v>
      </x:c>
      <x:c r="I1002" s="137" t="n">
        <x:v>1196.6593909832338</x:v>
      </x:c>
      <x:c r="J1002" s="137" t="n">
        <x:v>1036.7226612030327</x:v>
      </x:c>
      <x:c r="K1002" s="136" t="str">
        <x:v>map-54</x:v>
      </x:c>
      <x:c r="L1002" s="136" t="str">
        <x:v>DrillCamp | Skirmish | Alexander Farm||Artillery | USA Spawnpoint_AF_USA_Arty_Clark_Forward [map-54/021]</x:v>
      </x:c>
      <x:c r="M1002" s="35"/>
      <x:c r="N1002" s="35"/>
      <x:c r="O1002" s="35"/>
      <x:c r="P1002" s="35"/>
      <x:c r="Q1002" s="35"/>
      <x:c r="R1002" s="35"/>
      <x:c r="S1002" s="35"/>
      <x:c r="T1002" s="35"/>
      <x:c r="U1002" s="35"/>
      <x:c r="V1002" s="35"/>
      <x:c r="W1002" s="35"/>
      <x:c r="X1002" s="35"/>
      <x:c r="Y1002" s="35"/>
      <x:c r="Z1002" s="35"/>
      <x:c r="AA1002" s="35"/>
    </x:row>
    <x:row r="1003">
      <x:c r="A1003" s="136" t="str">
        <x:v>DrillCamp | Skirmish | Alexander Farm</x:v>
      </x:c>
      <x:c r="B1003" s="136" t="str">
        <x:v>Spawn | USA Spawnpoint_AF_Mounted_USA_6thPA [map-54/022]</x:v>
      </x:c>
      <x:c r="C1003" s="136" t="str">
        <x:v>spawn</x:v>
      </x:c>
      <x:c r="D1003" s="136" t="str">
        <x:v>USA</x:v>
      </x:c>
      <x:c r="E1003" s="136" t="str">
        <x:v>Spawnpoint_AF_Mounted_USA_6thPA</x:v>
      </x:c>
      <x:c r="F1003" s="137" t="n">
        <x:v>2240.99267578125</x:v>
      </x:c>
      <x:c r="G1003" s="137" t="n">
        <x:v>2128.97265625</x:v>
      </x:c>
      <x:c r="H1003" s="137" t="n">
        <x:v>50.88148498535156</x:v>
      </x:c>
      <x:c r="I1003" s="137" t="n">
        <x:v>1462.9537593874713</x:v>
      </x:c>
      <x:c r="J1003" s="137" t="n">
        <x:v>280.8106319990896</x:v>
      </x:c>
      <x:c r="K1003" s="136" t="str">
        <x:v>map-54</x:v>
      </x:c>
      <x:c r="L1003" s="136" t="str">
        <x:v>DrillCamp | Skirmish | Alexander Farm||Spawn | USA Spawnpoint_AF_Mounted_USA_6thPA [map-54/022]</x:v>
      </x:c>
      <x:c r="M1003" s="35"/>
      <x:c r="N1003" s="35"/>
      <x:c r="O1003" s="35"/>
      <x:c r="P1003" s="35"/>
      <x:c r="Q1003" s="35"/>
      <x:c r="R1003" s="35"/>
      <x:c r="S1003" s="35"/>
      <x:c r="T1003" s="35"/>
      <x:c r="U1003" s="35"/>
      <x:c r="V1003" s="35"/>
      <x:c r="W1003" s="35"/>
      <x:c r="X1003" s="35"/>
      <x:c r="Y1003" s="35"/>
      <x:c r="Z1003" s="35"/>
      <x:c r="AA1003" s="35"/>
    </x:row>
    <x:row r="1004">
      <x:c r="A1004" s="136" t="str">
        <x:v>DrillCamp | Skirmish | Alexander Farm</x:v>
      </x:c>
      <x:c r="B1004" s="136" t="str">
        <x:v>Spawn | USA Spawnpoint_AF_Base_USA_6thWI2 [map-54/023]</x:v>
      </x:c>
      <x:c r="C1004" s="136" t="str">
        <x:v>spawn</x:v>
      </x:c>
      <x:c r="D1004" s="136" t="str">
        <x:v>USA</x:v>
      </x:c>
      <x:c r="E1004" s="136" t="str">
        <x:v>Spawnpoint_AF_Base_USA_6thWI2</x:v>
      </x:c>
      <x:c r="F1004" s="137" t="n">
        <x:v>2194.126953125</x:v>
      </x:c>
      <x:c r="G1004" s="137" t="n">
        <x:v>1930.935791015625</x:v>
      </x:c>
      <x:c r="H1004" s="137" t="n">
        <x:v>64.17593383789062</x:v>
      </x:c>
      <x:c r="I1004" s="137" t="n">
        <x:v>1368.9844240582217</x:v>
      </x:c>
      <x:c r="J1004" s="137" t="n">
        <x:v>662.2540926476494</x:v>
      </x:c>
      <x:c r="K1004" s="136" t="str">
        <x:v>map-54</x:v>
      </x:c>
      <x:c r="L1004" s="136" t="str">
        <x:v>DrillCamp | Skirmish | Alexander Farm||Spawn | USA Spawnpoint_AF_Base_USA_6thWI2 [map-54/023]</x:v>
      </x:c>
      <x:c r="M1004" s="35"/>
      <x:c r="N1004" s="35"/>
      <x:c r="O1004" s="35"/>
      <x:c r="P1004" s="35"/>
      <x:c r="Q1004" s="35"/>
      <x:c r="R1004" s="35"/>
      <x:c r="S1004" s="35"/>
      <x:c r="T1004" s="35"/>
      <x:c r="U1004" s="35"/>
      <x:c r="V1004" s="35"/>
      <x:c r="W1004" s="35"/>
      <x:c r="X1004" s="35"/>
      <x:c r="Y1004" s="35"/>
      <x:c r="Z1004" s="35"/>
      <x:c r="AA1004" s="35"/>
    </x:row>
    <x:row r="1005">
      <x:c r="A1005" s="136" t="str">
        <x:v>DrillCamp | Skirmish | Alexander Farm</x:v>
      </x:c>
      <x:c r="B1005" s="136" t="str">
        <x:v>Gun | 10-pounder Parrott · Entity-1075 [map-54/024]</x:v>
      </x:c>
      <x:c r="C1005" s="136" t="str">
        <x:v>gun_spawn</x:v>
      </x:c>
      <x:c r="D1005" s="136" t="str"/>
      <x:c r="E1005" s="136" t="str">
        <x:v>10-pounder Parrott · Entity-1075</x:v>
      </x:c>
      <x:c r="F1005" s="137" t="n">
        <x:v>2050.63037109375</x:v>
      </x:c>
      <x:c r="G1005" s="137" t="n">
        <x:v>1898.2772216796875</x:v>
      </x:c>
      <x:c r="H1005" s="137" t="n">
        <x:v>68.86515045166016</x:v>
      </x:c>
      <x:c r="I1005" s="137" t="n">
        <x:v>1091.6517932588788</x:v>
      </x:c>
      <x:c r="J1005" s="137" t="n">
        <x:v>726.8795185543892</x:v>
      </x:c>
      <x:c r="K1005" s="136" t="str">
        <x:v>map-54</x:v>
      </x:c>
      <x:c r="L1005" s="136" t="str">
        <x:v>DrillCamp | Skirmish | Alexander Farm||Gun | 10-pounder Parrott · Entity-1075 [map-54/024]</x:v>
      </x:c>
      <x:c r="M1005" s="35"/>
      <x:c r="N1005" s="35"/>
      <x:c r="O1005" s="35"/>
      <x:c r="P1005" s="35"/>
      <x:c r="Q1005" s="35"/>
      <x:c r="R1005" s="35"/>
      <x:c r="S1005" s="35"/>
      <x:c r="T1005" s="35"/>
      <x:c r="U1005" s="35"/>
      <x:c r="V1005" s="35"/>
      <x:c r="W1005" s="35"/>
      <x:c r="X1005" s="35"/>
      <x:c r="Y1005" s="35"/>
      <x:c r="Z1005" s="35"/>
      <x:c r="AA1005" s="35"/>
    </x:row>
    <x:row r="1006">
      <x:c r="A1006" s="136" t="str">
        <x:v>DrillCamp | Skirmish | Alexander Farm</x:v>
      </x:c>
      <x:c r="B1006" s="136" t="str">
        <x:v>Gun | 10-pounder Parrott · Entity-1076 [map-54/025]</x:v>
      </x:c>
      <x:c r="C1006" s="136" t="str">
        <x:v>gun_spawn</x:v>
      </x:c>
      <x:c r="D1006" s="136" t="str"/>
      <x:c r="E1006" s="136" t="str">
        <x:v>10-pounder Parrott · Entity-1076</x:v>
      </x:c>
      <x:c r="F1006" s="137" t="n">
        <x:v>2057.1904296875</x:v>
      </x:c>
      <x:c r="G1006" s="137" t="n">
        <x:v>1892.3851318359375</x:v>
      </x:c>
      <x:c r="H1006" s="137" t="n">
        <x:v>69.3150863647461</x:v>
      </x:c>
      <x:c r="I1006" s="137" t="n">
        <x:v>1104.1965384298771</x:v>
      </x:c>
      <x:c r="J1006" s="137" t="n">
        <x:v>738.127581261562</x:v>
      </x:c>
      <x:c r="K1006" s="136" t="str">
        <x:v>map-54</x:v>
      </x:c>
      <x:c r="L1006" s="136" t="str">
        <x:v>DrillCamp | Skirmish | Alexander Farm||Gun | 10-pounder Parrott · Entity-1076 [map-54/025]</x:v>
      </x:c>
      <x:c r="M1006" s="35"/>
      <x:c r="N1006" s="35"/>
      <x:c r="O1006" s="35"/>
      <x:c r="P1006" s="35"/>
      <x:c r="Q1006" s="35"/>
      <x:c r="R1006" s="35"/>
      <x:c r="S1006" s="35"/>
      <x:c r="T1006" s="35"/>
      <x:c r="U1006" s="35"/>
      <x:c r="V1006" s="35"/>
      <x:c r="W1006" s="35"/>
      <x:c r="X1006" s="35"/>
      <x:c r="Y1006" s="35"/>
      <x:c r="Z1006" s="35"/>
      <x:c r="AA1006" s="35"/>
    </x:row>
    <x:row r="1007">
      <x:c r="A1007" s="136" t="str">
        <x:v>DrillCamp | Skirmish | Alexander Farm</x:v>
      </x:c>
      <x:c r="B1007" s="136" t="str">
        <x:v>Gun | 3-inch Ordnance · Entity-1087 [map-54/026]</x:v>
      </x:c>
      <x:c r="C1007" s="136" t="str">
        <x:v>gun_spawn</x:v>
      </x:c>
      <x:c r="D1007" s="136" t="str"/>
      <x:c r="E1007" s="136" t="str">
        <x:v>3-inch Ordnance · Entity-1087</x:v>
      </x:c>
      <x:c r="F1007" s="137" t="n">
        <x:v>2073.571044921875</x:v>
      </x:c>
      <x:c r="G1007" s="137" t="n">
        <x:v>1713.78515625</x:v>
      </x:c>
      <x:c r="H1007" s="137" t="n">
        <x:v>77.70164489746094</x:v>
      </x:c>
      <x:c r="I1007" s="137" t="n">
        <x:v>1132.553297591838</x:v>
      </x:c>
      <x:c r="J1007" s="137" t="n">
        <x:v>1081.3897905076635</x:v>
      </x:c>
      <x:c r="K1007" s="136" t="str">
        <x:v>map-54</x:v>
      </x:c>
      <x:c r="L1007" s="136" t="str">
        <x:v>DrillCamp | Skirmish | Alexander Farm||Gun | 3-inch Ordnance · Entity-1087 [map-54/026]</x:v>
      </x:c>
      <x:c r="M1007" s="35"/>
      <x:c r="N1007" s="35"/>
      <x:c r="O1007" s="35"/>
      <x:c r="P1007" s="35"/>
      <x:c r="Q1007" s="35"/>
      <x:c r="R1007" s="35"/>
      <x:c r="S1007" s="35"/>
      <x:c r="T1007" s="35"/>
      <x:c r="U1007" s="35"/>
      <x:c r="V1007" s="35"/>
      <x:c r="W1007" s="35"/>
      <x:c r="X1007" s="35"/>
      <x:c r="Y1007" s="35"/>
      <x:c r="Z1007" s="35"/>
      <x:c r="AA1007" s="35"/>
    </x:row>
    <x:row r="1008">
      <x:c r="A1008" s="136" t="str">
        <x:v>DrillCamp | Skirmish | Alexander Farm</x:v>
      </x:c>
      <x:c r="B1008" s="136" t="str">
        <x:v>Gun | 12-pounder Napoleon (USA) · Entity-1080 [map-54/027]</x:v>
      </x:c>
      <x:c r="C1008" s="136" t="str">
        <x:v>gun_spawn</x:v>
      </x:c>
      <x:c r="D1008" s="136" t="str"/>
      <x:c r="E1008" s="136" t="str">
        <x:v>12-pounder Napoleon (USA) · Entity-1080</x:v>
      </x:c>
      <x:c r="F1008" s="137" t="n">
        <x:v>2024.5057373046875</x:v>
      </x:c>
      <x:c r="G1008" s="137" t="n">
        <x:v>1921.1751708984375</x:v>
      </x:c>
      <x:c r="H1008" s="137" t="n">
        <x:v>66.66043853759766</x:v>
      </x:c>
      <x:c r="I1008" s="137" t="n">
        <x:v>1041.6836146820935</x:v>
      </x:c>
      <x:c r="J1008" s="137" t="n">
        <x:v>683.1750840503935</x:v>
      </x:c>
      <x:c r="K1008" s="136" t="str">
        <x:v>map-54</x:v>
      </x:c>
      <x:c r="L1008" s="136" t="str">
        <x:v>DrillCamp | Skirmish | Alexander Farm||Gun | 12-pounder Napoleon (USA) · Entity-1080 [map-54/027]</x:v>
      </x:c>
      <x:c r="M1008" s="35"/>
      <x:c r="N1008" s="35"/>
      <x:c r="O1008" s="35"/>
      <x:c r="P1008" s="35"/>
      <x:c r="Q1008" s="35"/>
      <x:c r="R1008" s="35"/>
      <x:c r="S1008" s="35"/>
      <x:c r="T1008" s="35"/>
      <x:c r="U1008" s="35"/>
      <x:c r="V1008" s="35"/>
      <x:c r="W1008" s="35"/>
      <x:c r="X1008" s="35"/>
      <x:c r="Y1008" s="35"/>
      <x:c r="Z1008" s="35"/>
      <x:c r="AA1008" s="35"/>
    </x:row>
    <x:row r="1009">
      <x:c r="A1009" s="136" t="str">
        <x:v>DrillCamp | Skirmish | Alexander Farm</x:v>
      </x:c>
      <x:c r="B1009" s="136" t="str">
        <x:v>Gun | 12-pounder Napoleon (CSA) · Entity-1126 [map-54/028]</x:v>
      </x:c>
      <x:c r="C1009" s="136" t="str">
        <x:v>gun_spawn</x:v>
      </x:c>
      <x:c r="D1009" s="136" t="str"/>
      <x:c r="E1009" s="136" t="str">
        <x:v>12-pounder Napoleon (CSA) · Entity-1126</x:v>
      </x:c>
      <x:c r="F1009" s="137" t="n">
        <x:v>1818.4122314453125</x:v>
      </x:c>
      <x:c r="G1009" s="137" t="n">
        <x:v>1598.1307373046875</x:v>
      </x:c>
      <x:c r="H1009" s="137" t="n">
        <x:v>60.33786392211914</x:v>
      </x:c>
      <x:c r="I1009" s="137" t="n">
        <x:v>638.3708393540021</x:v>
      </x:c>
      <x:c r="J1009" s="137" t="n">
        <x:v>1307.0419290768841</x:v>
      </x:c>
      <x:c r="K1009" s="136" t="str">
        <x:v>map-54</x:v>
      </x:c>
      <x:c r="L1009" s="136" t="str">
        <x:v>DrillCamp | Skirmish | Alexander Farm||Gun | 12-pounder Napoleon (CSA) · Entity-1126 [map-54/028]</x:v>
      </x:c>
      <x:c r="M1009" s="35"/>
      <x:c r="N1009" s="35"/>
      <x:c r="O1009" s="35"/>
      <x:c r="P1009" s="35"/>
      <x:c r="Q1009" s="35"/>
      <x:c r="R1009" s="35"/>
      <x:c r="S1009" s="35"/>
      <x:c r="T1009" s="35"/>
      <x:c r="U1009" s="35"/>
      <x:c r="V1009" s="35"/>
      <x:c r="W1009" s="35"/>
      <x:c r="X1009" s="35"/>
      <x:c r="Y1009" s="35"/>
      <x:c r="Z1009" s="35"/>
      <x:c r="AA1009" s="35"/>
    </x:row>
    <x:row r="1010">
      <x:c r="A1010" s="136" t="str">
        <x:v>DrillCamp | Skirmish | Alexander Farm</x:v>
      </x:c>
      <x:c r="B1010" s="136" t="str">
        <x:v>Gun | 12-pounder Napoleon (USA) · Entity-1079 [map-54/029]</x:v>
      </x:c>
      <x:c r="C1010" s="136" t="str">
        <x:v>gun_spawn</x:v>
      </x:c>
      <x:c r="D1010" s="136" t="str"/>
      <x:c r="E1010" s="136" t="str">
        <x:v>12-pounder Napoleon (USA) · Entity-1079</x:v>
      </x:c>
      <x:c r="F1010" s="137" t="n">
        <x:v>2038.8564453125</x:v>
      </x:c>
      <x:c r="G1010" s="137" t="n">
        <x:v>1908.4622802734375</x:v>
      </x:c>
      <x:c r="H1010" s="137" t="n">
        <x:v>67.65478515625</x:v>
      </x:c>
      <x:c r="I1010" s="137" t="n">
        <x:v>1069.1295510958914</x:v>
      </x:c>
      <x:c r="J1010" s="137" t="n">
        <x:v>707.4416365794785</x:v>
      </x:c>
      <x:c r="K1010" s="136" t="str">
        <x:v>map-54</x:v>
      </x:c>
      <x:c r="L1010" s="136" t="str">
        <x:v>DrillCamp | Skirmish | Alexander Farm||Gun | 12-pounder Napoleon (USA) · Entity-1079 [map-54/029]</x:v>
      </x:c>
      <x:c r="M1010" s="35"/>
      <x:c r="N1010" s="35"/>
      <x:c r="O1010" s="35"/>
      <x:c r="P1010" s="35"/>
      <x:c r="Q1010" s="35"/>
      <x:c r="R1010" s="35"/>
      <x:c r="S1010" s="35"/>
      <x:c r="T1010" s="35"/>
      <x:c r="U1010" s="35"/>
      <x:c r="V1010" s="35"/>
      <x:c r="W1010" s="35"/>
      <x:c r="X1010" s="35"/>
      <x:c r="Y1010" s="35"/>
      <x:c r="Z1010" s="35"/>
      <x:c r="AA1010" s="35"/>
    </x:row>
    <x:row r="1011">
      <x:c r="A1011" s="136" t="str">
        <x:v>DrillCamp | Skirmish | Alexander Farm</x:v>
      </x:c>
      <x:c r="B1011" s="136" t="str">
        <x:v>Gun | 12-pounder Napoleon (CSA) · Entity-1127 [map-54/030]</x:v>
      </x:c>
      <x:c r="C1011" s="136" t="str">
        <x:v>gun_spawn</x:v>
      </x:c>
      <x:c r="D1011" s="136" t="str"/>
      <x:c r="E1011" s="136" t="str">
        <x:v>12-pounder Napoleon (CSA) · Entity-1127</x:v>
      </x:c>
      <x:c r="F1011" s="137" t="n">
        <x:v>1812.0714111328125</x:v>
      </x:c>
      <x:c r="G1011" s="137" t="n">
        <x:v>1602.571533203125</x:v>
      </x:c>
      <x:c r="H1011" s="137" t="n">
        <x:v>60.32106018066406</x:v>
      </x:c>
      <x:c r="I1011" s="137" t="n">
        <x:v>626.2226267770795</x:v>
      </x:c>
      <x:c r="J1011" s="137" t="n">
        <x:v>1298.582105123764</x:v>
      </x:c>
      <x:c r="K1011" s="136" t="str">
        <x:v>map-54</x:v>
      </x:c>
      <x:c r="L1011" s="136" t="str">
        <x:v>DrillCamp | Skirmish | Alexander Farm||Gun | 12-pounder Napoleon (CSA) · Entity-1127 [map-54/030]</x:v>
      </x:c>
      <x:c r="M1011" s="35"/>
      <x:c r="N1011" s="35"/>
      <x:c r="O1011" s="35"/>
      <x:c r="P1011" s="35"/>
      <x:c r="Q1011" s="35"/>
      <x:c r="R1011" s="35"/>
      <x:c r="S1011" s="35"/>
      <x:c r="T1011" s="35"/>
      <x:c r="U1011" s="35"/>
      <x:c r="V1011" s="35"/>
      <x:c r="W1011" s="35"/>
      <x:c r="X1011" s="35"/>
      <x:c r="Y1011" s="35"/>
      <x:c r="Z1011" s="35"/>
      <x:c r="AA1011" s="35"/>
    </x:row>
    <x:row r="1012">
      <x:c r="A1012" s="136" t="str">
        <x:v>DrillCamp | Skirmish | Alexander Farm</x:v>
      </x:c>
      <x:c r="B1012" s="136" t="str">
        <x:v>Gun | 12-pounder Napoleon (CSA) · Entity-1121 [map-54/031]</x:v>
      </x:c>
      <x:c r="C1012" s="136" t="str">
        <x:v>gun_spawn</x:v>
      </x:c>
      <x:c r="D1012" s="136" t="str"/>
      <x:c r="E1012" s="136" t="str">
        <x:v>12-pounder Napoleon (CSA) · Entity-1121</x:v>
      </x:c>
      <x:c r="F1012" s="137" t="n">
        <x:v>1830.4495849609375</x:v>
      </x:c>
      <x:c r="G1012" s="137" t="n">
        <x:v>1589.9984130859375</x:v>
      </x:c>
      <x:c r="H1012" s="137" t="n">
        <x:v>60.423580169677734</x:v>
      </x:c>
      <x:c r="I1012" s="137" t="n">
        <x:v>661.4382886818049</x:v>
      </x:c>
      <x:c r="J1012" s="137" t="n">
        <x:v>1322.5288096879867</x:v>
      </x:c>
      <x:c r="K1012" s="136" t="str">
        <x:v>map-54</x:v>
      </x:c>
      <x:c r="L1012" s="136" t="str">
        <x:v>DrillCamp | Skirmish | Alexander Farm||Gun | 12-pounder Napoleon (CSA) · Entity-1121 [map-54/031]</x:v>
      </x:c>
      <x:c r="M1012" s="35"/>
      <x:c r="N1012" s="35"/>
      <x:c r="O1012" s="35"/>
      <x:c r="P1012" s="35"/>
      <x:c r="Q1012" s="35"/>
      <x:c r="R1012" s="35"/>
      <x:c r="S1012" s="35"/>
      <x:c r="T1012" s="35"/>
      <x:c r="U1012" s="35"/>
      <x:c r="V1012" s="35"/>
      <x:c r="W1012" s="35"/>
      <x:c r="X1012" s="35"/>
      <x:c r="Y1012" s="35"/>
      <x:c r="Z1012" s="35"/>
      <x:c r="AA1012" s="35"/>
    </x:row>
    <x:row r="1013">
      <x:c r="A1013" s="136" t="str">
        <x:v>DrillCamp | Skirmish | Alexander Farm</x:v>
      </x:c>
      <x:c r="B1013" s="136" t="str">
        <x:v>Gun | 12-pounder Napoleon (CSA) · Entity-1099 [map-54/032]</x:v>
      </x:c>
      <x:c r="C1013" s="136" t="str">
        <x:v>gun_spawn</x:v>
      </x:c>
      <x:c r="D1013" s="136" t="str"/>
      <x:c r="E1013" s="136" t="str">
        <x:v>12-pounder Napoleon (CSA) · Entity-1099</x:v>
      </x:c>
      <x:c r="F1013" s="137" t="n">
        <x:v>1765.480224609375</x:v>
      </x:c>
      <x:c r="G1013" s="137" t="n">
        <x:v>1662.6785888671875</x:v>
      </x:c>
      <x:c r="H1013" s="137" t="n">
        <x:v>61.8253173828125</x:v>
      </x:c>
      <x:c r="I1013" s="137" t="n">
        <x:v>537.457351012703</x:v>
      </x:c>
      <x:c r="J1013" s="137" t="n">
        <x:v>1183.579388613827</x:v>
      </x:c>
      <x:c r="K1013" s="136" t="str">
        <x:v>map-54</x:v>
      </x:c>
      <x:c r="L1013" s="136" t="str">
        <x:v>DrillCamp | Skirmish | Alexander Farm||Gun | 12-pounder Napoleon (CSA) · Entity-1099 [map-54/032]</x:v>
      </x:c>
      <x:c r="M1013" s="35"/>
      <x:c r="N1013" s="35"/>
      <x:c r="O1013" s="35"/>
      <x:c r="P1013" s="35"/>
      <x:c r="Q1013" s="35"/>
      <x:c r="R1013" s="35"/>
      <x:c r="S1013" s="35"/>
      <x:c r="T1013" s="35"/>
      <x:c r="U1013" s="35"/>
      <x:c r="V1013" s="35"/>
      <x:c r="W1013" s="35"/>
      <x:c r="X1013" s="35"/>
      <x:c r="Y1013" s="35"/>
      <x:c r="Z1013" s="35"/>
      <x:c r="AA1013" s="35"/>
    </x:row>
    <x:row r="1014">
      <x:c r="A1014" s="136" t="str">
        <x:v>DrillCamp | Skirmish | Alexander Farm</x:v>
      </x:c>
      <x:c r="B1014" s="136" t="str">
        <x:v>Gun | 12-pounder Napoleon (CSA) · Entity-1101 [map-54/033]</x:v>
      </x:c>
      <x:c r="C1014" s="136" t="str">
        <x:v>gun_spawn</x:v>
      </x:c>
      <x:c r="D1014" s="136" t="str"/>
      <x:c r="E1014" s="136" t="str">
        <x:v>12-pounder Napoleon (CSA) · Entity-1101</x:v>
      </x:c>
      <x:c r="F1014" s="137" t="n">
        <x:v>1759.139404296875</x:v>
      </x:c>
      <x:c r="G1014" s="137" t="n">
        <x:v>1667.119384765625</x:v>
      </x:c>
      <x:c r="H1014" s="137" t="n">
        <x:v>60.654666900634766</x:v>
      </x:c>
      <x:c r="I1014" s="137" t="n">
        <x:v>525.3091384357805</x:v>
      </x:c>
      <x:c r="J1014" s="137" t="n">
        <x:v>1175.1195646607066</x:v>
      </x:c>
      <x:c r="K1014" s="136" t="str">
        <x:v>map-54</x:v>
      </x:c>
      <x:c r="L1014" s="136" t="str">
        <x:v>DrillCamp | Skirmish | Alexander Farm||Gun | 12-pounder Napoleon (CSA) · Entity-1101 [map-54/033]</x:v>
      </x:c>
      <x:c r="M1014" s="35"/>
      <x:c r="N1014" s="35"/>
      <x:c r="O1014" s="35"/>
      <x:c r="P1014" s="35"/>
      <x:c r="Q1014" s="35"/>
      <x:c r="R1014" s="35"/>
      <x:c r="S1014" s="35"/>
      <x:c r="T1014" s="35"/>
      <x:c r="U1014" s="35"/>
      <x:c r="V1014" s="35"/>
      <x:c r="W1014" s="35"/>
      <x:c r="X1014" s="35"/>
      <x:c r="Y1014" s="35"/>
      <x:c r="Z1014" s="35"/>
      <x:c r="AA1014" s="35"/>
    </x:row>
    <x:row r="1015">
      <x:c r="A1015" s="136" t="str">
        <x:v>DrillCamp | Skirmish | Alexander Farm</x:v>
      </x:c>
      <x:c r="B1015" s="136" t="str">
        <x:v>Gun | 3-inch Ordnance · Entity-1089 [map-54/034]</x:v>
      </x:c>
      <x:c r="C1015" s="136" t="str">
        <x:v>gun_spawn</x:v>
      </x:c>
      <x:c r="D1015" s="136" t="str"/>
      <x:c r="E1015" s="136" t="str">
        <x:v>3-inch Ordnance · Entity-1089</x:v>
      </x:c>
      <x:c r="F1015" s="137" t="n">
        <x:v>2070.611083984375</x:v>
      </x:c>
      <x:c r="G1015" s="137" t="n">
        <x:v>1720.57470703125</x:v>
      </x:c>
      <x:c r="H1015" s="137" t="n">
        <x:v>77.66503143310547</x:v>
      </x:c>
      <x:c r="I1015" s="137" t="n">
        <x:v>1126.9677950028258</x:v>
      </x:c>
      <x:c r="J1015" s="137" t="n">
        <x:v>1068.37016469951</x:v>
      </x:c>
      <x:c r="K1015" s="136" t="str">
        <x:v>map-54</x:v>
      </x:c>
      <x:c r="L1015" s="136" t="str">
        <x:v>DrillCamp | Skirmish | Alexander Farm||Gun | 3-inch Ordnance · Entity-1089 [map-54/034]</x:v>
      </x:c>
      <x:c r="M1015" s="35"/>
      <x:c r="N1015" s="35"/>
      <x:c r="O1015" s="35"/>
      <x:c r="P1015" s="35"/>
      <x:c r="Q1015" s="35"/>
      <x:c r="R1015" s="35"/>
      <x:c r="S1015" s="35"/>
      <x:c r="T1015" s="35"/>
      <x:c r="U1015" s="35"/>
      <x:c r="V1015" s="35"/>
      <x:c r="W1015" s="35"/>
      <x:c r="X1015" s="35"/>
      <x:c r="Y1015" s="35"/>
      <x:c r="Z1015" s="35"/>
      <x:c r="AA1015" s="35"/>
    </x:row>
    <x:row r="1016">
      <x:c r="A1016" s="136" t="str">
        <x:v>DrillCamp | Skirmish | Alexander Farm</x:v>
      </x:c>
      <x:c r="B1016" s="136" t="str">
        <x:v>Gun | 3-inch Ordnance · Entity-1122 [map-54/035]</x:v>
      </x:c>
      <x:c r="C1016" s="136" t="str">
        <x:v>gun_spawn</x:v>
      </x:c>
      <x:c r="D1016" s="136" t="str"/>
      <x:c r="E1016" s="136" t="str">
        <x:v>3-inch Ordnance · Entity-1122</x:v>
      </x:c>
      <x:c r="F1016" s="137" t="n">
        <x:v>1824.4610595703125</x:v>
      </x:c>
      <x:c r="G1016" s="137" t="n">
        <x:v>1593.66943359375</x:v>
      </x:c>
      <x:c r="H1016" s="137" t="n">
        <x:v>60.51057434082031</x:v>
      </x:c>
      <x:c r="I1016" s="137" t="n">
        <x:v>649.9555572013663</x:v>
      </x:c>
      <x:c r="J1016" s="137" t="n">
        <x:v>1315.5448933712414</x:v>
      </x:c>
      <x:c r="K1016" s="136" t="str">
        <x:v>map-54</x:v>
      </x:c>
      <x:c r="L1016" s="136" t="str">
        <x:v>DrillCamp | Skirmish | Alexander Farm||Gun | 3-inch Ordnance · Entity-1122 [map-54/035]</x:v>
      </x:c>
      <x:c r="M1016" s="35"/>
      <x:c r="N1016" s="35"/>
      <x:c r="O1016" s="35"/>
      <x:c r="P1016" s="35"/>
      <x:c r="Q1016" s="35"/>
      <x:c r="R1016" s="35"/>
      <x:c r="S1016" s="35"/>
      <x:c r="T1016" s="35"/>
      <x:c r="U1016" s="35"/>
      <x:c r="V1016" s="35"/>
      <x:c r="W1016" s="35"/>
      <x:c r="X1016" s="35"/>
      <x:c r="Y1016" s="35"/>
      <x:c r="Z1016" s="35"/>
      <x:c r="AA1016" s="35"/>
    </x:row>
    <x:row r="1017">
      <x:c r="A1017" s="136" t="str">
        <x:v>DrillCamp | Skirmish | Alexander Farm</x:v>
      </x:c>
      <x:c r="B1017" s="136" t="str">
        <x:v>Gun | 12-pounder Napoleon (USA) · Entity-1091 [map-54/036]</x:v>
      </x:c>
      <x:c r="C1017" s="136" t="str">
        <x:v>gun_spawn</x:v>
      </x:c>
      <x:c r="D1017" s="136" t="str"/>
      <x:c r="E1017" s="136" t="str">
        <x:v>12-pounder Napoleon (USA) · Entity-1091</x:v>
      </x:c>
      <x:c r="F1017" s="137" t="n">
        <x:v>2067.255126953125</x:v>
      </x:c>
      <x:c r="G1017" s="137" t="n">
        <x:v>1728.032470703125</x:v>
      </x:c>
      <x:c r="H1017" s="137" t="n">
        <x:v>77.78498840332031</x:v>
      </x:c>
      <x:c r="I1017" s="137" t="n">
        <x:v>1120.6306920030354</x:v>
      </x:c>
      <x:c r="J1017" s="137" t="n">
        <x:v>1054.070502461878</x:v>
      </x:c>
      <x:c r="K1017" s="136" t="str">
        <x:v>map-54</x:v>
      </x:c>
      <x:c r="L1017" s="136" t="str">
        <x:v>DrillCamp | Skirmish | Alexander Farm||Gun | 12-pounder Napoleon (USA) · Entity-1091 [map-54/036]</x:v>
      </x:c>
      <x:c r="M1017" s="35"/>
      <x:c r="N1017" s="35"/>
      <x:c r="O1017" s="35"/>
      <x:c r="P1017" s="35"/>
      <x:c r="Q1017" s="35"/>
      <x:c r="R1017" s="35"/>
      <x:c r="S1017" s="35"/>
      <x:c r="T1017" s="35"/>
      <x:c r="U1017" s="35"/>
      <x:c r="V1017" s="35"/>
      <x:c r="W1017" s="35"/>
      <x:c r="X1017" s="35"/>
      <x:c r="Y1017" s="35"/>
      <x:c r="Z1017" s="35"/>
      <x:c r="AA1017" s="35"/>
    </x:row>
    <x:row r="1018">
      <x:c r="A1018" s="136" t="str">
        <x:v>DrillCamp | Skirmish | Alexander Farm</x:v>
      </x:c>
      <x:c r="B1018" s="136" t="str">
        <x:v>Gun | 10-pounder Parrott · Entity-1077 [map-54/037]</x:v>
      </x:c>
      <x:c r="C1018" s="136" t="str">
        <x:v>gun_spawn</x:v>
      </x:c>
      <x:c r="D1018" s="136" t="str"/>
      <x:c r="E1018" s="136" t="str">
        <x:v>10-pounder Parrott · Entity-1077</x:v>
      </x:c>
      <x:c r="F1018" s="137" t="n">
        <x:v>2045.06201171875</x:v>
      </x:c>
      <x:c r="G1018" s="137" t="n">
        <x:v>1903.1519775390625</x:v>
      </x:c>
      <x:c r="H1018" s="137" t="n">
        <x:v>68.22760009765625</x:v>
      </x:c>
      <x:c r="I1018" s="137" t="n">
        <x:v>1081.0011734327677</x:v>
      </x:c>
      <x:c r="J1018" s="137" t="n">
        <x:v>717.5753442252551</x:v>
      </x:c>
      <x:c r="K1018" s="136" t="str">
        <x:v>map-54</x:v>
      </x:c>
      <x:c r="L1018" s="136" t="str">
        <x:v>DrillCamp | Skirmish | Alexander Farm||Gun | 10-pounder Parrott · Entity-1077 [map-54/037]</x:v>
      </x:c>
      <x:c r="M1018" s="35"/>
      <x:c r="N1018" s="35"/>
      <x:c r="O1018" s="35"/>
      <x:c r="P1018" s="35"/>
      <x:c r="Q1018" s="35"/>
      <x:c r="R1018" s="35"/>
      <x:c r="S1018" s="35"/>
      <x:c r="T1018" s="35"/>
      <x:c r="U1018" s="35"/>
      <x:c r="V1018" s="35"/>
      <x:c r="W1018" s="35"/>
      <x:c r="X1018" s="35"/>
      <x:c r="Y1018" s="35"/>
      <x:c r="Z1018" s="35"/>
      <x:c r="AA1018" s="35"/>
    </x:row>
    <x:row r="1019">
      <x:c r="A1019" s="136" t="str">
        <x:v>DrillCamp | Skirmish | Alexander Farm</x:v>
      </x:c>
      <x:c r="B1019" s="136" t="str">
        <x:v>Gun | 12-pounder Napoleon (CSA) · Entity-1120 [map-54/038]</x:v>
      </x:c>
      <x:c r="C1019" s="136" t="str">
        <x:v>gun_spawn</x:v>
      </x:c>
      <x:c r="D1019" s="136" t="str"/>
      <x:c r="E1019" s="136" t="str">
        <x:v>12-pounder Napoleon (CSA) · Entity-1120</x:v>
      </x:c>
      <x:c r="F1019" s="137" t="n">
        <x:v>1836.7904052734375</x:v>
      </x:c>
      <x:c r="G1019" s="137" t="n">
        <x:v>1585.5576171875</x:v>
      </x:c>
      <x:c r="H1019" s="137" t="n">
        <x:v>60.327003479003906</x:v>
      </x:c>
      <x:c r="I1019" s="137" t="n">
        <x:v>673.5865012587276</x:v>
      </x:c>
      <x:c r="J1019" s="137" t="n">
        <x:v>1330.9886336411068</x:v>
      </x:c>
      <x:c r="K1019" s="136" t="str">
        <x:v>map-54</x:v>
      </x:c>
      <x:c r="L1019" s="136" t="str">
        <x:v>DrillCamp | Skirmish | Alexander Farm||Gun | 12-pounder Napoleon (CSA) · Entity-1120 [map-54/038]</x:v>
      </x:c>
      <x:c r="M1019" s="35"/>
      <x:c r="N1019" s="35"/>
      <x:c r="O1019" s="35"/>
      <x:c r="P1019" s="35"/>
      <x:c r="Q1019" s="35"/>
      <x:c r="R1019" s="35"/>
      <x:c r="S1019" s="35"/>
      <x:c r="T1019" s="35"/>
      <x:c r="U1019" s="35"/>
      <x:c r="V1019" s="35"/>
      <x:c r="W1019" s="35"/>
      <x:c r="X1019" s="35"/>
      <x:c r="Y1019" s="35"/>
      <x:c r="Z1019" s="35"/>
      <x:c r="AA1019" s="35"/>
    </x:row>
    <x:row r="1020">
      <x:c r="A1020" s="136" t="str">
        <x:v>DrillCamp | Skirmish | Alexander Farm</x:v>
      </x:c>
      <x:c r="B1020" s="136" t="str">
        <x:v>Gun | 3-inch Ordnance · Entity-1100 [map-54/039]</x:v>
      </x:c>
      <x:c r="C1020" s="136" t="str">
        <x:v>gun_spawn</x:v>
      </x:c>
      <x:c r="D1020" s="136" t="str"/>
      <x:c r="E1020" s="136" t="str">
        <x:v>3-inch Ordnance · Entity-1100</x:v>
      </x:c>
      <x:c r="F1020" s="137" t="n">
        <x:v>1753.15087890625</x:v>
      </x:c>
      <x:c r="G1020" s="137" t="n">
        <x:v>1670.7904052734375</x:v>
      </x:c>
      <x:c r="H1020" s="137" t="n">
        <x:v>59.83883285522461</x:v>
      </x:c>
      <x:c r="I1020" s="137" t="n">
        <x:v>513.8264069553418</x:v>
      </x:c>
      <x:c r="J1020" s="137" t="n">
        <x:v>1168.1356483439615</x:v>
      </x:c>
      <x:c r="K1020" s="136" t="str">
        <x:v>map-54</x:v>
      </x:c>
      <x:c r="L1020" s="136" t="str">
        <x:v>DrillCamp | Skirmish | Alexander Farm||Gun | 3-inch Ordnance · Entity-1100 [map-54/039]</x:v>
      </x:c>
      <x:c r="M1020" s="35"/>
      <x:c r="N1020" s="35"/>
      <x:c r="O1020" s="35"/>
      <x:c r="P1020" s="35"/>
      <x:c r="Q1020" s="35"/>
      <x:c r="R1020" s="35"/>
      <x:c r="S1020" s="35"/>
      <x:c r="T1020" s="35"/>
      <x:c r="U1020" s="35"/>
      <x:c r="V1020" s="35"/>
      <x:c r="W1020" s="35"/>
      <x:c r="X1020" s="35"/>
      <x:c r="Y1020" s="35"/>
      <x:c r="Z1020" s="35"/>
      <x:c r="AA1020" s="35"/>
    </x:row>
    <x:row r="1021">
      <x:c r="A1021" s="136" t="str">
        <x:v>DrillCamp | Skirmish | Alexander Farm</x:v>
      </x:c>
      <x:c r="B1021" s="136" t="str">
        <x:v>Gun | 3-inch Ordnance · Entity-1128 [map-54/040]</x:v>
      </x:c>
      <x:c r="C1021" s="136" t="str">
        <x:v>gun_spawn</x:v>
      </x:c>
      <x:c r="D1021" s="136" t="str"/>
      <x:c r="E1021" s="136" t="str">
        <x:v>3-inch Ordnance · Entity-1128</x:v>
      </x:c>
      <x:c r="F1021" s="137" t="n">
        <x:v>1806.0828857421875</x:v>
      </x:c>
      <x:c r="G1021" s="137" t="n">
        <x:v>1606.2425537109375</x:v>
      </x:c>
      <x:c r="H1021" s="137" t="n">
        <x:v>60.42253112792969</x:v>
      </x:c>
      <x:c r="I1021" s="137" t="n">
        <x:v>614.7398952966408</x:v>
      </x:c>
      <x:c r="J1021" s="137" t="n">
        <x:v>1291.598188807019</x:v>
      </x:c>
      <x:c r="K1021" s="136" t="str">
        <x:v>map-54</x:v>
      </x:c>
      <x:c r="L1021" s="136" t="str">
        <x:v>DrillCamp | Skirmish | Alexander Farm||Gun | 3-inch Ordnance · Entity-1128 [map-54/040]</x:v>
      </x:c>
      <x:c r="M1021" s="35"/>
      <x:c r="N1021" s="35"/>
      <x:c r="O1021" s="35"/>
      <x:c r="P1021" s="35"/>
      <x:c r="Q1021" s="35"/>
      <x:c r="R1021" s="35"/>
      <x:c r="S1021" s="35"/>
      <x:c r="T1021" s="35"/>
      <x:c r="U1021" s="35"/>
      <x:c r="V1021" s="35"/>
      <x:c r="W1021" s="35"/>
      <x:c r="X1021" s="35"/>
      <x:c r="Y1021" s="35"/>
      <x:c r="Z1021" s="35"/>
      <x:c r="AA1021" s="35"/>
    </x:row>
    <x:row r="1022">
      <x:c r="A1022" s="136" t="str">
        <x:v>DrillCamp | Skirmish | Alexander Farm</x:v>
      </x:c>
      <x:c r="B1022" s="136" t="str">
        <x:v>Gun | 12-pounder Napoleon (USA) · Entity-1078 [map-54/041]</x:v>
      </x:c>
      <x:c r="C1022" s="136" t="str">
        <x:v>gun_spawn</x:v>
      </x:c>
      <x:c r="D1022" s="136" t="str"/>
      <x:c r="E1022" s="136" t="str">
        <x:v>12-pounder Napoleon (USA) · Entity-1078</x:v>
      </x:c>
      <x:c r="F1022" s="137" t="n">
        <x:v>2031.634765625</x:v>
      </x:c>
      <x:c r="G1022" s="137" t="n">
        <x:v>1914.6495361328125</x:v>
      </x:c>
      <x:c r="H1022" s="137" t="n">
        <x:v>67.13352966308594</x:v>
      </x:c>
      <x:c r="I1022" s="137" t="n">
        <x:v>1055.3141774329677</x:v>
      </x:c>
      <x:c r="J1022" s="137" t="n">
        <x:v>695.634319787618</x:v>
      </x:c>
      <x:c r="K1022" s="136" t="str">
        <x:v>map-54</x:v>
      </x:c>
      <x:c r="L1022" s="136" t="str">
        <x:v>DrillCamp | Skirmish | Alexander Farm||Gun | 12-pounder Napoleon (USA) · Entity-1078 [map-54/041]</x:v>
      </x:c>
      <x:c r="M1022" s="35"/>
      <x:c r="N1022" s="35"/>
      <x:c r="O1022" s="35"/>
      <x:c r="P1022" s="35"/>
      <x:c r="Q1022" s="35"/>
      <x:c r="R1022" s="35"/>
      <x:c r="S1022" s="35"/>
      <x:c r="T1022" s="35"/>
      <x:c r="U1022" s="35"/>
      <x:c r="V1022" s="35"/>
      <x:c r="W1022" s="35"/>
      <x:c r="X1022" s="35"/>
      <x:c r="Y1022" s="35"/>
      <x:c r="Z1022" s="35"/>
      <x:c r="AA1022" s="35"/>
    </x:row>
    <x:row r="1023">
      <x:c r="A1023" s="136" t="str">
        <x:v>DrillCamp | Skirmish | Crossroads</x:v>
      </x:c>
      <x:c r="B1023" s="136" t="str">
        <x:v>Spawn | CSA Spawnpoint_CR_Base_CSA_3rdAK2 [map-55/001]</x:v>
      </x:c>
      <x:c r="C1023" s="136" t="str">
        <x:v>spawn</x:v>
      </x:c>
      <x:c r="D1023" s="136" t="str">
        <x:v>CSA</x:v>
      </x:c>
      <x:c r="E1023" s="136" t="str">
        <x:v>Spawnpoint_CR_Base_CSA_3rdAK2</x:v>
      </x:c>
      <x:c r="F1023" s="137" t="n">
        <x:v>1914.902099609375</x:v>
      </x:c>
      <x:c r="G1023" s="137" t="n">
        <x:v>640.6981811523438</x:v>
      </x:c>
      <x:c r="H1023" s="137" t="n">
        <x:v>56.163021087646484</x:v>
      </x:c>
      <x:c r="I1023" s="137" t="n">
        <x:v>777.7232107587417</x:v>
      </x:c>
      <x:c r="J1023" s="137" t="n">
        <x:v>1706.0054218999553</x:v>
      </x:c>
      <x:c r="K1023" s="136" t="str">
        <x:v>map-55</x:v>
      </x:c>
      <x:c r="L1023" s="136" t="str">
        <x:v>DrillCamp | Skirmish | Crossroads||Spawn | CSA Spawnpoint_CR_Base_CSA_3rdAK2 [map-55/001]</x:v>
      </x:c>
      <x:c r="M1023" s="35"/>
      <x:c r="N1023" s="35"/>
      <x:c r="O1023" s="35"/>
      <x:c r="P1023" s="35"/>
      <x:c r="Q1023" s="35"/>
      <x:c r="R1023" s="35"/>
      <x:c r="S1023" s="35"/>
      <x:c r="T1023" s="35"/>
      <x:c r="U1023" s="35"/>
      <x:c r="V1023" s="35"/>
      <x:c r="W1023" s="35"/>
      <x:c r="X1023" s="35"/>
      <x:c r="Y1023" s="35"/>
      <x:c r="Z1023" s="35"/>
      <x:c r="AA1023" s="35"/>
    </x:row>
    <x:row r="1024">
      <x:c r="A1024" s="136" t="str">
        <x:v>DrillCamp | Skirmish | Crossroads</x:v>
      </x:c>
      <x:c r="B1024" s="136" t="str">
        <x:v>Artillery | CSA Spawnpoint_CR_CSA_Arty_Maurin_Forward [map-55/002]</x:v>
      </x:c>
      <x:c r="C1024" s="136" t="str">
        <x:v>battery</x:v>
      </x:c>
      <x:c r="D1024" s="136" t="str">
        <x:v>CSA</x:v>
      </x:c>
      <x:c r="E1024" s="136" t="str">
        <x:v>Spawnpoint_CR_CSA_Arty_Maurin_Forward</x:v>
      </x:c>
      <x:c r="F1024" s="137" t="n">
        <x:v>1881.5413818359375</x:v>
      </x:c>
      <x:c r="G1024" s="137" t="n">
        <x:v>805.64404296875</x:v>
      </x:c>
      <x:c r="H1024" s="137" t="n">
        <x:v>56.83076095581055</x:v>
      </x:c>
      <x:c r="I1024" s="137" t="n">
        <x:v>716.942257697051</x:v>
      </x:c>
      <x:c r="J1024" s="137" t="n">
        <x:v>1407.0592933104679</x:v>
      </x:c>
      <x:c r="K1024" s="136" t="str">
        <x:v>map-55</x:v>
      </x:c>
      <x:c r="L1024" s="136" t="str">
        <x:v>DrillCamp | Skirmish | Crossroads||Artillery | CSA Spawnpoint_CR_CSA_Arty_Maurin_Forward [map-55/002]</x:v>
      </x:c>
      <x:c r="M1024" s="35"/>
      <x:c r="N1024" s="35"/>
      <x:c r="O1024" s="35"/>
      <x:c r="P1024" s="35"/>
      <x:c r="Q1024" s="35"/>
      <x:c r="R1024" s="35"/>
      <x:c r="S1024" s="35"/>
      <x:c r="T1024" s="35"/>
      <x:c r="U1024" s="35"/>
      <x:c r="V1024" s="35"/>
      <x:c r="W1024" s="35"/>
      <x:c r="X1024" s="35"/>
      <x:c r="Y1024" s="35"/>
      <x:c r="Z1024" s="35"/>
      <x:c r="AA1024" s="35"/>
    </x:row>
    <x:row r="1025">
      <x:c r="A1025" s="136" t="str">
        <x:v>DrillCamp | Skirmish | Crossroads</x:v>
      </x:c>
      <x:c r="B1025" s="136" t="str">
        <x:v>Spawn | CSA Spawnpoint_CR_Base_CSA_3rdAK1 [map-55/003]</x:v>
      </x:c>
      <x:c r="C1025" s="136" t="str">
        <x:v>spawn</x:v>
      </x:c>
      <x:c r="D1025" s="136" t="str">
        <x:v>CSA</x:v>
      </x:c>
      <x:c r="E1025" s="136" t="str">
        <x:v>Spawnpoint_CR_Base_CSA_3rdAK1</x:v>
      </x:c>
      <x:c r="F1025" s="137" t="n">
        <x:v>1910.492431640625</x:v>
      </x:c>
      <x:c r="G1025" s="137" t="n">
        <x:v>660.6046142578125</x:v>
      </x:c>
      <x:c r="H1025" s="137" t="n">
        <x:v>56.55121612548828</x:v>
      </x:c>
      <x:c r="I1025" s="137" t="n">
        <x:v>769.6921406138018</x:v>
      </x:c>
      <x:c r="J1025" s="137" t="n">
        <x:v>1669.9272139026598</x:v>
      </x:c>
      <x:c r="K1025" s="136" t="str">
        <x:v>map-55</x:v>
      </x:c>
      <x:c r="L1025" s="136" t="str">
        <x:v>DrillCamp | Skirmish | Crossroads||Spawn | CSA Spawnpoint_CR_Base_CSA_3rdAK1 [map-55/003]</x:v>
      </x:c>
      <x:c r="M1025" s="35"/>
      <x:c r="N1025" s="35"/>
      <x:c r="O1025" s="35"/>
      <x:c r="P1025" s="35"/>
      <x:c r="Q1025" s="35"/>
      <x:c r="R1025" s="35"/>
      <x:c r="S1025" s="35"/>
      <x:c r="T1025" s="35"/>
      <x:c r="U1025" s="35"/>
      <x:c r="V1025" s="35"/>
      <x:c r="W1025" s="35"/>
      <x:c r="X1025" s="35"/>
      <x:c r="Y1025" s="35"/>
      <x:c r="Z1025" s="35"/>
      <x:c r="AA1025" s="35"/>
    </x:row>
    <x:row r="1026">
      <x:c r="A1026" s="136" t="str">
        <x:v>DrillCamp | Skirmish | Crossroads</x:v>
      </x:c>
      <x:c r="B1026" s="136" t="str">
        <x:v>Spawn | USA Spawnpoint_CR_Mounted_USA_4thPA [map-55/004]</x:v>
      </x:c>
      <x:c r="C1026" s="136" t="str">
        <x:v>spawn</x:v>
      </x:c>
      <x:c r="D1026" s="136" t="str">
        <x:v>USA</x:v>
      </x:c>
      <x:c r="E1026" s="136" t="str">
        <x:v>Spawnpoint_CR_Mounted_USA_4thPA</x:v>
      </x:c>
      <x:c r="F1026" s="137" t="n">
        <x:v>2280.33642578125</x:v>
      </x:c>
      <x:c r="G1026" s="137" t="n">
        <x:v>1537.1881103515625</x:v>
      </x:c>
      <x:c r="H1026" s="137" t="n">
        <x:v>77.38113403320312</x:v>
      </x:c>
      <x:c r="I1026" s="137" t="n">
        <x:v>1439.1799975981144</x:v>
      </x:c>
      <x:c r="J1026" s="137" t="n">
        <x:v>81.21659299395202</x:v>
      </x:c>
      <x:c r="K1026" s="136" t="str">
        <x:v>map-55</x:v>
      </x:c>
      <x:c r="L1026" s="136" t="str">
        <x:v>DrillCamp | Skirmish | Crossroads||Spawn | USA Spawnpoint_CR_Mounted_USA_4thPA [map-55/004]</x:v>
      </x:c>
      <x:c r="M1026" s="35"/>
      <x:c r="N1026" s="35"/>
      <x:c r="O1026" s="35"/>
      <x:c r="P1026" s="35"/>
      <x:c r="Q1026" s="35"/>
      <x:c r="R1026" s="35"/>
      <x:c r="S1026" s="35"/>
      <x:c r="T1026" s="35"/>
      <x:c r="U1026" s="35"/>
      <x:c r="V1026" s="35"/>
      <x:c r="W1026" s="35"/>
      <x:c r="X1026" s="35"/>
      <x:c r="Y1026" s="35"/>
      <x:c r="Z1026" s="35"/>
      <x:c r="AA1026" s="35"/>
    </x:row>
    <x:row r="1027">
      <x:c r="A1027" s="136" t="str">
        <x:v>DrillCamp | Skirmish | Crossroads</x:v>
      </x:c>
      <x:c r="B1027" s="136" t="str">
        <x:v>Spawn | USA Spawnpoint_CR_Base_USA_4thRI2 [map-55/005]</x:v>
      </x:c>
      <x:c r="C1027" s="136" t="str">
        <x:v>spawn</x:v>
      </x:c>
      <x:c r="D1027" s="136" t="str">
        <x:v>USA</x:v>
      </x:c>
      <x:c r="E1027" s="136" t="str">
        <x:v>Spawnpoint_CR_Base_USA_4thRI2</x:v>
      </x:c>
      <x:c r="F1027" s="137" t="n">
        <x:v>2036.5111083984375</x:v>
      </x:c>
      <x:c r="G1027" s="137" t="n">
        <x:v>1402.1058349609375</x:v>
      </x:c>
      <x:c r="H1027" s="137" t="n">
        <x:v>64.14290618896484</x:v>
      </x:c>
      <x:c r="I1027" s="137" t="n">
        <x:v>997.0990156051504</x:v>
      </x:c>
      <x:c r="J1027" s="137" t="n">
        <x:v>326.03827463173735</x:v>
      </x:c>
      <x:c r="K1027" s="136" t="str">
        <x:v>map-55</x:v>
      </x:c>
      <x:c r="L1027" s="136" t="str">
        <x:v>DrillCamp | Skirmish | Crossroads||Spawn | USA Spawnpoint_CR_Base_USA_4thRI2 [map-55/005]</x:v>
      </x:c>
      <x:c r="M1027" s="35"/>
      <x:c r="N1027" s="35"/>
      <x:c r="O1027" s="35"/>
      <x:c r="P1027" s="35"/>
      <x:c r="Q1027" s="35"/>
      <x:c r="R1027" s="35"/>
      <x:c r="S1027" s="35"/>
      <x:c r="T1027" s="35"/>
      <x:c r="U1027" s="35"/>
      <x:c r="V1027" s="35"/>
      <x:c r="W1027" s="35"/>
      <x:c r="X1027" s="35"/>
      <x:c r="Y1027" s="35"/>
      <x:c r="Z1027" s="35"/>
      <x:c r="AA1027" s="35"/>
    </x:row>
    <x:row r="1028">
      <x:c r="A1028" s="136" t="str">
        <x:v>DrillCamp | Skirmish | Crossroads</x:v>
      </x:c>
      <x:c r="B1028" s="136" t="str">
        <x:v>Artillery | CSA Spawnpoint_CR_CSA_Arty_Base [map-55/006]</x:v>
      </x:c>
      <x:c r="C1028" s="136" t="str">
        <x:v>battery</x:v>
      </x:c>
      <x:c r="D1028" s="136" t="str">
        <x:v>CSA</x:v>
      </x:c>
      <x:c r="E1028" s="136" t="str">
        <x:v>Spawnpoint_CR_CSA_Arty_Base</x:v>
      </x:c>
      <x:c r="F1028" s="137" t="n">
        <x:v>1957.56103515625</x:v>
      </x:c>
      <x:c r="G1028" s="137" t="n">
        <x:v>592.2139892578125</x:v>
      </x:c>
      <x:c r="H1028" s="137" t="n">
        <x:v>56.14634323120117</x:v>
      </x:c>
      <x:c r="I1028" s="137" t="n">
        <x:v>855.184125045068</x:v>
      </x:c>
      <x:c r="J1028" s="137" t="n">
        <x:v>1793.877656492859</x:v>
      </x:c>
      <x:c r="K1028" s="136" t="str">
        <x:v>map-55</x:v>
      </x:c>
      <x:c r="L1028" s="136" t="str">
        <x:v>DrillCamp | Skirmish | Crossroads||Artillery | CSA Spawnpoint_CR_CSA_Arty_Base [map-55/006]</x:v>
      </x:c>
      <x:c r="M1028" s="35"/>
      <x:c r="N1028" s="35"/>
      <x:c r="O1028" s="35"/>
      <x:c r="P1028" s="35"/>
      <x:c r="Q1028" s="35"/>
      <x:c r="R1028" s="35"/>
      <x:c r="S1028" s="35"/>
      <x:c r="T1028" s="35"/>
      <x:c r="U1028" s="35"/>
      <x:c r="V1028" s="35"/>
      <x:c r="W1028" s="35"/>
      <x:c r="X1028" s="35"/>
      <x:c r="Y1028" s="35"/>
      <x:c r="Z1028" s="35"/>
      <x:c r="AA1028" s="35"/>
    </x:row>
    <x:row r="1029">
      <x:c r="A1029" s="136" t="str">
        <x:v>DrillCamp | Skirmish | Crossroads</x:v>
      </x:c>
      <x:c r="B1029" s="136" t="str">
        <x:v>Artillery | USA Spawnpoint_CR_USA_Arty_Tompkins_Forward [map-55/007]</x:v>
      </x:c>
      <x:c r="C1029" s="136" t="str">
        <x:v>battery</x:v>
      </x:c>
      <x:c r="D1029" s="136" t="str">
        <x:v>USA</x:v>
      </x:c>
      <x:c r="E1029" s="136" t="str">
        <x:v>Spawnpoint_CR_USA_Arty_Tompkins_Forward</x:v>
      </x:c>
      <x:c r="F1029" s="137" t="n">
        <x:v>2013.405029296875</x:v>
      </x:c>
      <x:c r="G1029" s="137" t="n">
        <x:v>1156.208984375</x:v>
      </x:c>
      <x:c r="H1029" s="137" t="n">
        <x:v>64.475341796875</x:v>
      </x:c>
      <x:c r="I1029" s="137" t="n">
        <x:v>955.579450141621</x:v>
      </x:c>
      <x:c r="J1029" s="137" t="n">
        <x:v>771.6991157435574</x:v>
      </x:c>
      <x:c r="K1029" s="136" t="str">
        <x:v>map-55</x:v>
      </x:c>
      <x:c r="L1029" s="136" t="str">
        <x:v>DrillCamp | Skirmish | Crossroads||Artillery | USA Spawnpoint_CR_USA_Arty_Tompkins_Forward [map-55/007]</x:v>
      </x:c>
      <x:c r="M1029" s="35"/>
      <x:c r="N1029" s="35"/>
      <x:c r="O1029" s="35"/>
      <x:c r="P1029" s="35"/>
      <x:c r="Q1029" s="35"/>
      <x:c r="R1029" s="35"/>
      <x:c r="S1029" s="35"/>
      <x:c r="T1029" s="35"/>
      <x:c r="U1029" s="35"/>
      <x:c r="V1029" s="35"/>
      <x:c r="W1029" s="35"/>
      <x:c r="X1029" s="35"/>
      <x:c r="Y1029" s="35"/>
      <x:c r="Z1029" s="35"/>
      <x:c r="AA1029" s="35"/>
    </x:row>
    <x:row r="1030">
      <x:c r="A1030" s="136" t="str">
        <x:v>DrillCamp | Skirmish | Crossroads</x:v>
      </x:c>
      <x:c r="B1030" s="136" t="str">
        <x:v>Spawn | CSA Spawnpoint_CR_Defend_CSA_Jeff [map-55/008]</x:v>
      </x:c>
      <x:c r="C1030" s="136" t="str">
        <x:v>spawn</x:v>
      </x:c>
      <x:c r="D1030" s="136" t="str">
        <x:v>CSA</x:v>
      </x:c>
      <x:c r="E1030" s="136" t="str">
        <x:v>Spawnpoint_CR_Defend_CSA_Jeff</x:v>
      </x:c>
      <x:c r="F1030" s="137" t="n">
        <x:v>2049.3427734375</x:v>
      </x:c>
      <x:c r="G1030" s="137" t="n">
        <x:v>924.0277099609375</x:v>
      </x:c>
      <x:c r="H1030" s="137" t="n">
        <x:v>63.49958801269531</x:v>
      </x:c>
      <x:c r="I1030" s="137" t="n">
        <x:v>1021.1430486310852</x:v>
      </x:c>
      <x:c r="J1030" s="137" t="n">
        <x:v>1192.5019922310814</x:v>
      </x:c>
      <x:c r="K1030" s="136" t="str">
        <x:v>map-55</x:v>
      </x:c>
      <x:c r="L1030" s="136" t="str">
        <x:v>DrillCamp | Skirmish | Crossroads||Spawn | CSA Spawnpoint_CR_Defend_CSA_Jeff [map-55/008]</x:v>
      </x:c>
      <x:c r="M1030" s="35"/>
      <x:c r="N1030" s="35"/>
      <x:c r="O1030" s="35"/>
      <x:c r="P1030" s="35"/>
      <x:c r="Q1030" s="35"/>
      <x:c r="R1030" s="35"/>
      <x:c r="S1030" s="35"/>
      <x:c r="T1030" s="35"/>
      <x:c r="U1030" s="35"/>
      <x:c r="V1030" s="35"/>
      <x:c r="W1030" s="35"/>
      <x:c r="X1030" s="35"/>
      <x:c r="Y1030" s="35"/>
      <x:c r="Z1030" s="35"/>
      <x:c r="AA1030" s="35"/>
    </x:row>
    <x:row r="1031">
      <x:c r="A1031" s="136" t="str">
        <x:v>DrillCamp | Skirmish | Crossroads</x:v>
      </x:c>
      <x:c r="B1031" s="136" t="str">
        <x:v>Spawn | CSA Spawnpoint_CR_Base_CSA_8thFL2 [map-55/009]</x:v>
      </x:c>
      <x:c r="C1031" s="136" t="str">
        <x:v>spawn</x:v>
      </x:c>
      <x:c r="D1031" s="136" t="str">
        <x:v>CSA</x:v>
      </x:c>
      <x:c r="E1031" s="136" t="str">
        <x:v>Spawnpoint_CR_Base_CSA_8thFL2</x:v>
      </x:c>
      <x:c r="F1031" s="137" t="n">
        <x:v>1941.152099609375</x:v>
      </x:c>
      <x:c r="G1031" s="137" t="n">
        <x:v>603.0643310546875</x:v>
      </x:c>
      <x:c r="H1031" s="137" t="n">
        <x:v>56.30506134033203</x:v>
      </x:c>
      <x:c r="I1031" s="137" t="n">
        <x:v>825.400985054416</x:v>
      </x:c>
      <x:c r="J1031" s="137" t="n">
        <x:v>1774.2126122272512</x:v>
      </x:c>
      <x:c r="K1031" s="136" t="str">
        <x:v>map-55</x:v>
      </x:c>
      <x:c r="L1031" s="136" t="str">
        <x:v>DrillCamp | Skirmish | Crossroads||Spawn | CSA Spawnpoint_CR_Base_CSA_8thFL2 [map-55/009]</x:v>
      </x:c>
      <x:c r="M1031" s="35"/>
      <x:c r="N1031" s="35"/>
      <x:c r="O1031" s="35"/>
      <x:c r="P1031" s="35"/>
      <x:c r="Q1031" s="35"/>
      <x:c r="R1031" s="35"/>
      <x:c r="S1031" s="35"/>
      <x:c r="T1031" s="35"/>
      <x:c r="U1031" s="35"/>
      <x:c r="V1031" s="35"/>
      <x:c r="W1031" s="35"/>
      <x:c r="X1031" s="35"/>
      <x:c r="Y1031" s="35"/>
      <x:c r="Z1031" s="35"/>
      <x:c r="AA1031" s="35"/>
    </x:row>
    <x:row r="1032">
      <x:c r="A1032" s="136" t="str">
        <x:v>DrillCamp | Skirmish | Crossroads</x:v>
      </x:c>
      <x:c r="B1032" s="136" t="str">
        <x:v>Spawn | CSA Spawnpoint_CR_Defend_CSA_8thFL2 [map-55/010]</x:v>
      </x:c>
      <x:c r="C1032" s="136" t="str">
        <x:v>spawn</x:v>
      </x:c>
      <x:c r="D1032" s="136" t="str">
        <x:v>CSA</x:v>
      </x:c>
      <x:c r="E1032" s="136" t="str">
        <x:v>Spawnpoint_CR_Defend_CSA_8thFL2</x:v>
      </x:c>
      <x:c r="F1032" s="137" t="n">
        <x:v>2045.994873046875</x:v>
      </x:c>
      <x:c r="G1032" s="137" t="n">
        <x:v>944.2058715820312</x:v>
      </x:c>
      <x:c r="H1032" s="137" t="n">
        <x:v>64.7601318359375</x:v>
      </x:c>
      <x:c r="I1032" s="137" t="n">
        <x:v>1015.0375830241096</x:v>
      </x:c>
      <x:c r="J1032" s="137" t="n">
        <x:v>1155.9313063572333</x:v>
      </x:c>
      <x:c r="K1032" s="136" t="str">
        <x:v>map-55</x:v>
      </x:c>
      <x:c r="L1032" s="136" t="str">
        <x:v>DrillCamp | Skirmish | Crossroads||Spawn | CSA Spawnpoint_CR_Defend_CSA_8thFL2 [map-55/010]</x:v>
      </x:c>
      <x:c r="M1032" s="35"/>
      <x:c r="N1032" s="35"/>
      <x:c r="O1032" s="35"/>
      <x:c r="P1032" s="35"/>
      <x:c r="Q1032" s="35"/>
      <x:c r="R1032" s="35"/>
      <x:c r="S1032" s="35"/>
      <x:c r="T1032" s="35"/>
      <x:c r="U1032" s="35"/>
      <x:c r="V1032" s="35"/>
      <x:c r="W1032" s="35"/>
      <x:c r="X1032" s="35"/>
      <x:c r="Y1032" s="35"/>
      <x:c r="Z1032" s="35"/>
      <x:c r="AA1032" s="35"/>
    </x:row>
    <x:row r="1033">
      <x:c r="A1033" s="136" t="str">
        <x:v>DrillCamp | Skirmish | Crossroads</x:v>
      </x:c>
      <x:c r="B1033" s="136" t="str">
        <x:v>Artillery | USA Spawnpoint_CR_USA_Arty_Owen_Forward [map-55/011]</x:v>
      </x:c>
      <x:c r="C1033" s="136" t="str">
        <x:v>battery</x:v>
      </x:c>
      <x:c r="D1033" s="136" t="str">
        <x:v>USA</x:v>
      </x:c>
      <x:c r="E1033" s="136" t="str">
        <x:v>Spawnpoint_CR_USA_Arty_Owen_Forward</x:v>
      </x:c>
      <x:c r="F1033" s="137" t="n">
        <x:v>1927.9088134765625</x:v>
      </x:c>
      <x:c r="G1033" s="137" t="n">
        <x:v>1187.7919921875</x:v>
      </x:c>
      <x:c r="H1033" s="137" t="n">
        <x:v>63.196510314941406</x:v>
      </x:c>
      <x:c r="I1033" s="137" t="n">
        <x:v>800.4390686020807</x:v>
      </x:c>
      <x:c r="J1033" s="137" t="n">
        <x:v>714.4584077270844</x:v>
      </x:c>
      <x:c r="K1033" s="136" t="str">
        <x:v>map-55</x:v>
      </x:c>
      <x:c r="L1033" s="136" t="str">
        <x:v>DrillCamp | Skirmish | Crossroads||Artillery | USA Spawnpoint_CR_USA_Arty_Owen_Forward [map-55/011]</x:v>
      </x:c>
      <x:c r="M1033" s="35"/>
      <x:c r="N1033" s="35"/>
      <x:c r="O1033" s="35"/>
      <x:c r="P1033" s="35"/>
      <x:c r="Q1033" s="35"/>
      <x:c r="R1033" s="35"/>
      <x:c r="S1033" s="35"/>
      <x:c r="T1033" s="35"/>
      <x:c r="U1033" s="35"/>
      <x:c r="V1033" s="35"/>
      <x:c r="W1033" s="35"/>
      <x:c r="X1033" s="35"/>
      <x:c r="Y1033" s="35"/>
      <x:c r="Z1033" s="35"/>
      <x:c r="AA1033" s="35"/>
    </x:row>
    <x:row r="1034">
      <x:c r="A1034" s="136" t="str">
        <x:v>DrillCamp | Skirmish | Crossroads</x:v>
      </x:c>
      <x:c r="B1034" s="136" t="str">
        <x:v>Spawn | USA Spawnpoint_CR_Base_USA_1stMN1 [map-55/012]</x:v>
      </x:c>
      <x:c r="C1034" s="136" t="str">
        <x:v>spawn</x:v>
      </x:c>
      <x:c r="D1034" s="136" t="str">
        <x:v>USA</x:v>
      </x:c>
      <x:c r="E1034" s="136" t="str">
        <x:v>Spawnpoint_CR_Base_USA_1stMN1</x:v>
      </x:c>
      <x:c r="F1034" s="137" t="n">
        <x:v>2024.4241943359375</x:v>
      </x:c>
      <x:c r="G1034" s="137" t="n">
        <x:v>1383.122802734375</x:v>
      </x:c>
      <x:c r="H1034" s="137" t="n">
        <x:v>63.61814880371094</x:v>
      </x:c>
      <x:c r="I1034" s="137" t="n">
        <x:v>975.203891262567</x:v>
      </x:c>
      <x:c r="J1034" s="137" t="n">
        <x:v>360.4429206806138</x:v>
      </x:c>
      <x:c r="K1034" s="136" t="str">
        <x:v>map-55</x:v>
      </x:c>
      <x:c r="L1034" s="136" t="str">
        <x:v>DrillCamp | Skirmish | Crossroads||Spawn | USA Spawnpoint_CR_Base_USA_1stMN1 [map-55/012]</x:v>
      </x:c>
      <x:c r="M1034" s="35"/>
      <x:c r="N1034" s="35"/>
      <x:c r="O1034" s="35"/>
      <x:c r="P1034" s="35"/>
      <x:c r="Q1034" s="35"/>
      <x:c r="R1034" s="35"/>
      <x:c r="S1034" s="35"/>
      <x:c r="T1034" s="35"/>
      <x:c r="U1034" s="35"/>
      <x:c r="V1034" s="35"/>
      <x:c r="W1034" s="35"/>
      <x:c r="X1034" s="35"/>
      <x:c r="Y1034" s="35"/>
      <x:c r="Z1034" s="35"/>
      <x:c r="AA1034" s="35"/>
    </x:row>
    <x:row r="1035">
      <x:c r="A1035" s="136" t="str">
        <x:v>DrillCamp | Skirmish | Crossroads</x:v>
      </x:c>
      <x:c r="B1035" s="136" t="str">
        <x:v>Spawn | CSA Spawnpoint_CR_Base_CSA_Jeff [map-55/013]</x:v>
      </x:c>
      <x:c r="C1035" s="136" t="str">
        <x:v>spawn</x:v>
      </x:c>
      <x:c r="D1035" s="136" t="str">
        <x:v>CSA</x:v>
      </x:c>
      <x:c r="E1035" s="136" t="str">
        <x:v>Spawnpoint_CR_Base_CSA_Jeff</x:v>
      </x:c>
      <x:c r="F1035" s="137" t="n">
        <x:v>1978.4547119140625</x:v>
      </x:c>
      <x:c r="G1035" s="137" t="n">
        <x:v>578.903076171875</x:v>
      </x:c>
      <x:c r="H1035" s="137" t="n">
        <x:v>57.14573669433594</x:v>
      </x:c>
      <x:c r="I1035" s="137" t="n">
        <x:v>893.1065117276263</x:v>
      </x:c>
      <x:c r="J1035" s="137" t="n">
        <x:v>1818.0022140368444</x:v>
      </x:c>
      <x:c r="K1035" s="136" t="str">
        <x:v>map-55</x:v>
      </x:c>
      <x:c r="L1035" s="136" t="str">
        <x:v>DrillCamp | Skirmish | Crossroads||Spawn | CSA Spawnpoint_CR_Base_CSA_Jeff [map-55/013]</x:v>
      </x:c>
      <x:c r="M1035" s="35"/>
      <x:c r="N1035" s="35"/>
      <x:c r="O1035" s="35"/>
      <x:c r="P1035" s="35"/>
      <x:c r="Q1035" s="35"/>
      <x:c r="R1035" s="35"/>
      <x:c r="S1035" s="35"/>
      <x:c r="T1035" s="35"/>
      <x:c r="U1035" s="35"/>
      <x:c r="V1035" s="35"/>
      <x:c r="W1035" s="35"/>
      <x:c r="X1035" s="35"/>
      <x:c r="Y1035" s="35"/>
      <x:c r="Z1035" s="35"/>
      <x:c r="AA1035" s="35"/>
    </x:row>
    <x:row r="1036">
      <x:c r="A1036" s="136" t="str">
        <x:v>DrillCamp | Skirmish | Crossroads</x:v>
      </x:c>
      <x:c r="B1036" s="136" t="str">
        <x:v>Spawn | CSA Spawnpoint_CR_Defend_CSA_3rdAK1 [map-55/014]</x:v>
      </x:c>
      <x:c r="C1036" s="136" t="str">
        <x:v>spawn</x:v>
      </x:c>
      <x:c r="D1036" s="136" t="str">
        <x:v>CSA</x:v>
      </x:c>
      <x:c r="E1036" s="136" t="str">
        <x:v>Spawnpoint_CR_Defend_CSA_3rdAK1</x:v>
      </x:c>
      <x:c r="F1036" s="137" t="n">
        <x:v>2060.871826171875</x:v>
      </x:c>
      <x:c r="G1036" s="137" t="n">
        <x:v>943.0726318359375</x:v>
      </x:c>
      <x:c r="H1036" s="137" t="n">
        <x:v>64.6584701538086</x:v>
      </x:c>
      <x:c r="I1036" s="137" t="n">
        <x:v>1042.026116136997</x:v>
      </x:c>
      <x:c r="J1036" s="137" t="n">
        <x:v>1157.9851780405104</x:v>
      </x:c>
      <x:c r="K1036" s="136" t="str">
        <x:v>map-55</x:v>
      </x:c>
      <x:c r="L1036" s="136" t="str">
        <x:v>DrillCamp | Skirmish | Crossroads||Spawn | CSA Spawnpoint_CR_Defend_CSA_3rdAK1 [map-55/014]</x:v>
      </x:c>
      <x:c r="M1036" s="35"/>
      <x:c r="N1036" s="35"/>
      <x:c r="O1036" s="35"/>
      <x:c r="P1036" s="35"/>
      <x:c r="Q1036" s="35"/>
      <x:c r="R1036" s="35"/>
      <x:c r="S1036" s="35"/>
      <x:c r="T1036" s="35"/>
      <x:c r="U1036" s="35"/>
      <x:c r="V1036" s="35"/>
      <x:c r="W1036" s="35"/>
      <x:c r="X1036" s="35"/>
      <x:c r="Y1036" s="35"/>
      <x:c r="Z1036" s="35"/>
      <x:c r="AA1036" s="35"/>
    </x:row>
    <x:row r="1037">
      <x:c r="A1037" s="136" t="str">
        <x:v>DrillCamp | Skirmish | Crossroads</x:v>
      </x:c>
      <x:c r="B1037" s="136" t="str">
        <x:v>Spawn | CSA Spawnpoint_CR_Defend_CSA_3rdAK2 [map-55/015]</x:v>
      </x:c>
      <x:c r="C1037" s="136" t="str">
        <x:v>spawn</x:v>
      </x:c>
      <x:c r="D1037" s="136" t="str">
        <x:v>CSA</x:v>
      </x:c>
      <x:c r="E1037" s="136" t="str">
        <x:v>Spawnpoint_CR_Defend_CSA_3rdAK2</x:v>
      </x:c>
      <x:c r="F1037" s="137" t="n">
        <x:v>2067.942626953125</x:v>
      </x:c>
      <x:c r="G1037" s="137" t="n">
        <x:v>961.5416259765625</x:v>
      </x:c>
      <x:c r="H1037" s="137" t="n">
        <x:v>64.65921783447266</x:v>
      </x:c>
      <x:c r="I1037" s="137" t="n">
        <x:v>1054.8228628285913</x:v>
      </x:c>
      <x:c r="J1037" s="137" t="n">
        <x:v>1124.5121691606198</x:v>
      </x:c>
      <x:c r="K1037" s="136" t="str">
        <x:v>map-55</x:v>
      </x:c>
      <x:c r="L1037" s="136" t="str">
        <x:v>DrillCamp | Skirmish | Crossroads||Spawn | CSA Spawnpoint_CR_Defend_CSA_3rdAK2 [map-55/015]</x:v>
      </x:c>
      <x:c r="M1037" s="35"/>
      <x:c r="N1037" s="35"/>
      <x:c r="O1037" s="35"/>
      <x:c r="P1037" s="35"/>
      <x:c r="Q1037" s="35"/>
      <x:c r="R1037" s="35"/>
      <x:c r="S1037" s="35"/>
      <x:c r="T1037" s="35"/>
      <x:c r="U1037" s="35"/>
      <x:c r="V1037" s="35"/>
      <x:c r="W1037" s="35"/>
      <x:c r="X1037" s="35"/>
      <x:c r="Y1037" s="35"/>
      <x:c r="Z1037" s="35"/>
      <x:c r="AA1037" s="35"/>
    </x:row>
    <x:row r="1038">
      <x:c r="A1038" s="136" t="str">
        <x:v>DrillCamp | Skirmish | Crossroads</x:v>
      </x:c>
      <x:c r="B1038" s="136" t="str">
        <x:v>Artillery | USA Spawnpoint_CR_USA_Arty_Base [map-55/016]</x:v>
      </x:c>
      <x:c r="C1038" s="136" t="str">
        <x:v>battery</x:v>
      </x:c>
      <x:c r="D1038" s="136" t="str">
        <x:v>USA</x:v>
      </x:c>
      <x:c r="E1038" s="136" t="str">
        <x:v>Spawnpoint_CR_USA_Arty_Base</x:v>
      </x:c>
      <x:c r="F1038" s="137" t="n">
        <x:v>2001.7381591796875</x:v>
      </x:c>
      <x:c r="G1038" s="137" t="n">
        <x:v>1382.0716552734375</x:v>
      </x:c>
      <x:c r="H1038" s="137" t="n">
        <x:v>64.24187469482422</x:v>
      </x:c>
      <x:c r="I1038" s="137" t="n">
        <x:v>934.0532314454305</x:v>
      </x:c>
      <x:c r="J1038" s="137" t="n">
        <x:v>362.34800917791534</x:v>
      </x:c>
      <x:c r="K1038" s="136" t="str">
        <x:v>map-55</x:v>
      </x:c>
      <x:c r="L1038" s="136" t="str">
        <x:v>DrillCamp | Skirmish | Crossroads||Artillery | USA Spawnpoint_CR_USA_Arty_Base [map-55/016]</x:v>
      </x:c>
      <x:c r="M1038" s="35"/>
      <x:c r="N1038" s="35"/>
      <x:c r="O1038" s="35"/>
      <x:c r="P1038" s="35"/>
      <x:c r="Q1038" s="35"/>
      <x:c r="R1038" s="35"/>
      <x:c r="S1038" s="35"/>
      <x:c r="T1038" s="35"/>
      <x:c r="U1038" s="35"/>
      <x:c r="V1038" s="35"/>
      <x:c r="W1038" s="35"/>
      <x:c r="X1038" s="35"/>
      <x:c r="Y1038" s="35"/>
      <x:c r="Z1038" s="35"/>
      <x:c r="AA1038" s="35"/>
    </x:row>
    <x:row r="1039">
      <x:c r="A1039" s="136" t="str">
        <x:v>DrillCamp | Skirmish | Crossroads</x:v>
      </x:c>
      <x:c r="B1039" s="136" t="str">
        <x:v>Spawn | USA Spawnpoint_CR_Base_USA_4thPA [map-55/017]</x:v>
      </x:c>
      <x:c r="C1039" s="136" t="str">
        <x:v>spawn</x:v>
      </x:c>
      <x:c r="D1039" s="136" t="str">
        <x:v>USA</x:v>
      </x:c>
      <x:c r="E1039" s="136" t="str">
        <x:v>Spawnpoint_CR_Base_USA_4thPA</x:v>
      </x:c>
      <x:c r="F1039" s="137" t="n">
        <x:v>2002.6466064453125</x:v>
      </x:c>
      <x:c r="G1039" s="137" t="n">
        <x:v>1393.3238525390625</x:v>
      </x:c>
      <x:c r="H1039" s="137" t="n">
        <x:v>64.24187469482422</x:v>
      </x:c>
      <x:c r="I1039" s="137" t="n">
        <x:v>935.6830867584735</x:v>
      </x:c>
      <x:c r="J1039" s="137" t="n">
        <x:v>341.9546463275766</x:v>
      </x:c>
      <x:c r="K1039" s="136" t="str">
        <x:v>map-55</x:v>
      </x:c>
      <x:c r="L1039" s="136" t="str">
        <x:v>DrillCamp | Skirmish | Crossroads||Spawn | USA Spawnpoint_CR_Base_USA_4thPA [map-55/017]</x:v>
      </x:c>
      <x:c r="M1039" s="35"/>
      <x:c r="N1039" s="35"/>
      <x:c r="O1039" s="35"/>
      <x:c r="P1039" s="35"/>
      <x:c r="Q1039" s="35"/>
      <x:c r="R1039" s="35"/>
      <x:c r="S1039" s="35"/>
      <x:c r="T1039" s="35"/>
      <x:c r="U1039" s="35"/>
      <x:c r="V1039" s="35"/>
      <x:c r="W1039" s="35"/>
      <x:c r="X1039" s="35"/>
      <x:c r="Y1039" s="35"/>
      <x:c r="Z1039" s="35"/>
      <x:c r="AA1039" s="35"/>
    </x:row>
    <x:row r="1040">
      <x:c r="A1040" s="136" t="str">
        <x:v>DrillCamp | Skirmish | Crossroads</x:v>
      </x:c>
      <x:c r="B1040" s="136" t="str">
        <x:v>Objective | Skirmish_2_VictorySequence [map-55/018]</x:v>
      </x:c>
      <x:c r="C1040" s="136" t="str">
        <x:v>objective</x:v>
      </x:c>
      <x:c r="D1040" s="136" t="str"/>
      <x:c r="E1040" s="136" t="str">
        <x:v>Skirmish_2_VictorySequence</x:v>
      </x:c>
      <x:c r="F1040" s="137" t="n">
        <x:v>2055.130615234375</x:v>
      </x:c>
      <x:c r="G1040" s="137" t="n">
        <x:v>971.4031372070312</x:v>
      </x:c>
      <x:c r="H1040" s="137" t="n">
        <x:v>65.54503631591797</x:v>
      </x:c>
      <x:c r="I1040" s="137" t="n">
        <x:v>1031.566110923363</x:v>
      </x:c>
      <x:c r="J1040" s="137" t="n">
        <x:v>1106.639270914335</x:v>
      </x:c>
      <x:c r="K1040" s="136" t="str">
        <x:v>map-55</x:v>
      </x:c>
      <x:c r="L1040" s="136" t="str">
        <x:v>DrillCamp | Skirmish | Crossroads||Objective | Skirmish_2_VictorySequence [map-55/018]</x:v>
      </x:c>
      <x:c r="M1040" s="35"/>
      <x:c r="N1040" s="35"/>
      <x:c r="O1040" s="35"/>
      <x:c r="P1040" s="35"/>
      <x:c r="Q1040" s="35"/>
      <x:c r="R1040" s="35"/>
      <x:c r="S1040" s="35"/>
      <x:c r="T1040" s="35"/>
      <x:c r="U1040" s="35"/>
      <x:c r="V1040" s="35"/>
      <x:c r="W1040" s="35"/>
      <x:c r="X1040" s="35"/>
      <x:c r="Y1040" s="35"/>
      <x:c r="Z1040" s="35"/>
      <x:c r="AA1040" s="35"/>
    </x:row>
    <x:row r="1041">
      <x:c r="A1041" s="136" t="str">
        <x:v>DrillCamp | Skirmish | Crossroads</x:v>
      </x:c>
      <x:c r="B1041" s="136" t="str">
        <x:v>Artillery | CSA Spawnpoint_CR_CSA_Arty_Brooks_Forward [map-55/019]</x:v>
      </x:c>
      <x:c r="C1041" s="136" t="str">
        <x:v>battery</x:v>
      </x:c>
      <x:c r="D1041" s="136" t="str">
        <x:v>CSA</x:v>
      </x:c>
      <x:c r="E1041" s="136" t="str">
        <x:v>Spawnpoint_CR_CSA_Arty_Brooks_Forward</x:v>
      </x:c>
      <x:c r="F1041" s="137" t="n">
        <x:v>1985.860107421875</x:v>
      </x:c>
      <x:c r="G1041" s="137" t="n">
        <x:v>878.6699829101562</x:v>
      </x:c>
      <x:c r="H1041" s="137" t="n">
        <x:v>60.86981201171875</x:v>
      </x:c>
      <x:c r="I1041" s="137" t="n">
        <x:v>906.0586427514518</x:v>
      </x:c>
      <x:c r="J1041" s="137" t="n">
        <x:v>1274.7078551374345</x:v>
      </x:c>
      <x:c r="K1041" s="136" t="str">
        <x:v>map-55</x:v>
      </x:c>
      <x:c r="L1041" s="136" t="str">
        <x:v>DrillCamp | Skirmish | Crossroads||Artillery | CSA Spawnpoint_CR_CSA_Arty_Brooks_Forward [map-55/019]</x:v>
      </x:c>
      <x:c r="M1041" s="35"/>
      <x:c r="N1041" s="35"/>
      <x:c r="O1041" s="35"/>
      <x:c r="P1041" s="35"/>
      <x:c r="Q1041" s="35"/>
      <x:c r="R1041" s="35"/>
      <x:c r="S1041" s="35"/>
      <x:c r="T1041" s="35"/>
      <x:c r="U1041" s="35"/>
      <x:c r="V1041" s="35"/>
      <x:c r="W1041" s="35"/>
      <x:c r="X1041" s="35"/>
      <x:c r="Y1041" s="35"/>
      <x:c r="Z1041" s="35"/>
      <x:c r="AA1041" s="35"/>
    </x:row>
    <x:row r="1042">
      <x:c r="A1042" s="136" t="str">
        <x:v>DrillCamp | Skirmish | Crossroads</x:v>
      </x:c>
      <x:c r="B1042" s="136" t="str">
        <x:v>Spawn | CSA Spawnpoint_CR_Base_CSA_8thFL1 [map-55/020]</x:v>
      </x:c>
      <x:c r="C1042" s="136" t="str">
        <x:v>spawn</x:v>
      </x:c>
      <x:c r="D1042" s="136" t="str">
        <x:v>CSA</x:v>
      </x:c>
      <x:c r="E1042" s="136" t="str">
        <x:v>Spawnpoint_CR_Base_CSA_8thFL1</x:v>
      </x:c>
      <x:c r="F1042" s="137" t="n">
        <x:v>1924.578369140625</x:v>
      </x:c>
      <x:c r="G1042" s="137" t="n">
        <x:v>621.1529541015625</x:v>
      </x:c>
      <x:c r="H1042" s="137" t="n">
        <x:v>55.77471160888672</x:v>
      </x:c>
      <x:c r="I1042" s="137" t="n">
        <x:v>795.3072883077631</x:v>
      </x:c>
      <x:c r="J1042" s="137" t="n">
        <x:v>1741.4289838789587</x:v>
      </x:c>
      <x:c r="K1042" s="136" t="str">
        <x:v>map-55</x:v>
      </x:c>
      <x:c r="L1042" s="136" t="str">
        <x:v>DrillCamp | Skirmish | Crossroads||Spawn | CSA Spawnpoint_CR_Base_CSA_8thFL1 [map-55/020]</x:v>
      </x:c>
      <x:c r="M1042" s="35"/>
      <x:c r="N1042" s="35"/>
      <x:c r="O1042" s="35"/>
      <x:c r="P1042" s="35"/>
      <x:c r="Q1042" s="35"/>
      <x:c r="R1042" s="35"/>
      <x:c r="S1042" s="35"/>
      <x:c r="T1042" s="35"/>
      <x:c r="U1042" s="35"/>
      <x:c r="V1042" s="35"/>
      <x:c r="W1042" s="35"/>
      <x:c r="X1042" s="35"/>
      <x:c r="Y1042" s="35"/>
      <x:c r="Z1042" s="35"/>
      <x:c r="AA1042" s="35"/>
    </x:row>
    <x:row r="1043">
      <x:c r="A1043" s="136" t="str">
        <x:v>DrillCamp | Skirmish | Crossroads</x:v>
      </x:c>
      <x:c r="B1043" s="136" t="str">
        <x:v>Spawn | CSA Spawnpoint_CR_Defend_CSA_8thFL1 [map-55/021]</x:v>
      </x:c>
      <x:c r="C1043" s="136" t="str">
        <x:v>spawn</x:v>
      </x:c>
      <x:c r="D1043" s="136" t="str">
        <x:v>CSA</x:v>
      </x:c>
      <x:c r="E1043" s="136" t="str">
        <x:v>Spawnpoint_CR_Defend_CSA_8thFL1</x:v>
      </x:c>
      <x:c r="F1043" s="137" t="n">
        <x:v>2039.201171875</x:v>
      </x:c>
      <x:c r="G1043" s="137" t="n">
        <x:v>960.3063354492188</x:v>
      </x:c>
      <x:c r="H1043" s="137" t="n">
        <x:v>65.02824401855469</x:v>
      </x:c>
      <x:c r="I1043" s="137" t="n">
        <x:v>1002.6879990549832</x:v>
      </x:c>
      <x:c r="J1043" s="137" t="n">
        <x:v>1126.750996596277</x:v>
      </x:c>
      <x:c r="K1043" s="136" t="str">
        <x:v>map-55</x:v>
      </x:c>
      <x:c r="L1043" s="136" t="str">
        <x:v>DrillCamp | Skirmish | Crossroads||Spawn | CSA Spawnpoint_CR_Defend_CSA_8thFL1 [map-55/021]</x:v>
      </x:c>
      <x:c r="M1043" s="35"/>
      <x:c r="N1043" s="35"/>
      <x:c r="O1043" s="35"/>
      <x:c r="P1043" s="35"/>
      <x:c r="Q1043" s="35"/>
      <x:c r="R1043" s="35"/>
      <x:c r="S1043" s="35"/>
      <x:c r="T1043" s="35"/>
      <x:c r="U1043" s="35"/>
      <x:c r="V1043" s="35"/>
      <x:c r="W1043" s="35"/>
      <x:c r="X1043" s="35"/>
      <x:c r="Y1043" s="35"/>
      <x:c r="Z1043" s="35"/>
      <x:c r="AA1043" s="35"/>
    </x:row>
    <x:row r="1044">
      <x:c r="A1044" s="136" t="str">
        <x:v>DrillCamp | Skirmish | Crossroads</x:v>
      </x:c>
      <x:c r="B1044" s="136" t="str">
        <x:v>Spawn | USA Spawnpoint_CR_Base_USA_4thRI1 [map-55/022]</x:v>
      </x:c>
      <x:c r="C1044" s="136" t="str">
        <x:v>spawn</x:v>
      </x:c>
      <x:c r="D1044" s="136" t="str">
        <x:v>USA</x:v>
      </x:c>
      <x:c r="E1044" s="136" t="str">
        <x:v>Spawnpoint_CR_Base_USA_4thRI1</x:v>
      </x:c>
      <x:c r="F1044" s="137" t="n">
        <x:v>2033.657470703125</x:v>
      </x:c>
      <x:c r="G1044" s="137" t="n">
        <x:v>1382.1951904296875</x:v>
      </x:c>
      <x:c r="H1044" s="137" t="n">
        <x:v>63.39105987548828</x:v>
      </x:c>
      <x:c r="I1044" s="137" t="n">
        <x:v>991.9544946305098</x:v>
      </x:c>
      <x:c r="J1044" s="137" t="n">
        <x:v>362.12411537240274</x:v>
      </x:c>
      <x:c r="K1044" s="136" t="str">
        <x:v>map-55</x:v>
      </x:c>
      <x:c r="L1044" s="136" t="str">
        <x:v>DrillCamp | Skirmish | Crossroads||Spawn | USA Spawnpoint_CR_Base_USA_4thRI1 [map-55/022]</x:v>
      </x:c>
      <x:c r="M1044" s="35"/>
      <x:c r="N1044" s="35"/>
      <x:c r="O1044" s="35"/>
      <x:c r="P1044" s="35"/>
      <x:c r="Q1044" s="35"/>
      <x:c r="R1044" s="35"/>
      <x:c r="S1044" s="35"/>
      <x:c r="T1044" s="35"/>
      <x:c r="U1044" s="35"/>
      <x:c r="V1044" s="35"/>
      <x:c r="W1044" s="35"/>
      <x:c r="X1044" s="35"/>
      <x:c r="Y1044" s="35"/>
      <x:c r="Z1044" s="35"/>
      <x:c r="AA1044" s="35"/>
    </x:row>
    <x:row r="1045">
      <x:c r="A1045" s="136" t="str">
        <x:v>DrillCamp | Skirmish | Crossroads</x:v>
      </x:c>
      <x:c r="B1045" s="136" t="str">
        <x:v>Spawn | USA Spawnpoint_CR_Base_USA_1stMN2 [map-55/023]</x:v>
      </x:c>
      <x:c r="C1045" s="136" t="str">
        <x:v>spawn</x:v>
      </x:c>
      <x:c r="D1045" s="136" t="str">
        <x:v>USA</x:v>
      </x:c>
      <x:c r="E1045" s="136" t="str">
        <x:v>Spawnpoint_CR_Base_USA_1stMN2</x:v>
      </x:c>
      <x:c r="F1045" s="137" t="n">
        <x:v>2027.2542724609375</x:v>
      </x:c>
      <x:c r="G1045" s="137" t="n">
        <x:v>1402.8668212890625</x:v>
      </x:c>
      <x:c r="H1045" s="137" t="n">
        <x:v>63.54175567626953</x:v>
      </x:c>
      <x:c r="I1045" s="137" t="n">
        <x:v>980.3059427872294</x:v>
      </x:c>
      <x:c r="J1045" s="137" t="n">
        <x:v>324.6590710906645</x:v>
      </x:c>
      <x:c r="K1045" s="136" t="str">
        <x:v>map-55</x:v>
      </x:c>
      <x:c r="L1045" s="136" t="str">
        <x:v>DrillCamp | Skirmish | Crossroads||Spawn | USA Spawnpoint_CR_Base_USA_1stMN2 [map-55/023]</x:v>
      </x:c>
      <x:c r="M1045" s="35"/>
      <x:c r="N1045" s="35"/>
      <x:c r="O1045" s="35"/>
      <x:c r="P1045" s="35"/>
      <x:c r="Q1045" s="35"/>
      <x:c r="R1045" s="35"/>
      <x:c r="S1045" s="35"/>
      <x:c r="T1045" s="35"/>
      <x:c r="U1045" s="35"/>
      <x:c r="V1045" s="35"/>
      <x:c r="W1045" s="35"/>
      <x:c r="X1045" s="35"/>
      <x:c r="Y1045" s="35"/>
      <x:c r="Z1045" s="35"/>
      <x:c r="AA1045" s="35"/>
    </x:row>
    <x:row r="1046">
      <x:c r="A1046" s="136" t="str">
        <x:v>DrillCamp | Skirmish | Crossroads</x:v>
      </x:c>
      <x:c r="B1046" s="136" t="str">
        <x:v>Gun | 10-pounder Parrott · Entity-1167 [map-55/024]</x:v>
      </x:c>
      <x:c r="C1046" s="136" t="str">
        <x:v>gun_spawn</x:v>
      </x:c>
      <x:c r="D1046" s="136" t="str"/>
      <x:c r="E1046" s="136" t="str">
        <x:v>10-pounder Parrott · Entity-1167</x:v>
      </x:c>
      <x:c r="F1046" s="137" t="n">
        <x:v>1935.2315673828125</x:v>
      </x:c>
      <x:c r="G1046" s="137" t="n">
        <x:v>1169.826904296875</x:v>
      </x:c>
      <x:c r="H1046" s="137" t="n">
        <x:v>63.74356460571289</x:v>
      </x:c>
      <x:c r="I1046" s="137" t="n">
        <x:v>813.7513447089789</x:v>
      </x:c>
      <x:c r="J1046" s="137" t="n">
        <x:v>747.0181422698643</x:v>
      </x:c>
      <x:c r="K1046" s="136" t="str">
        <x:v>map-55</x:v>
      </x:c>
      <x:c r="L1046" s="136" t="str">
        <x:v>DrillCamp | Skirmish | Crossroads||Gun | 10-pounder Parrott · Entity-1167 [map-55/024]</x:v>
      </x:c>
      <x:c r="M1046" s="35"/>
      <x:c r="N1046" s="35"/>
      <x:c r="O1046" s="35"/>
      <x:c r="P1046" s="35"/>
      <x:c r="Q1046" s="35"/>
      <x:c r="R1046" s="35"/>
      <x:c r="S1046" s="35"/>
      <x:c r="T1046" s="35"/>
      <x:c r="U1046" s="35"/>
      <x:c r="V1046" s="35"/>
      <x:c r="W1046" s="35"/>
      <x:c r="X1046" s="35"/>
      <x:c r="Y1046" s="35"/>
      <x:c r="Z1046" s="35"/>
      <x:c r="AA1046" s="35"/>
    </x:row>
    <x:row r="1047">
      <x:c r="A1047" s="136" t="str">
        <x:v>DrillCamp | Skirmish | Crossroads</x:v>
      </x:c>
      <x:c r="B1047" s="136" t="str">
        <x:v>Gun | 3-inch Ordnance · Entity-1194 [map-55/025]</x:v>
      </x:c>
      <x:c r="C1047" s="136" t="str">
        <x:v>gun_spawn</x:v>
      </x:c>
      <x:c r="D1047" s="136" t="str"/>
      <x:c r="E1047" s="136" t="str">
        <x:v>3-inch Ordnance · Entity-1194</x:v>
      </x:c>
      <x:c r="F1047" s="137" t="n">
        <x:v>1891.081298828125</x:v>
      </x:c>
      <x:c r="G1047" s="137" t="n">
        <x:v>841.49609375</x:v>
      </x:c>
      <x:c r="H1047" s="137" t="n">
        <x:v>58.32377243041992</x:v>
      </x:c>
      <x:c r="I1047" s="137" t="n">
        <x:v>734.1900629813154</x:v>
      </x:c>
      <x:c r="J1047" s="137" t="n">
        <x:v>1342.0814171453906</x:v>
      </x:c>
      <x:c r="K1047" s="136" t="str">
        <x:v>map-55</x:v>
      </x:c>
      <x:c r="L1047" s="136" t="str">
        <x:v>DrillCamp | Skirmish | Crossroads||Gun | 3-inch Ordnance · Entity-1194 [map-55/025]</x:v>
      </x:c>
      <x:c r="M1047" s="35"/>
      <x:c r="N1047" s="35"/>
      <x:c r="O1047" s="35"/>
      <x:c r="P1047" s="35"/>
      <x:c r="Q1047" s="35"/>
      <x:c r="R1047" s="35"/>
      <x:c r="S1047" s="35"/>
      <x:c r="T1047" s="35"/>
      <x:c r="U1047" s="35"/>
      <x:c r="V1047" s="35"/>
      <x:c r="W1047" s="35"/>
      <x:c r="X1047" s="35"/>
      <x:c r="Y1047" s="35"/>
      <x:c r="Z1047" s="35"/>
      <x:c r="AA1047" s="35"/>
    </x:row>
    <x:row r="1048">
      <x:c r="A1048" s="136" t="str">
        <x:v>DrillCamp | Skirmish | Crossroads</x:v>
      </x:c>
      <x:c r="B1048" s="136" t="str">
        <x:v>Gun | 12-pounder Napoleon (USA) · Entity-1168 [map-55/026]</x:v>
      </x:c>
      <x:c r="C1048" s="136" t="str">
        <x:v>gun_spawn</x:v>
      </x:c>
      <x:c r="D1048" s="136" t="str"/>
      <x:c r="E1048" s="136" t="str">
        <x:v>12-pounder Napoleon (USA) · Entity-1168</x:v>
      </x:c>
      <x:c r="F1048" s="137" t="n">
        <x:v>1918.000244140625</x:v>
      </x:c>
      <x:c r="G1048" s="137" t="n">
        <x:v>1165.881591796875</x:v>
      </x:c>
      <x:c r="H1048" s="137" t="n">
        <x:v>63.65140151977539</x:v>
      </x:c>
      <x:c r="I1048" s="137" t="n">
        <x:v>782.5001493350399</x:v>
      </x:c>
      <x:c r="J1048" s="137" t="n">
        <x:v>754.16858475422</x:v>
      </x:c>
      <x:c r="K1048" s="136" t="str">
        <x:v>map-55</x:v>
      </x:c>
      <x:c r="L1048" s="136" t="str">
        <x:v>DrillCamp | Skirmish | Crossroads||Gun | 12-pounder Napoleon (USA) · Entity-1168 [map-55/026]</x:v>
      </x:c>
      <x:c r="M1048" s="35"/>
      <x:c r="N1048" s="35"/>
      <x:c r="O1048" s="35"/>
      <x:c r="P1048" s="35"/>
      <x:c r="Q1048" s="35"/>
      <x:c r="R1048" s="35"/>
      <x:c r="S1048" s="35"/>
      <x:c r="T1048" s="35"/>
      <x:c r="U1048" s="35"/>
      <x:c r="V1048" s="35"/>
      <x:c r="W1048" s="35"/>
      <x:c r="X1048" s="35"/>
      <x:c r="Y1048" s="35"/>
      <x:c r="Z1048" s="35"/>
      <x:c r="AA1048" s="35"/>
    </x:row>
    <x:row r="1049">
      <x:c r="A1049" s="136" t="str">
        <x:v>DrillCamp | Skirmish | Crossroads</x:v>
      </x:c>
      <x:c r="B1049" s="136" t="str">
        <x:v>Gun | 3-inch Ordnance · Entity-1178 [map-55/027]</x:v>
      </x:c>
      <x:c r="C1049" s="136" t="str">
        <x:v>gun_spawn</x:v>
      </x:c>
      <x:c r="D1049" s="136" t="str"/>
      <x:c r="E1049" s="136" t="str">
        <x:v>3-inch Ordnance · Entity-1178</x:v>
      </x:c>
      <x:c r="F1049" s="137" t="n">
        <x:v>2005.2615966796875</x:v>
      </x:c>
      <x:c r="G1049" s="137" t="n">
        <x:v>1118.53955078125</x:v>
      </x:c>
      <x:c r="H1049" s="137" t="n">
        <x:v>66.7530288696289</x:v>
      </x:c>
      <x:c r="I1049" s="137" t="n">
        <x:v>940.8677775455096</x:v>
      </x:c>
      <x:c r="J1049" s="137" t="n">
        <x:v>839.970797221354</x:v>
      </x:c>
      <x:c r="K1049" s="136" t="str">
        <x:v>map-55</x:v>
      </x:c>
      <x:c r="L1049" s="136" t="str">
        <x:v>DrillCamp | Skirmish | Crossroads||Gun | 3-inch Ordnance · Entity-1178 [map-55/027]</x:v>
      </x:c>
      <x:c r="M1049" s="35"/>
      <x:c r="N1049" s="35"/>
      <x:c r="O1049" s="35"/>
      <x:c r="P1049" s="35"/>
      <x:c r="Q1049" s="35"/>
      <x:c r="R1049" s="35"/>
      <x:c r="S1049" s="35"/>
      <x:c r="T1049" s="35"/>
      <x:c r="U1049" s="35"/>
      <x:c r="V1049" s="35"/>
      <x:c r="W1049" s="35"/>
      <x:c r="X1049" s="35"/>
      <x:c r="Y1049" s="35"/>
      <x:c r="Z1049" s="35"/>
      <x:c r="AA1049" s="35"/>
    </x:row>
    <x:row r="1050">
      <x:c r="A1050" s="136" t="str">
        <x:v>DrillCamp | Skirmish | Crossroads</x:v>
      </x:c>
      <x:c r="B1050" s="136" t="str">
        <x:v>Gun | 12-pounder Napoleon (CSA) · Entity-1192 [map-55/028]</x:v>
      </x:c>
      <x:c r="C1050" s="136" t="str">
        <x:v>gun_spawn</x:v>
      </x:c>
      <x:c r="D1050" s="136" t="str"/>
      <x:c r="E1050" s="136" t="str">
        <x:v>12-pounder Napoleon (CSA) · Entity-1192</x:v>
      </x:c>
      <x:c r="F1050" s="137" t="n">
        <x:v>1905.832275390625</x:v>
      </x:c>
      <x:c r="G1050" s="137" t="n">
        <x:v>841.9755859375</x:v>
      </x:c>
      <x:c r="H1050" s="137" t="n">
        <x:v>57.3314208984375</x:v>
      </x:c>
      <x:c r="I1050" s="137" t="n">
        <x:v>760.9474863538532</x:v>
      </x:c>
      <x:c r="J1050" s="137" t="n">
        <x:v>1341.2123905959306</x:v>
      </x:c>
      <x:c r="K1050" s="136" t="str">
        <x:v>map-55</x:v>
      </x:c>
      <x:c r="L1050" s="136" t="str">
        <x:v>DrillCamp | Skirmish | Crossroads||Gun | 12-pounder Napoleon (CSA) · Entity-1192 [map-55/028]</x:v>
      </x:c>
      <x:c r="M1050" s="35"/>
      <x:c r="N1050" s="35"/>
      <x:c r="O1050" s="35"/>
      <x:c r="P1050" s="35"/>
      <x:c r="Q1050" s="35"/>
      <x:c r="R1050" s="35"/>
      <x:c r="S1050" s="35"/>
      <x:c r="T1050" s="35"/>
      <x:c r="U1050" s="35"/>
      <x:c r="V1050" s="35"/>
      <x:c r="W1050" s="35"/>
      <x:c r="X1050" s="35"/>
      <x:c r="Y1050" s="35"/>
      <x:c r="Z1050" s="35"/>
      <x:c r="AA1050" s="35"/>
    </x:row>
    <x:row r="1051">
      <x:c r="A1051" s="136" t="str">
        <x:v>DrillCamp | Skirmish | Crossroads</x:v>
      </x:c>
      <x:c r="B1051" s="136" t="str">
        <x:v>Gun | 3-inch Ordnance · Entity-1200 [map-55/029]</x:v>
      </x:c>
      <x:c r="C1051" s="136" t="str">
        <x:v>gun_spawn</x:v>
      </x:c>
      <x:c r="D1051" s="136" t="str"/>
      <x:c r="E1051" s="136" t="str">
        <x:v>3-inch Ordnance · Entity-1200</x:v>
      </x:c>
      <x:c r="F1051" s="137" t="n">
        <x:v>1868.8162841796875</x:v>
      </x:c>
      <x:c r="G1051" s="137" t="n">
        <x:v>841.1748046875</x:v>
      </x:c>
      <x:c r="H1051" s="137" t="n">
        <x:v>60.07341384887695</x:v>
      </x:c>
      <x:c r="I1051" s="137" t="n">
        <x:v>693.8019604834487</x:v>
      </x:c>
      <x:c r="J1051" s="137" t="n">
        <x:v>1342.663718030874</x:v>
      </x:c>
      <x:c r="K1051" s="136" t="str">
        <x:v>map-55</x:v>
      </x:c>
      <x:c r="L1051" s="136" t="str">
        <x:v>DrillCamp | Skirmish | Crossroads||Gun | 3-inch Ordnance · Entity-1200 [map-55/029]</x:v>
      </x:c>
      <x:c r="M1051" s="35"/>
      <x:c r="N1051" s="35"/>
      <x:c r="O1051" s="35"/>
      <x:c r="P1051" s="35"/>
      <x:c r="Q1051" s="35"/>
      <x:c r="R1051" s="35"/>
      <x:c r="S1051" s="35"/>
      <x:c r="T1051" s="35"/>
      <x:c r="U1051" s="35"/>
      <x:c r="V1051" s="35"/>
      <x:c r="W1051" s="35"/>
      <x:c r="X1051" s="35"/>
      <x:c r="Y1051" s="35"/>
      <x:c r="Z1051" s="35"/>
      <x:c r="AA1051" s="35"/>
    </x:row>
    <x:row r="1052">
      <x:c r="A1052" s="136" t="str">
        <x:v>DrillCamp | Skirmish | Crossroads</x:v>
      </x:c>
      <x:c r="B1052" s="136" t="str">
        <x:v>Gun | 12-pounder Napoleon (USA) · Entity-1170 [map-55/030]</x:v>
      </x:c>
      <x:c r="C1052" s="136" t="str">
        <x:v>gun_spawn</x:v>
      </x:c>
      <x:c r="D1052" s="136" t="str"/>
      <x:c r="E1052" s="136" t="str">
        <x:v>12-pounder Napoleon (USA) · Entity-1170</x:v>
      </x:c>
      <x:c r="F1052" s="137" t="n">
        <x:v>1908.512939453125</x:v>
      </x:c>
      <x:c r="G1052" s="137" t="n">
        <x:v>1164.037353515625</x:v>
      </x:c>
      <x:c r="H1052" s="137" t="n">
        <x:v>63.69818115234375</x:v>
      </x:c>
      <x:c r="I1052" s="137" t="n">
        <x:v>765.2931896072788</x:v>
      </x:c>
      <x:c r="J1052" s="137" t="n">
        <x:v>757.5110626333551</x:v>
      </x:c>
      <x:c r="K1052" s="136" t="str">
        <x:v>map-55</x:v>
      </x:c>
      <x:c r="L1052" s="136" t="str">
        <x:v>DrillCamp | Skirmish | Crossroads||Gun | 12-pounder Napoleon (USA) · Entity-1170 [map-55/030]</x:v>
      </x:c>
      <x:c r="M1052" s="35"/>
      <x:c r="N1052" s="35"/>
      <x:c r="O1052" s="35"/>
      <x:c r="P1052" s="35"/>
      <x:c r="Q1052" s="35"/>
      <x:c r="R1052" s="35"/>
      <x:c r="S1052" s="35"/>
      <x:c r="T1052" s="35"/>
      <x:c r="U1052" s="35"/>
      <x:c r="V1052" s="35"/>
      <x:c r="W1052" s="35"/>
      <x:c r="X1052" s="35"/>
      <x:c r="Y1052" s="35"/>
      <x:c r="Z1052" s="35"/>
      <x:c r="AA1052" s="35"/>
    </x:row>
    <x:row r="1053">
      <x:c r="A1053" s="136" t="str">
        <x:v>DrillCamp | Skirmish | Crossroads</x:v>
      </x:c>
      <x:c r="B1053" s="136" t="str">
        <x:v>Gun | 12-pounder Napoleon (USA) · Entity-1179 [map-55/031]</x:v>
      </x:c>
      <x:c r="C1053" s="136" t="str">
        <x:v>gun_spawn</x:v>
      </x:c>
      <x:c r="D1053" s="136" t="str"/>
      <x:c r="E1053" s="136" t="str">
        <x:v>12-pounder Napoleon (USA) · Entity-1179</x:v>
      </x:c>
      <x:c r="F1053" s="137" t="n">
        <x:v>1997.4625244140625</x:v>
      </x:c>
      <x:c r="G1053" s="137" t="n">
        <x:v>1121.0003662109375</x:v>
      </x:c>
      <x:c r="H1053" s="137" t="n">
        <x:v>66.06243133544922</x:v>
      </x:c>
      <x:c r="I1053" s="137" t="n">
        <x:v>926.7163515395591</x:v>
      </x:c>
      <x:c r="J1053" s="137" t="n">
        <x:v>835.5108414651</x:v>
      </x:c>
      <x:c r="K1053" s="136" t="str">
        <x:v>map-55</x:v>
      </x:c>
      <x:c r="L1053" s="136" t="str">
        <x:v>DrillCamp | Skirmish | Crossroads||Gun | 12-pounder Napoleon (USA) · Entity-1179 [map-55/031]</x:v>
      </x:c>
      <x:c r="M1053" s="35"/>
      <x:c r="N1053" s="35"/>
      <x:c r="O1053" s="35"/>
      <x:c r="P1053" s="35"/>
      <x:c r="Q1053" s="35"/>
      <x:c r="R1053" s="35"/>
      <x:c r="S1053" s="35"/>
      <x:c r="T1053" s="35"/>
      <x:c r="U1053" s="35"/>
      <x:c r="V1053" s="35"/>
      <x:c r="W1053" s="35"/>
      <x:c r="X1053" s="35"/>
      <x:c r="Y1053" s="35"/>
      <x:c r="Z1053" s="35"/>
      <x:c r="AA1053" s="35"/>
    </x:row>
    <x:row r="1054">
      <x:c r="A1054" s="136" t="str">
        <x:v>DrillCamp | Skirmish | Crossroads</x:v>
      </x:c>
      <x:c r="B1054" s="136" t="str">
        <x:v>Gun | 10-pounder Parrott · Entity-1165 [map-55/032]</x:v>
      </x:c>
      <x:c r="C1054" s="136" t="str">
        <x:v>gun_spawn</x:v>
      </x:c>
      <x:c r="D1054" s="136" t="str"/>
      <x:c r="E1054" s="136" t="str">
        <x:v>10-pounder Parrott · Entity-1165</x:v>
      </x:c>
      <x:c r="F1054" s="137" t="n">
        <x:v>1942.463134765625</x:v>
      </x:c>
      <x:c r="G1054" s="137" t="n">
        <x:v>1171.399658203125</x:v>
      </x:c>
      <x:c r="H1054" s="137" t="n">
        <x:v>63.81583023071289</x:v>
      </x:c>
      <x:c r="I1054" s="137" t="n">
        <x:v>826.8668447671668</x:v>
      </x:c>
      <x:c r="J1054" s="137" t="n">
        <x:v>744.1676997894051</x:v>
      </x:c>
      <x:c r="K1054" s="136" t="str">
        <x:v>map-55</x:v>
      </x:c>
      <x:c r="L1054" s="136" t="str">
        <x:v>DrillCamp | Skirmish | Crossroads||Gun | 10-pounder Parrott · Entity-1165 [map-55/032]</x:v>
      </x:c>
      <x:c r="M1054" s="35"/>
      <x:c r="N1054" s="35"/>
      <x:c r="O1054" s="35"/>
      <x:c r="P1054" s="35"/>
      <x:c r="Q1054" s="35"/>
      <x:c r="R1054" s="35"/>
      <x:c r="S1054" s="35"/>
      <x:c r="T1054" s="35"/>
      <x:c r="U1054" s="35"/>
      <x:c r="V1054" s="35"/>
      <x:c r="W1054" s="35"/>
      <x:c r="X1054" s="35"/>
      <x:c r="Y1054" s="35"/>
      <x:c r="Z1054" s="35"/>
      <x:c r="AA1054" s="35"/>
    </x:row>
    <x:row r="1055">
      <x:c r="A1055" s="136" t="str">
        <x:v>DrillCamp | Skirmish | Crossroads</x:v>
      </x:c>
      <x:c r="B1055" s="136" t="str">
        <x:v>Gun | 12-pounder Napoleon (USA) · Entity-1169 [map-55/033]</x:v>
      </x:c>
      <x:c r="C1055" s="136" t="str">
        <x:v>gun_spawn</x:v>
      </x:c>
      <x:c r="D1055" s="136" t="str"/>
      <x:c r="E1055" s="136" t="str">
        <x:v>12-pounder Napoleon (USA) · Entity-1169</x:v>
      </x:c>
      <x:c r="F1055" s="137" t="n">
        <x:v>1927.2706298828125</x:v>
      </x:c>
      <x:c r="G1055" s="137" t="n">
        <x:v>1168.0015869140625</x:v>
      </x:c>
      <x:c r="H1055" s="137" t="n">
        <x:v>63.73185348510742</x:v>
      </x:c>
      <x:c r="I1055" s="137" t="n">
        <x:v>799.3131765750176</x:v>
      </x:c>
      <x:c r="J1055" s="137" t="n">
        <x:v>750.3263281135701</x:v>
      </x:c>
      <x:c r="K1055" s="136" t="str">
        <x:v>map-55</x:v>
      </x:c>
      <x:c r="L1055" s="136" t="str">
        <x:v>DrillCamp | Skirmish | Crossroads||Gun | 12-pounder Napoleon (USA) · Entity-1169 [map-55/033]</x:v>
      </x:c>
      <x:c r="M1055" s="35"/>
      <x:c r="N1055" s="35"/>
      <x:c r="O1055" s="35"/>
      <x:c r="P1055" s="35"/>
      <x:c r="Q1055" s="35"/>
      <x:c r="R1055" s="35"/>
      <x:c r="S1055" s="35"/>
      <x:c r="T1055" s="35"/>
      <x:c r="U1055" s="35"/>
      <x:c r="V1055" s="35"/>
      <x:c r="W1055" s="35"/>
      <x:c r="X1055" s="35"/>
      <x:c r="Y1055" s="35"/>
      <x:c r="Z1055" s="35"/>
      <x:c r="AA1055" s="35"/>
    </x:row>
    <x:row r="1056">
      <x:c r="A1056" s="136" t="str">
        <x:v>DrillCamp | Skirmish | Crossroads</x:v>
      </x:c>
      <x:c r="B1056" s="136" t="str">
        <x:v>Gun | 12-pounder Napoleon (CSA) · Entity-1185 [map-55/034]</x:v>
      </x:c>
      <x:c r="C1056" s="136" t="str">
        <x:v>gun_spawn</x:v>
      </x:c>
      <x:c r="D1056" s="136" t="str"/>
      <x:c r="E1056" s="136" t="str">
        <x:v>12-pounder Napoleon (CSA) · Entity-1185</x:v>
      </x:c>
      <x:c r="F1056" s="137" t="n">
        <x:v>1983.1351318359375</x:v>
      </x:c>
      <x:c r="G1056" s="137" t="n">
        <x:v>918.5458984375</x:v>
      </x:c>
      <x:c r="H1056" s="137" t="n">
        <x:v>62.9734001159668</x:v>
      </x:c>
      <x:c r="I1056" s="137" t="n">
        <x:v>901.051538542889</x:v>
      </x:c>
      <x:c r="J1056" s="137" t="n">
        <x:v>1202.4371692312352</x:v>
      </x:c>
      <x:c r="K1056" s="136" t="str">
        <x:v>map-55</x:v>
      </x:c>
      <x:c r="L1056" s="136" t="str">
        <x:v>DrillCamp | Skirmish | Crossroads||Gun | 12-pounder Napoleon (CSA) · Entity-1185 [map-55/034]</x:v>
      </x:c>
      <x:c r="M1056" s="35"/>
      <x:c r="N1056" s="35"/>
      <x:c r="O1056" s="35"/>
      <x:c r="P1056" s="35"/>
      <x:c r="Q1056" s="35"/>
      <x:c r="R1056" s="35"/>
      <x:c r="S1056" s="35"/>
      <x:c r="T1056" s="35"/>
      <x:c r="U1056" s="35"/>
      <x:c r="V1056" s="35"/>
      <x:c r="W1056" s="35"/>
      <x:c r="X1056" s="35"/>
      <x:c r="Y1056" s="35"/>
      <x:c r="Z1056" s="35"/>
      <x:c r="AA1056" s="35"/>
    </x:row>
    <x:row r="1057">
      <x:c r="A1057" s="136" t="str">
        <x:v>DrillCamp | Skirmish | Crossroads</x:v>
      </x:c>
      <x:c r="B1057" s="136" t="str">
        <x:v>Gun | 12-pounder Napoleon (CSA) · Entity-1199 [map-55/035]</x:v>
      </x:c>
      <x:c r="C1057" s="136" t="str">
        <x:v>gun_spawn</x:v>
      </x:c>
      <x:c r="D1057" s="136" t="str"/>
      <x:c r="E1057" s="136" t="str">
        <x:v>12-pounder Napoleon (CSA) · Entity-1199</x:v>
      </x:c>
      <x:c r="F1057" s="137" t="n">
        <x:v>1875.8258056640625</x:v>
      </x:c>
      <x:c r="G1057" s="137" t="n">
        <x:v>841.62744140625</x:v>
      </x:c>
      <x:c r="H1057" s="137" t="n">
        <x:v>59.73225402832031</x:v>
      </x:c>
      <x:c r="I1057" s="137" t="n">
        <x:v>706.5164685905761</x:v>
      </x:c>
      <x:c r="J1057" s="137" t="n">
        <x:v>1341.8433640478297</x:v>
      </x:c>
      <x:c r="K1057" s="136" t="str">
        <x:v>map-55</x:v>
      </x:c>
      <x:c r="L1057" s="136" t="str">
        <x:v>DrillCamp | Skirmish | Crossroads||Gun | 12-pounder Napoleon (CSA) · Entity-1199 [map-55/035]</x:v>
      </x:c>
      <x:c r="M1057" s="35"/>
      <x:c r="N1057" s="35"/>
      <x:c r="O1057" s="35"/>
      <x:c r="P1057" s="35"/>
      <x:c r="Q1057" s="35"/>
      <x:c r="R1057" s="35"/>
      <x:c r="S1057" s="35"/>
      <x:c r="T1057" s="35"/>
      <x:c r="U1057" s="35"/>
      <x:c r="V1057" s="35"/>
      <x:c r="W1057" s="35"/>
      <x:c r="X1057" s="35"/>
      <x:c r="Y1057" s="35"/>
      <x:c r="Z1057" s="35"/>
      <x:c r="AA1057" s="35"/>
    </x:row>
    <x:row r="1058">
      <x:c r="A1058" s="136" t="str">
        <x:v>DrillCamp | Skirmish | Crossroads</x:v>
      </x:c>
      <x:c r="B1058" s="136" t="str">
        <x:v>Gun | 12-pounder Napoleon (CSA) · Entity-1193 [map-55/036]</x:v>
      </x:c>
      <x:c r="C1058" s="136" t="str">
        <x:v>gun_spawn</x:v>
      </x:c>
      <x:c r="D1058" s="136" t="str"/>
      <x:c r="E1058" s="136" t="str">
        <x:v>12-pounder Napoleon (CSA) · Entity-1193</x:v>
      </x:c>
      <x:c r="F1058" s="137" t="n">
        <x:v>1898.0909423828125</x:v>
      </x:c>
      <x:c r="G1058" s="137" t="n">
        <x:v>841.94873046875</x:v>
      </x:c>
      <x:c r="H1058" s="137" t="n">
        <x:v>57.679100036621094</x:v>
      </x:c>
      <x:c r="I1058" s="137" t="n">
        <x:v>746.9047925233409</x:v>
      </x:c>
      <x:c r="J1058" s="137" t="n">
        <x:v>1341.2610631623463</x:v>
      </x:c>
      <x:c r="K1058" s="136" t="str">
        <x:v>map-55</x:v>
      </x:c>
      <x:c r="L1058" s="136" t="str">
        <x:v>DrillCamp | Skirmish | Crossroads||Gun | 12-pounder Napoleon (CSA) · Entity-1193 [map-55/036]</x:v>
      </x:c>
      <x:c r="M1058" s="35"/>
      <x:c r="N1058" s="35"/>
      <x:c r="O1058" s="35"/>
      <x:c r="P1058" s="35"/>
      <x:c r="Q1058" s="35"/>
      <x:c r="R1058" s="35"/>
      <x:c r="S1058" s="35"/>
      <x:c r="T1058" s="35"/>
      <x:c r="U1058" s="35"/>
      <x:c r="V1058" s="35"/>
      <x:c r="W1058" s="35"/>
      <x:c r="X1058" s="35"/>
      <x:c r="Y1058" s="35"/>
      <x:c r="Z1058" s="35"/>
      <x:c r="AA1058" s="35"/>
    </x:row>
    <x:row r="1059">
      <x:c r="A1059" s="136" t="str">
        <x:v>DrillCamp | Skirmish | Crossroads</x:v>
      </x:c>
      <x:c r="B1059" s="136" t="str">
        <x:v>Gun | 3-inch Ordnance · Entity-1177 [map-55/037]</x:v>
      </x:c>
      <x:c r="C1059" s="136" t="str">
        <x:v>gun_spawn</x:v>
      </x:c>
      <x:c r="D1059" s="136" t="str"/>
      <x:c r="E1059" s="136" t="str">
        <x:v>3-inch Ordnance · Entity-1177</x:v>
      </x:c>
      <x:c r="F1059" s="137" t="n">
        <x:v>2012.2984619140625</x:v>
      </x:c>
      <x:c r="G1059" s="137" t="n">
        <x:v>1116.2279052734375</x:v>
      </x:c>
      <x:c r="H1059" s="137" t="n">
        <x:v>67.46903991699219</x:v>
      </x:c>
      <x:c r="I1059" s="137" t="n">
        <x:v>953.6363245837438</x:v>
      </x:c>
      <x:c r="J1059" s="137" t="n">
        <x:v>844.1603989950621</x:v>
      </x:c>
      <x:c r="K1059" s="136" t="str">
        <x:v>map-55</x:v>
      </x:c>
      <x:c r="L1059" s="136" t="str">
        <x:v>DrillCamp | Skirmish | Crossroads||Gun | 3-inch Ordnance · Entity-1177 [map-55/037]</x:v>
      </x:c>
      <x:c r="M1059" s="35"/>
      <x:c r="N1059" s="35"/>
      <x:c r="O1059" s="35"/>
      <x:c r="P1059" s="35"/>
      <x:c r="Q1059" s="35"/>
      <x:c r="R1059" s="35"/>
      <x:c r="S1059" s="35"/>
      <x:c r="T1059" s="35"/>
      <x:c r="U1059" s="35"/>
      <x:c r="V1059" s="35"/>
      <x:c r="W1059" s="35"/>
      <x:c r="X1059" s="35"/>
      <x:c r="Y1059" s="35"/>
      <x:c r="Z1059" s="35"/>
      <x:c r="AA1059" s="35"/>
    </x:row>
    <x:row r="1060">
      <x:c r="A1060" s="136" t="str">
        <x:v>DrillCamp | Skirmish | Crossroads</x:v>
      </x:c>
      <x:c r="B1060" s="136" t="str">
        <x:v>Gun | 12-pounder Napoleon (CSA) · Entity-1198 [map-55/038]</x:v>
      </x:c>
      <x:c r="C1060" s="136" t="str">
        <x:v>gun_spawn</x:v>
      </x:c>
      <x:c r="D1060" s="136" t="str"/>
      <x:c r="E1060" s="136" t="str">
        <x:v>12-pounder Napoleon (CSA) · Entity-1198</x:v>
      </x:c>
      <x:c r="F1060" s="137" t="n">
        <x:v>1883.5670166015625</x:v>
      </x:c>
      <x:c r="G1060" s="137" t="n">
        <x:v>841.654296875</x:v>
      </x:c>
      <x:c r="H1060" s="137" t="n">
        <x:v>59.05427169799805</x:v>
      </x:c>
      <x:c r="I1060" s="137" t="n">
        <x:v>720.5589409861901</x:v>
      </x:c>
      <x:c r="J1060" s="137" t="n">
        <x:v>1341.794691481414</x:v>
      </x:c>
      <x:c r="K1060" s="136" t="str">
        <x:v>map-55</x:v>
      </x:c>
      <x:c r="L1060" s="136" t="str">
        <x:v>DrillCamp | Skirmish | Crossroads||Gun | 12-pounder Napoleon (CSA) · Entity-1198 [map-55/038]</x:v>
      </x:c>
      <x:c r="M1060" s="35"/>
      <x:c r="N1060" s="35"/>
      <x:c r="O1060" s="35"/>
      <x:c r="P1060" s="35"/>
      <x:c r="Q1060" s="35"/>
      <x:c r="R1060" s="35"/>
      <x:c r="S1060" s="35"/>
      <x:c r="T1060" s="35"/>
      <x:c r="U1060" s="35"/>
      <x:c r="V1060" s="35"/>
      <x:c r="W1060" s="35"/>
      <x:c r="X1060" s="35"/>
      <x:c r="Y1060" s="35"/>
      <x:c r="Z1060" s="35"/>
      <x:c r="AA1060" s="35"/>
    </x:row>
    <x:row r="1061">
      <x:c r="A1061" s="136" t="str">
        <x:v>DrillCamp | Skirmish | Crossroads</x:v>
      </x:c>
      <x:c r="B1061" s="136" t="str">
        <x:v>Gun | 3-inch Ordnance · Entity-1184 [map-55/039]</x:v>
      </x:c>
      <x:c r="C1061" s="136" t="str">
        <x:v>gun_spawn</x:v>
      </x:c>
      <x:c r="D1061" s="136" t="str"/>
      <x:c r="E1061" s="136" t="str">
        <x:v>3-inch Ordnance · Entity-1184</x:v>
      </x:c>
      <x:c r="F1061" s="137" t="n">
        <x:v>1976.1494140625</x:v>
      </x:c>
      <x:c r="G1061" s="137" t="n">
        <x:v>917.810546875</x:v>
      </x:c>
      <x:c r="H1061" s="137" t="n">
        <x:v>62.808815002441406</x:v>
      </x:c>
      <x:c r="I1061" s="137" t="n">
        <x:v>888.380664084248</x:v>
      </x:c>
      <x:c r="J1061" s="137" t="n">
        <x:v>1203.7699125952747</x:v>
      </x:c>
      <x:c r="K1061" s="136" t="str">
        <x:v>map-55</x:v>
      </x:c>
      <x:c r="L1061" s="136" t="str">
        <x:v>DrillCamp | Skirmish | Crossroads||Gun | 3-inch Ordnance · Entity-1184 [map-55/039]</x:v>
      </x:c>
      <x:c r="M1061" s="35"/>
      <x:c r="N1061" s="35"/>
      <x:c r="O1061" s="35"/>
      <x:c r="P1061" s="35"/>
      <x:c r="Q1061" s="35"/>
      <x:c r="R1061" s="35"/>
      <x:c r="S1061" s="35"/>
      <x:c r="T1061" s="35"/>
      <x:c r="U1061" s="35"/>
      <x:c r="V1061" s="35"/>
      <x:c r="W1061" s="35"/>
      <x:c r="X1061" s="35"/>
      <x:c r="Y1061" s="35"/>
      <x:c r="Z1061" s="35"/>
      <x:c r="AA1061" s="35"/>
    </x:row>
    <x:row r="1062">
      <x:c r="A1062" s="136" t="str">
        <x:v>DrillCamp | Skirmish | Crossroads</x:v>
      </x:c>
      <x:c r="B1062" s="136" t="str">
        <x:v>Gun | 12-pounder Napoleon (CSA) · Entity-1183 [map-55/040]</x:v>
      </x:c>
      <x:c r="C1062" s="136" t="str">
        <x:v>gun_spawn</x:v>
      </x:c>
      <x:c r="D1062" s="136" t="str"/>
      <x:c r="E1062" s="136" t="str">
        <x:v>12-pounder Napoleon (CSA) · Entity-1183</x:v>
      </x:c>
      <x:c r="F1062" s="137" t="n">
        <x:v>1990.868896484375</x:v>
      </x:c>
      <x:c r="G1062" s="137" t="n">
        <x:v>918.885009765625</x:v>
      </x:c>
      <x:c r="H1062" s="137" t="n">
        <x:v>63.03357696533203</x:v>
      </x:c>
      <x:c r="I1062" s="137" t="n">
        <x:v>915.0800021440642</x:v>
      </x:c>
      <x:c r="J1062" s="137" t="n">
        <x:v>1201.8225674607665</x:v>
      </x:c>
      <x:c r="K1062" s="136" t="str">
        <x:v>map-55</x:v>
      </x:c>
      <x:c r="L1062" s="136" t="str">
        <x:v>DrillCamp | Skirmish | Crossroads||Gun | 12-pounder Napoleon (CSA) · Entity-1183 [map-55/040]</x:v>
      </x:c>
      <x:c r="M1062" s="35"/>
      <x:c r="N1062" s="35"/>
      <x:c r="O1062" s="35"/>
      <x:c r="P1062" s="35"/>
      <x:c r="Q1062" s="35"/>
      <x:c r="R1062" s="35"/>
      <x:c r="S1062" s="35"/>
      <x:c r="T1062" s="35"/>
      <x:c r="U1062" s="35"/>
      <x:c r="V1062" s="35"/>
      <x:c r="W1062" s="35"/>
      <x:c r="X1062" s="35"/>
      <x:c r="Y1062" s="35"/>
      <x:c r="Z1062" s="35"/>
      <x:c r="AA1062" s="35"/>
    </x:row>
    <x:row r="1063">
      <x:c r="A1063" s="136" t="str">
        <x:v>DrillCamp | Skirmish | Crossroads</x:v>
      </x:c>
      <x:c r="B1063" s="136" t="str">
        <x:v>Gun | 10-pounder Parrott · Entity-1166 [map-55/041]</x:v>
      </x:c>
      <x:c r="C1063" s="136" t="str">
        <x:v>gun_spawn</x:v>
      </x:c>
      <x:c r="D1063" s="136" t="str"/>
      <x:c r="E1063" s="136" t="str">
        <x:v>10-pounder Parrott · Entity-1166</x:v>
      </x:c>
      <x:c r="F1063" s="137" t="n">
        <x:v>1952.5869140625</x:v>
      </x:c>
      <x:c r="G1063" s="137" t="n">
        <x:v>1172.58154296875</x:v>
      </x:c>
      <x:c r="H1063" s="137" t="n">
        <x:v>63.819766998291016</x:v>
      </x:c>
      <x:c r="I1063" s="137" t="n">
        <x:v>845.2294293332415</x:v>
      </x:c>
      <x:c r="J1063" s="137" t="n">
        <x:v>742.0256643892338</x:v>
      </x:c>
      <x:c r="K1063" s="136" t="str">
        <x:v>map-55</x:v>
      </x:c>
      <x:c r="L1063" s="136" t="str">
        <x:v>DrillCamp | Skirmish | Crossroads||Gun | 10-pounder Parrott · Entity-1166 [map-55/041]</x:v>
      </x:c>
      <x:c r="M1063" s="35"/>
      <x:c r="N1063" s="35"/>
      <x:c r="O1063" s="35"/>
      <x:c r="P1063" s="35"/>
      <x:c r="Q1063" s="35"/>
      <x:c r="R1063" s="35"/>
      <x:c r="S1063" s="35"/>
      <x:c r="T1063" s="35"/>
      <x:c r="U1063" s="35"/>
      <x:c r="V1063" s="35"/>
      <x:c r="W1063" s="35"/>
      <x:c r="X1063" s="35"/>
      <x:c r="Y1063" s="35"/>
      <x:c r="Z1063" s="35"/>
      <x:c r="AA1063" s="35"/>
    </x:row>
    <x:row r="1064">
      <x:c r="A1064" s="136" t="str">
        <x:v>DrillCamp | Skirmish | Smith Field</x:v>
      </x:c>
      <x:c r="B1064" s="136" t="str">
        <x:v>Spawn | USA Spawnpoint_SF_Base_USA_19thIN1 [map-56/001]</x:v>
      </x:c>
      <x:c r="C1064" s="136" t="str">
        <x:v>spawn</x:v>
      </x:c>
      <x:c r="D1064" s="136" t="str">
        <x:v>USA</x:v>
      </x:c>
      <x:c r="E1064" s="136" t="str">
        <x:v>Spawnpoint_SF_Base_USA_19thIN1</x:v>
      </x:c>
      <x:c r="F1064" s="137" t="n">
        <x:v>2432.22119140625</x:v>
      </x:c>
      <x:c r="G1064" s="137" t="n">
        <x:v>1464.33984375</x:v>
      </x:c>
      <x:c r="H1064" s="137" t="n">
        <x:v>77.80146789550781</x:v>
      </x:c>
      <x:c r="I1064" s="137" t="n">
        <x:v>888.1870592636185</x:v>
      </x:c>
      <x:c r="J1064" s="137" t="n">
        <x:v>473.92483685286084</x:v>
      </x:c>
      <x:c r="K1064" s="136" t="str">
        <x:v>map-56</x:v>
      </x:c>
      <x:c r="L1064" s="136" t="str">
        <x:v>DrillCamp | Skirmish | Smith Field||Spawn | USA Spawnpoint_SF_Base_USA_19thIN1 [map-56/001]</x:v>
      </x:c>
      <x:c r="M1064" s="35"/>
      <x:c r="N1064" s="35"/>
      <x:c r="O1064" s="35"/>
      <x:c r="P1064" s="35"/>
      <x:c r="Q1064" s="35"/>
      <x:c r="R1064" s="35"/>
      <x:c r="S1064" s="35"/>
      <x:c r="T1064" s="35"/>
      <x:c r="U1064" s="35"/>
      <x:c r="V1064" s="35"/>
      <x:c r="W1064" s="35"/>
      <x:c r="X1064" s="35"/>
      <x:c r="Y1064" s="35"/>
      <x:c r="Z1064" s="35"/>
      <x:c r="AA1064" s="35"/>
    </x:row>
    <x:row r="1065">
      <x:c r="A1065" s="136" t="str">
        <x:v>DrillCamp | Skirmish | Smith Field</x:v>
      </x:c>
      <x:c r="B1065" s="136" t="str">
        <x:v>Spawn | CSA Spawnpoint_SF_Defend_CSA_5thTX1 [map-56/002]</x:v>
      </x:c>
      <x:c r="C1065" s="136" t="str">
        <x:v>spawn</x:v>
      </x:c>
      <x:c r="D1065" s="136" t="str">
        <x:v>CSA</x:v>
      </x:c>
      <x:c r="E1065" s="136" t="str">
        <x:v>Spawnpoint_SF_Defend_CSA_5thTX1</x:v>
      </x:c>
      <x:c r="F1065" s="137" t="n">
        <x:v>2399.34130859375</x:v>
      </x:c>
      <x:c r="G1065" s="137" t="n">
        <x:v>1008.1193237304688</x:v>
      </x:c>
      <x:c r="H1065" s="137" t="n">
        <x:v>88.71923828125</x:v>
      </x:c>
      <x:c r="I1065" s="137" t="n">
        <x:v>824.9360458725519</x:v>
      </x:c>
      <x:c r="J1065" s="137" t="n">
        <x:v>1301.0539349781272</x:v>
      </x:c>
      <x:c r="K1065" s="136" t="str">
        <x:v>map-56</x:v>
      </x:c>
      <x:c r="L1065" s="136" t="str">
        <x:v>DrillCamp | Skirmish | Smith Field||Spawn | CSA Spawnpoint_SF_Defend_CSA_5thTX1 [map-56/002]</x:v>
      </x:c>
      <x:c r="M1065" s="35"/>
      <x:c r="N1065" s="35"/>
      <x:c r="O1065" s="35"/>
      <x:c r="P1065" s="35"/>
      <x:c r="Q1065" s="35"/>
      <x:c r="R1065" s="35"/>
      <x:c r="S1065" s="35"/>
      <x:c r="T1065" s="35"/>
      <x:c r="U1065" s="35"/>
      <x:c r="V1065" s="35"/>
      <x:c r="W1065" s="35"/>
      <x:c r="X1065" s="35"/>
      <x:c r="Y1065" s="35"/>
      <x:c r="Z1065" s="35"/>
      <x:c r="AA1065" s="35"/>
    </x:row>
    <x:row r="1066">
      <x:c r="A1066" s="136" t="str">
        <x:v>DrillCamp | Skirmish | Smith Field</x:v>
      </x:c>
      <x:c r="B1066" s="136" t="str">
        <x:v>Spawn | CSA Spawnpoint_SF_Base_CSA_Jeff [map-56/003]</x:v>
      </x:c>
      <x:c r="C1066" s="136" t="str">
        <x:v>spawn</x:v>
      </x:c>
      <x:c r="D1066" s="136" t="str">
        <x:v>CSA</x:v>
      </x:c>
      <x:c r="E1066" s="136" t="str">
        <x:v>Spawnpoint_SF_Base_CSA_Jeff</x:v>
      </x:c>
      <x:c r="F1066" s="137" t="n">
        <x:v>2367.910888671875</x:v>
      </x:c>
      <x:c r="G1066" s="137" t="n">
        <x:v>776.7591552734375</x:v>
      </x:c>
      <x:c r="H1066" s="137" t="n">
        <x:v>64.58068084716797</x:v>
      </x:c>
      <x:c r="I1066" s="137" t="n">
        <x:v>766.1153602515546</x:v>
      </x:c>
      <x:c r="J1066" s="137" t="n">
        <x:v>1720.6289162415198</x:v>
      </x:c>
      <x:c r="K1066" s="136" t="str">
        <x:v>map-56</x:v>
      </x:c>
      <x:c r="L1066" s="136" t="str">
        <x:v>DrillCamp | Skirmish | Smith Field||Spawn | CSA Spawnpoint_SF_Base_CSA_Jeff [map-56/003]</x:v>
      </x:c>
      <x:c r="M1066" s="35"/>
      <x:c r="N1066" s="35"/>
      <x:c r="O1066" s="35"/>
      <x:c r="P1066" s="35"/>
      <x:c r="Q1066" s="35"/>
      <x:c r="R1066" s="35"/>
      <x:c r="S1066" s="35"/>
      <x:c r="T1066" s="35"/>
      <x:c r="U1066" s="35"/>
      <x:c r="V1066" s="35"/>
      <x:c r="W1066" s="35"/>
      <x:c r="X1066" s="35"/>
      <x:c r="Y1066" s="35"/>
      <x:c r="Z1066" s="35"/>
      <x:c r="AA1066" s="35"/>
    </x:row>
    <x:row r="1067">
      <x:c r="A1067" s="136" t="str">
        <x:v>DrillCamp | Skirmish | Smith Field</x:v>
      </x:c>
      <x:c r="B1067" s="136" t="str">
        <x:v>Artillery | USA Spawnpoint_SF_USA_Arty_Base [map-56/004]</x:v>
      </x:c>
      <x:c r="C1067" s="136" t="str">
        <x:v>battery</x:v>
      </x:c>
      <x:c r="D1067" s="136" t="str">
        <x:v>USA</x:v>
      </x:c>
      <x:c r="E1067" s="136" t="str">
        <x:v>Spawnpoint_SF_USA_Arty_Base</x:v>
      </x:c>
      <x:c r="F1067" s="137" t="n">
        <x:v>2468.1962890625</x:v>
      </x:c>
      <x:c r="G1067" s="137" t="n">
        <x:v>1492.953857421875</x:v>
      </x:c>
      <x:c r="H1067" s="137" t="n">
        <x:v>76.63594055175781</x:v>
      </x:c>
      <x:c r="I1067" s="137" t="n">
        <x:v>953.6186931711195</x:v>
      </x:c>
      <x:c r="J1067" s="137" t="n">
        <x:v>421.7755818179606</x:v>
      </x:c>
      <x:c r="K1067" s="136" t="str">
        <x:v>map-56</x:v>
      </x:c>
      <x:c r="L1067" s="136" t="str">
        <x:v>DrillCamp | Skirmish | Smith Field||Artillery | USA Spawnpoint_SF_USA_Arty_Base [map-56/004]</x:v>
      </x:c>
      <x:c r="M1067" s="35"/>
      <x:c r="N1067" s="35"/>
      <x:c r="O1067" s="35"/>
      <x:c r="P1067" s="35"/>
      <x:c r="Q1067" s="35"/>
      <x:c r="R1067" s="35"/>
      <x:c r="S1067" s="35"/>
      <x:c r="T1067" s="35"/>
      <x:c r="U1067" s="35"/>
      <x:c r="V1067" s="35"/>
      <x:c r="W1067" s="35"/>
      <x:c r="X1067" s="35"/>
      <x:c r="Y1067" s="35"/>
      <x:c r="Z1067" s="35"/>
      <x:c r="AA1067" s="35"/>
    </x:row>
    <x:row r="1068">
      <x:c r="A1068" s="136" t="str">
        <x:v>DrillCamp | Skirmish | Smith Field</x:v>
      </x:c>
      <x:c r="B1068" s="136" t="str">
        <x:v>Artillery | USA Spawnpoint_SF_USA_Arty_Glassie_Forward [map-56/005]</x:v>
      </x:c>
      <x:c r="C1068" s="136" t="str">
        <x:v>battery</x:v>
      </x:c>
      <x:c r="D1068" s="136" t="str">
        <x:v>USA</x:v>
      </x:c>
      <x:c r="E1068" s="136" t="str">
        <x:v>Spawnpoint_SF_USA_Arty_Glassie_Forward</x:v>
      </x:c>
      <x:c r="F1068" s="137" t="n">
        <x:v>2422.244384765625</x:v>
      </x:c>
      <x:c r="G1068" s="137" t="n">
        <x:v>1315.4669189453125</x:v>
      </x:c>
      <x:c r="H1068" s="137" t="n">
        <x:v>83.87066650390625</x:v>
      </x:c>
      <x:c r="I1068" s="137" t="n">
        <x:v>868.9109487457656</x:v>
      </x:c>
      <x:c r="J1068" s="137" t="n">
        <x:v>743.8258375777268</x:v>
      </x:c>
      <x:c r="K1068" s="136" t="str">
        <x:v>map-56</x:v>
      </x:c>
      <x:c r="L1068" s="136" t="str">
        <x:v>DrillCamp | Skirmish | Smith Field||Artillery | USA Spawnpoint_SF_USA_Arty_Glassie_Forward [map-56/005]</x:v>
      </x:c>
      <x:c r="M1068" s="35"/>
      <x:c r="N1068" s="35"/>
      <x:c r="O1068" s="35"/>
      <x:c r="P1068" s="35"/>
      <x:c r="Q1068" s="35"/>
      <x:c r="R1068" s="35"/>
      <x:c r="S1068" s="35"/>
      <x:c r="T1068" s="35"/>
      <x:c r="U1068" s="35"/>
      <x:c r="V1068" s="35"/>
      <x:c r="W1068" s="35"/>
      <x:c r="X1068" s="35"/>
      <x:c r="Y1068" s="35"/>
      <x:c r="Z1068" s="35"/>
      <x:c r="AA1068" s="35"/>
    </x:row>
    <x:row r="1069">
      <x:c r="A1069" s="136" t="str">
        <x:v>DrillCamp | Skirmish | Smith Field</x:v>
      </x:c>
      <x:c r="B1069" s="136" t="str">
        <x:v>Artillery | USA Spawnpoint_SF_USA_Arty_Philips_Forward [map-56/006]</x:v>
      </x:c>
      <x:c r="C1069" s="136" t="str">
        <x:v>battery</x:v>
      </x:c>
      <x:c r="D1069" s="136" t="str">
        <x:v>USA</x:v>
      </x:c>
      <x:c r="E1069" s="136" t="str">
        <x:v>Spawnpoint_SF_USA_Arty_Philips_Forward</x:v>
      </x:c>
      <x:c r="F1069" s="137" t="n">
        <x:v>2604.603759765625</x:v>
      </x:c>
      <x:c r="G1069" s="137" t="n">
        <x:v>1258.0665283203125</x:v>
      </x:c>
      <x:c r="H1069" s="137" t="n">
        <x:v>84.0091552734375</x:v>
      </x:c>
      <x:c r="I1069" s="137" t="n">
        <x:v>1198.963287807838</x:v>
      </x:c>
      <x:c r="J1069" s="137" t="n">
        <x:v>846.3972876473813</x:v>
      </x:c>
      <x:c r="K1069" s="136" t="str">
        <x:v>map-56</x:v>
      </x:c>
      <x:c r="L1069" s="136" t="str">
        <x:v>DrillCamp | Skirmish | Smith Field||Artillery | USA Spawnpoint_SF_USA_Arty_Philips_Forward [map-56/006]</x:v>
      </x:c>
      <x:c r="M1069" s="35"/>
      <x:c r="N1069" s="35"/>
      <x:c r="O1069" s="35"/>
      <x:c r="P1069" s="35"/>
      <x:c r="Q1069" s="35"/>
      <x:c r="R1069" s="35"/>
      <x:c r="S1069" s="35"/>
      <x:c r="T1069" s="35"/>
      <x:c r="U1069" s="35"/>
      <x:c r="V1069" s="35"/>
      <x:c r="W1069" s="35"/>
      <x:c r="X1069" s="35"/>
      <x:c r="Y1069" s="35"/>
      <x:c r="Z1069" s="35"/>
      <x:c r="AA1069" s="35"/>
    </x:row>
    <x:row r="1070">
      <x:c r="A1070" s="136" t="str">
        <x:v>DrillCamp | Skirmish | Smith Field</x:v>
      </x:c>
      <x:c r="B1070" s="136" t="str">
        <x:v>Spawn | CSA Spawnpoint_SF_Mounted_CSA_Jeff [map-56/007]</x:v>
      </x:c>
      <x:c r="C1070" s="136" t="str">
        <x:v>spawn</x:v>
      </x:c>
      <x:c r="D1070" s="136" t="str">
        <x:v>CSA</x:v>
      </x:c>
      <x:c r="E1070" s="136" t="str">
        <x:v>Spawnpoint_SF_Mounted_CSA_Jeff</x:v>
      </x:c>
      <x:c r="F1070" s="137" t="n">
        <x:v>2439.05810546875</x:v>
      </x:c>
      <x:c r="G1070" s="137" t="n">
        <x:v>599.5078125</x:v>
      </x:c>
      <x:c r="H1070" s="137" t="n">
        <x:v>58.30472946166992</x:v>
      </x:c>
      <x:c r="I1070" s="137" t="n">
        <x:v>893.6428641819559</x:v>
      </x:c>
      <x:c r="J1070" s="137" t="n">
        <x:v>2041.3130869264955</x:v>
      </x:c>
      <x:c r="K1070" s="136" t="str">
        <x:v>map-56</x:v>
      </x:c>
      <x:c r="L1070" s="136" t="str">
        <x:v>DrillCamp | Skirmish | Smith Field||Spawn | CSA Spawnpoint_SF_Mounted_CSA_Jeff [map-56/007]</x:v>
      </x:c>
      <x:c r="M1070" s="35"/>
      <x:c r="N1070" s="35"/>
      <x:c r="O1070" s="35"/>
      <x:c r="P1070" s="35"/>
      <x:c r="Q1070" s="35"/>
      <x:c r="R1070" s="35"/>
      <x:c r="S1070" s="35"/>
      <x:c r="T1070" s="35"/>
      <x:c r="U1070" s="35"/>
      <x:c r="V1070" s="35"/>
      <x:c r="W1070" s="35"/>
      <x:c r="X1070" s="35"/>
      <x:c r="Y1070" s="35"/>
      <x:c r="Z1070" s="35"/>
      <x:c r="AA1070" s="35"/>
    </x:row>
    <x:row r="1071">
      <x:c r="A1071" s="136" t="str">
        <x:v>DrillCamp | Skirmish | Smith Field</x:v>
      </x:c>
      <x:c r="B1071" s="136" t="str">
        <x:v>Artillery | CSA Spawnpoint_SF_CSA_Arty_Bondurant_Forward [map-56/008]</x:v>
      </x:c>
      <x:c r="C1071" s="136" t="str">
        <x:v>battery</x:v>
      </x:c>
      <x:c r="D1071" s="136" t="str">
        <x:v>CSA</x:v>
      </x:c>
      <x:c r="E1071" s="136" t="str">
        <x:v>Spawnpoint_SF_CSA_Arty_Bondurant_Forward</x:v>
      </x:c>
      <x:c r="F1071" s="137" t="n">
        <x:v>2461.934326171875</x:v>
      </x:c>
      <x:c r="G1071" s="137" t="n">
        <x:v>1009.019287109375</x:v>
      </x:c>
      <x:c r="H1071" s="137" t="n">
        <x:v>81.41371154785156</x:v>
      </x:c>
      <x:c r="I1071" s="137" t="n">
        <x:v>938.3884047602774</x:v>
      </x:c>
      <x:c r="J1071" s="137" t="n">
        <x:v>1298.920849368804</x:v>
      </x:c>
      <x:c r="K1071" s="136" t="str">
        <x:v>map-56</x:v>
      </x:c>
      <x:c r="L1071" s="136" t="str">
        <x:v>DrillCamp | Skirmish | Smith Field||Artillery | CSA Spawnpoint_SF_CSA_Arty_Bondurant_Forward [map-56/008]</x:v>
      </x:c>
      <x:c r="M1071" s="35"/>
      <x:c r="N1071" s="35"/>
      <x:c r="O1071" s="35"/>
      <x:c r="P1071" s="35"/>
      <x:c r="Q1071" s="35"/>
      <x:c r="R1071" s="35"/>
      <x:c r="S1071" s="35"/>
      <x:c r="T1071" s="35"/>
      <x:c r="U1071" s="35"/>
      <x:c r="V1071" s="35"/>
      <x:c r="W1071" s="35"/>
      <x:c r="X1071" s="35"/>
      <x:c r="Y1071" s="35"/>
      <x:c r="Z1071" s="35"/>
      <x:c r="AA1071" s="35"/>
    </x:row>
    <x:row r="1072">
      <x:c r="A1072" s="136" t="str">
        <x:v>DrillCamp | Skirmish | Smith Field</x:v>
      </x:c>
      <x:c r="B1072" s="136" t="str">
        <x:v>Artillery | CSA Spawnpoint_SF_CSA_Arty_Squires_Forward [map-56/009]</x:v>
      </x:c>
      <x:c r="C1072" s="136" t="str">
        <x:v>battery</x:v>
      </x:c>
      <x:c r="D1072" s="136" t="str">
        <x:v>CSA</x:v>
      </x:c>
      <x:c r="E1072" s="136" t="str">
        <x:v>Spawnpoint_SF_CSA_Arty_Squires_Forward</x:v>
      </x:c>
      <x:c r="F1072" s="137" t="n">
        <x:v>2379.072265625</x:v>
      </x:c>
      <x:c r="G1072" s="137" t="n">
        <x:v>1024.457763671875</x:v>
      </x:c>
      <x:c r="H1072" s="137" t="n">
        <x:v>90.00396728515625</x:v>
      </x:c>
      <x:c r="I1072" s="137" t="n">
        <x:v>788.3309557625956</x:v>
      </x:c>
      <x:c r="J1072" s="137" t="n">
        <x:v>1271.6042893158722</x:v>
      </x:c>
      <x:c r="K1072" s="136" t="str">
        <x:v>map-56</x:v>
      </x:c>
      <x:c r="L1072" s="136" t="str">
        <x:v>DrillCamp | Skirmish | Smith Field||Artillery | CSA Spawnpoint_SF_CSA_Arty_Squires_Forward [map-56/009]</x:v>
      </x:c>
      <x:c r="M1072" s="35"/>
      <x:c r="N1072" s="35"/>
      <x:c r="O1072" s="35"/>
      <x:c r="P1072" s="35"/>
      <x:c r="Q1072" s="35"/>
      <x:c r="R1072" s="35"/>
      <x:c r="S1072" s="35"/>
      <x:c r="T1072" s="35"/>
      <x:c r="U1072" s="35"/>
      <x:c r="V1072" s="35"/>
      <x:c r="W1072" s="35"/>
      <x:c r="X1072" s="35"/>
      <x:c r="Y1072" s="35"/>
      <x:c r="Z1072" s="35"/>
      <x:c r="AA1072" s="35"/>
    </x:row>
    <x:row r="1073">
      <x:c r="A1073" s="136" t="str">
        <x:v>DrillCamp | Skirmish | Smith Field</x:v>
      </x:c>
      <x:c r="B1073" s="136" t="str">
        <x:v>Spawn | CSA Spawnpoint_SF_Base_CSA_5thTX2 [map-56/010]</x:v>
      </x:c>
      <x:c r="C1073" s="136" t="str">
        <x:v>spawn</x:v>
      </x:c>
      <x:c r="D1073" s="136" t="str">
        <x:v>CSA</x:v>
      </x:c>
      <x:c r="E1073" s="136" t="str">
        <x:v>Spawnpoint_SF_Base_CSA_5thTX2</x:v>
      </x:c>
      <x:c r="F1073" s="137" t="n">
        <x:v>2384.0439453125</x:v>
      </x:c>
      <x:c r="G1073" s="137" t="n">
        <x:v>797.08203125</x:v>
      </x:c>
      <x:c r="H1073" s="137" t="n">
        <x:v>67.0469970703125</x:v>
      </x:c>
      <x:c r="I1073" s="137" t="n">
        <x:v>795.5182941822458</x:v>
      </x:c>
      <x:c r="J1073" s="137" t="n">
        <x:v>1683.6658501420072</x:v>
      </x:c>
      <x:c r="K1073" s="136" t="str">
        <x:v>map-56</x:v>
      </x:c>
      <x:c r="L1073" s="136" t="str">
        <x:v>DrillCamp | Skirmish | Smith Field||Spawn | CSA Spawnpoint_SF_Base_CSA_5thTX2 [map-56/010]</x:v>
      </x:c>
      <x:c r="M1073" s="35"/>
      <x:c r="N1073" s="35"/>
      <x:c r="O1073" s="35"/>
      <x:c r="P1073" s="35"/>
      <x:c r="Q1073" s="35"/>
      <x:c r="R1073" s="35"/>
      <x:c r="S1073" s="35"/>
      <x:c r="T1073" s="35"/>
      <x:c r="U1073" s="35"/>
      <x:c r="V1073" s="35"/>
      <x:c r="W1073" s="35"/>
      <x:c r="X1073" s="35"/>
      <x:c r="Y1073" s="35"/>
      <x:c r="Z1073" s="35"/>
      <x:c r="AA1073" s="35"/>
    </x:row>
    <x:row r="1074">
      <x:c r="A1074" s="136" t="str">
        <x:v>DrillCamp | Skirmish | Smith Field</x:v>
      </x:c>
      <x:c r="B1074" s="136" t="str">
        <x:v>Spawn | CSA Spawnpoint_SF_Defend_CSA_14thTN2 [map-56/011]</x:v>
      </x:c>
      <x:c r="C1074" s="136" t="str">
        <x:v>spawn</x:v>
      </x:c>
      <x:c r="D1074" s="136" t="str">
        <x:v>CSA</x:v>
      </x:c>
      <x:c r="E1074" s="136" t="str">
        <x:v>Spawnpoint_SF_Defend_CSA_14thTN2</x:v>
      </x:c>
      <x:c r="F1074" s="137" t="n">
        <x:v>2436.53857421875</x:v>
      </x:c>
      <x:c r="G1074" s="137" t="n">
        <x:v>1005.606689453125</x:v>
      </x:c>
      <x:c r="H1074" s="137" t="n">
        <x:v>85.19236755371094</x:v>
      </x:c>
      <x:c r="I1074" s="137" t="n">
        <x:v>892.3331448096085</x:v>
      </x:c>
      <x:c r="J1074" s="137" t="n">
        <x:v>1305.3095894420035</x:v>
      </x:c>
      <x:c r="K1074" s="136" t="str">
        <x:v>map-56</x:v>
      </x:c>
      <x:c r="L1074" s="136" t="str">
        <x:v>DrillCamp | Skirmish | Smith Field||Spawn | CSA Spawnpoint_SF_Defend_CSA_14thTN2 [map-56/011]</x:v>
      </x:c>
      <x:c r="M1074" s="35"/>
      <x:c r="N1074" s="35"/>
      <x:c r="O1074" s="35"/>
      <x:c r="P1074" s="35"/>
      <x:c r="Q1074" s="35"/>
      <x:c r="R1074" s="35"/>
      <x:c r="S1074" s="35"/>
      <x:c r="T1074" s="35"/>
      <x:c r="U1074" s="35"/>
      <x:c r="V1074" s="35"/>
      <x:c r="W1074" s="35"/>
      <x:c r="X1074" s="35"/>
      <x:c r="Y1074" s="35"/>
      <x:c r="Z1074" s="35"/>
      <x:c r="AA1074" s="35"/>
    </x:row>
    <x:row r="1075">
      <x:c r="A1075" s="136" t="str">
        <x:v>DrillCamp | Skirmish | Smith Field</x:v>
      </x:c>
      <x:c r="B1075" s="136" t="str">
        <x:v>Spawn | CSA Spawnpoint_SF_Defend_CSA_5thTX2 [map-56/012]</x:v>
      </x:c>
      <x:c r="C1075" s="136" t="str">
        <x:v>spawn</x:v>
      </x:c>
      <x:c r="D1075" s="136" t="str">
        <x:v>CSA</x:v>
      </x:c>
      <x:c r="E1075" s="136" t="str">
        <x:v>Spawnpoint_SF_Defend_CSA_5thTX2</x:v>
      </x:c>
      <x:c r="F1075" s="137" t="n">
        <x:v>2401.03466796875</x:v>
      </x:c>
      <x:c r="G1075" s="137" t="n">
        <x:v>1021.652587890625</x:v>
      </x:c>
      <x:c r="H1075" s="137" t="n">
        <x:v>88.6395034790039</x:v>
      </x:c>
      <x:c r="I1075" s="137" t="n">
        <x:v>828.1136635834442</x:v>
      </x:c>
      <x:c r="J1075" s="137" t="n">
        <x:v>1276.5123304541821</x:v>
      </x:c>
      <x:c r="K1075" s="136" t="str">
        <x:v>map-56</x:v>
      </x:c>
      <x:c r="L1075" s="136" t="str">
        <x:v>DrillCamp | Skirmish | Smith Field||Spawn | CSA Spawnpoint_SF_Defend_CSA_5thTX2 [map-56/012]</x:v>
      </x:c>
      <x:c r="M1075" s="35"/>
      <x:c r="N1075" s="35"/>
      <x:c r="O1075" s="35"/>
      <x:c r="P1075" s="35"/>
      <x:c r="Q1075" s="35"/>
      <x:c r="R1075" s="35"/>
      <x:c r="S1075" s="35"/>
      <x:c r="T1075" s="35"/>
      <x:c r="U1075" s="35"/>
      <x:c r="V1075" s="35"/>
      <x:c r="W1075" s="35"/>
      <x:c r="X1075" s="35"/>
      <x:c r="Y1075" s="35"/>
      <x:c r="Z1075" s="35"/>
      <x:c r="AA1075" s="35"/>
    </x:row>
    <x:row r="1076">
      <x:c r="A1076" s="136" t="str">
        <x:v>DrillCamp | Skirmish | Smith Field</x:v>
      </x:c>
      <x:c r="B1076" s="136" t="str">
        <x:v>Objective | Skirmish_3_VictorySequence [map-56/013]</x:v>
      </x:c>
      <x:c r="C1076" s="136" t="str">
        <x:v>objective</x:v>
      </x:c>
      <x:c r="D1076" s="136" t="str"/>
      <x:c r="E1076" s="136" t="str">
        <x:v>Skirmish_3_VictorySequence</x:v>
      </x:c>
      <x:c r="F1076" s="137" t="n">
        <x:v>2356.2275390625</x:v>
      </x:c>
      <x:c r="G1076" s="137" t="n">
        <x:v>990.2971801757812</x:v>
      </x:c>
      <x:c r="H1076" s="137" t="n">
        <x:v>90.70000457763672</x:v>
      </x:c>
      <x:c r="I1076" s="137" t="n">
        <x:v>746.6526517880395</x:v>
      </x:c>
      <x:c r="J1076" s="137" t="n">
        <x:v>1333.7009853885452</x:v>
      </x:c>
      <x:c r="K1076" s="136" t="str">
        <x:v>map-56</x:v>
      </x:c>
      <x:c r="L1076" s="136" t="str">
        <x:v>DrillCamp | Skirmish | Smith Field||Objective | Skirmish_3_VictorySequence [map-56/013]</x:v>
      </x:c>
      <x:c r="M1076" s="35"/>
      <x:c r="N1076" s="35"/>
      <x:c r="O1076" s="35"/>
      <x:c r="P1076" s="35"/>
      <x:c r="Q1076" s="35"/>
      <x:c r="R1076" s="35"/>
      <x:c r="S1076" s="35"/>
      <x:c r="T1076" s="35"/>
      <x:c r="U1076" s="35"/>
      <x:c r="V1076" s="35"/>
      <x:c r="W1076" s="35"/>
      <x:c r="X1076" s="35"/>
      <x:c r="Y1076" s="35"/>
      <x:c r="Z1076" s="35"/>
      <x:c r="AA1076" s="35"/>
    </x:row>
    <x:row r="1077">
      <x:c r="A1077" s="136" t="str">
        <x:v>DrillCamp | Skirmish | Smith Field</x:v>
      </x:c>
      <x:c r="B1077" s="136" t="str">
        <x:v>Spawn | USA Spawnpoint_SF_Base_USA_8thOH2 [map-56/014]</x:v>
      </x:c>
      <x:c r="C1077" s="136" t="str">
        <x:v>spawn</x:v>
      </x:c>
      <x:c r="D1077" s="136" t="str">
        <x:v>USA</x:v>
      </x:c>
      <x:c r="E1077" s="136" t="str">
        <x:v>Spawnpoint_SF_Base_USA_8thOH2</x:v>
      </x:c>
      <x:c r="F1077" s="137" t="n">
        <x:v>2447.812255859375</x:v>
      </x:c>
      <x:c r="G1077" s="137" t="n">
        <x:v>1480.766357421875</x:v>
      </x:c>
      <x:c r="H1077" s="137" t="n">
        <x:v>77.03614044189453</x:v>
      </x:c>
      <x:c r="I1077" s="137" t="n">
        <x:v>916.5764258935809</x:v>
      </x:c>
      <x:c r="J1077" s="137" t="n">
        <x:v>444.0279812340743</x:v>
      </x:c>
      <x:c r="K1077" s="136" t="str">
        <x:v>map-56</x:v>
      </x:c>
      <x:c r="L1077" s="136" t="str">
        <x:v>DrillCamp | Skirmish | Smith Field||Spawn | USA Spawnpoint_SF_Base_USA_8thOH2 [map-56/014]</x:v>
      </x:c>
      <x:c r="M1077" s="35"/>
      <x:c r="N1077" s="35"/>
      <x:c r="O1077" s="35"/>
      <x:c r="P1077" s="35"/>
      <x:c r="Q1077" s="35"/>
      <x:c r="R1077" s="35"/>
      <x:c r="S1077" s="35"/>
      <x:c r="T1077" s="35"/>
      <x:c r="U1077" s="35"/>
      <x:c r="V1077" s="35"/>
      <x:c r="W1077" s="35"/>
      <x:c r="X1077" s="35"/>
      <x:c r="Y1077" s="35"/>
      <x:c r="Z1077" s="35"/>
      <x:c r="AA1077" s="35"/>
    </x:row>
    <x:row r="1078">
      <x:c r="A1078" s="136" t="str">
        <x:v>DrillCamp | Skirmish | Smith Field</x:v>
      </x:c>
      <x:c r="B1078" s="136" t="str">
        <x:v>Artillery | CSA Spawnpoint_SF_CSA_Arty_Base [map-56/015]</x:v>
      </x:c>
      <x:c r="C1078" s="136" t="str">
        <x:v>battery</x:v>
      </x:c>
      <x:c r="D1078" s="136" t="str">
        <x:v>CSA</x:v>
      </x:c>
      <x:c r="E1078" s="136" t="str">
        <x:v>Spawnpoint_SF_CSA_Arty_Base</x:v>
      </x:c>
      <x:c r="F1078" s="137" t="n">
        <x:v>2357.55078125</x:v>
      </x:c>
      <x:c r="G1078" s="137" t="n">
        <x:v>786.4194946289062</x:v>
      </x:c>
      <x:c r="H1078" s="137" t="n">
        <x:v>67.41926574707031</x:v>
      </x:c>
      <x:c r="I1078" s="137" t="n">
        <x:v>747.4159157823763</x:v>
      </x:c>
      <x:c r="J1078" s="137" t="n">
        <x:v>1703.2033606618104</x:v>
      </x:c>
      <x:c r="K1078" s="136" t="str">
        <x:v>map-56</x:v>
      </x:c>
      <x:c r="L1078" s="136" t="str">
        <x:v>DrillCamp | Skirmish | Smith Field||Artillery | CSA Spawnpoint_SF_CSA_Arty_Base [map-56/015]</x:v>
      </x:c>
      <x:c r="M1078" s="35"/>
      <x:c r="N1078" s="35"/>
      <x:c r="O1078" s="35"/>
      <x:c r="P1078" s="35"/>
      <x:c r="Q1078" s="35"/>
      <x:c r="R1078" s="35"/>
      <x:c r="S1078" s="35"/>
      <x:c r="T1078" s="35"/>
      <x:c r="U1078" s="35"/>
      <x:c r="V1078" s="35"/>
      <x:c r="W1078" s="35"/>
      <x:c r="X1078" s="35"/>
      <x:c r="Y1078" s="35"/>
      <x:c r="Z1078" s="35"/>
      <x:c r="AA1078" s="35"/>
    </x:row>
    <x:row r="1079">
      <x:c r="A1079" s="136" t="str">
        <x:v>DrillCamp | Skirmish | Smith Field</x:v>
      </x:c>
      <x:c r="B1079" s="136" t="str">
        <x:v>Spawn | CSA Spawnpoint_SF_Base_CSA_5thTX1 [map-56/016]</x:v>
      </x:c>
      <x:c r="C1079" s="136" t="str">
        <x:v>spawn</x:v>
      </x:c>
      <x:c r="D1079" s="136" t="str">
        <x:v>CSA</x:v>
      </x:c>
      <x:c r="E1079" s="136" t="str">
        <x:v>Spawnpoint_SF_Base_CSA_5thTX1</x:v>
      </x:c>
      <x:c r="F1079" s="137" t="n">
        <x:v>2382.197998046875</x:v>
      </x:c>
      <x:c r="G1079" s="137" t="n">
        <x:v>775.8751831054688</x:v>
      </x:c>
      <x:c r="H1079" s="137" t="n">
        <x:v>64.16588592529297</x:v>
      </x:c>
      <x:c r="I1079" s="137" t="n">
        <x:v>792.0025834768047</x:v>
      </x:c>
      <x:c r="J1079" s="137" t="n">
        <x:v>1722.1164727889989</x:v>
      </x:c>
      <x:c r="K1079" s="136" t="str">
        <x:v>map-56</x:v>
      </x:c>
      <x:c r="L1079" s="136" t="str">
        <x:v>DrillCamp | Skirmish | Smith Field||Spawn | CSA Spawnpoint_SF_Base_CSA_5thTX1 [map-56/016]</x:v>
      </x:c>
      <x:c r="M1079" s="35"/>
      <x:c r="N1079" s="35"/>
      <x:c r="O1079" s="35"/>
      <x:c r="P1079" s="35"/>
      <x:c r="Q1079" s="35"/>
      <x:c r="R1079" s="35"/>
      <x:c r="S1079" s="35"/>
      <x:c r="T1079" s="35"/>
      <x:c r="U1079" s="35"/>
      <x:c r="V1079" s="35"/>
      <x:c r="W1079" s="35"/>
      <x:c r="X1079" s="35"/>
      <x:c r="Y1079" s="35"/>
      <x:c r="Z1079" s="35"/>
      <x:c r="AA1079" s="35"/>
    </x:row>
    <x:row r="1080">
      <x:c r="A1080" s="136" t="str">
        <x:v>DrillCamp | Skirmish | Smith Field</x:v>
      </x:c>
      <x:c r="B1080" s="136" t="str">
        <x:v>Spawn | USA Spawnpoint_SF_Base_USA_6thPA [map-56/017]</x:v>
      </x:c>
      <x:c r="C1080" s="136" t="str">
        <x:v>spawn</x:v>
      </x:c>
      <x:c r="D1080" s="136" t="str">
        <x:v>USA</x:v>
      </x:c>
      <x:c r="E1080" s="136" t="str">
        <x:v>Spawnpoint_SF_Base_USA_6thPA</x:v>
      </x:c>
      <x:c r="F1080" s="137" t="n">
        <x:v>2467.41015625</x:v>
      </x:c>
      <x:c r="G1080" s="137" t="n">
        <x:v>1479.0408935546875</x:v>
      </x:c>
      <x:c r="H1080" s="137" t="n">
        <x:v>77.3370590209961</x:v>
      </x:c>
      <x:c r="I1080" s="137" t="n">
        <x:v>952.082310410622</x:v>
      </x:c>
      <x:c r="J1080" s="137" t="n">
        <x:v>446.9980879585303</x:v>
      </x:c>
      <x:c r="K1080" s="136" t="str">
        <x:v>map-56</x:v>
      </x:c>
      <x:c r="L1080" s="136" t="str">
        <x:v>DrillCamp | Skirmish | Smith Field||Spawn | USA Spawnpoint_SF_Base_USA_6thPA [map-56/017]</x:v>
      </x:c>
      <x:c r="M1080" s="35"/>
      <x:c r="N1080" s="35"/>
      <x:c r="O1080" s="35"/>
      <x:c r="P1080" s="35"/>
      <x:c r="Q1080" s="35"/>
      <x:c r="R1080" s="35"/>
      <x:c r="S1080" s="35"/>
      <x:c r="T1080" s="35"/>
      <x:c r="U1080" s="35"/>
      <x:c r="V1080" s="35"/>
      <x:c r="W1080" s="35"/>
      <x:c r="X1080" s="35"/>
      <x:c r="Y1080" s="35"/>
      <x:c r="Z1080" s="35"/>
      <x:c r="AA1080" s="35"/>
    </x:row>
    <x:row r="1081">
      <x:c r="A1081" s="136" t="str">
        <x:v>DrillCamp | Skirmish | Smith Field</x:v>
      </x:c>
      <x:c r="B1081" s="136" t="str">
        <x:v>Spawn | CSA Spawnpoint_SF_Base_CSA_14thTN2 [map-56/018]</x:v>
      </x:c>
      <x:c r="C1081" s="136" t="str">
        <x:v>spawn</x:v>
      </x:c>
      <x:c r="D1081" s="136" t="str">
        <x:v>CSA</x:v>
      </x:c>
      <x:c r="E1081" s="136" t="str">
        <x:v>Spawnpoint_SF_Base_CSA_14thTN2</x:v>
      </x:c>
      <x:c r="F1081" s="137" t="n">
        <x:v>2396.172607421875</x:v>
      </x:c>
      <x:c r="G1081" s="137" t="n">
        <x:v>784.3783569335938</x:v>
      </x:c>
      <x:c r="H1081" s="137" t="n">
        <x:v>64.5456314086914</x:v>
      </x:c>
      <x:c r="I1081" s="137" t="n">
        <x:v>817.3987048829092</x:v>
      </x:c>
      <x:c r="J1081" s="137" t="n">
        <x:v>1706.593038620925</x:v>
      </x:c>
      <x:c r="K1081" s="136" t="str">
        <x:v>map-56</x:v>
      </x:c>
      <x:c r="L1081" s="136" t="str">
        <x:v>DrillCamp | Skirmish | Smith Field||Spawn | CSA Spawnpoint_SF_Base_CSA_14thTN2 [map-56/018]</x:v>
      </x:c>
      <x:c r="M1081" s="35"/>
      <x:c r="N1081" s="35"/>
      <x:c r="O1081" s="35"/>
      <x:c r="P1081" s="35"/>
      <x:c r="Q1081" s="35"/>
      <x:c r="R1081" s="35"/>
      <x:c r="S1081" s="35"/>
      <x:c r="T1081" s="35"/>
      <x:c r="U1081" s="35"/>
      <x:c r="V1081" s="35"/>
      <x:c r="W1081" s="35"/>
      <x:c r="X1081" s="35"/>
      <x:c r="Y1081" s="35"/>
      <x:c r="Z1081" s="35"/>
      <x:c r="AA1081" s="35"/>
    </x:row>
    <x:row r="1082">
      <x:c r="A1082" s="136" t="str">
        <x:v>DrillCamp | Skirmish | Smith Field</x:v>
      </x:c>
      <x:c r="B1082" s="136" t="str">
        <x:v>Spawn | USA Spawnpoint_SF_Base_USA_8thOH1 [map-56/019]</x:v>
      </x:c>
      <x:c r="C1082" s="136" t="str">
        <x:v>spawn</x:v>
      </x:c>
      <x:c r="D1082" s="136" t="str">
        <x:v>USA</x:v>
      </x:c>
      <x:c r="E1082" s="136" t="str">
        <x:v>Spawnpoint_SF_Base_USA_8thOH1</x:v>
      </x:c>
      <x:c r="F1082" s="137" t="n">
        <x:v>2445.250732421875</x:v>
      </x:c>
      <x:c r="G1082" s="137" t="n">
        <x:v>1462.89404296875</x:v>
      </x:c>
      <x:c r="H1082" s="137" t="n">
        <x:v>78.11138916015625</x:v>
      </x:c>
      <x:c r="I1082" s="137" t="n">
        <x:v>911.7905286938244</x:v>
      </x:c>
      <x:c r="J1082" s="137" t="n">
        <x:v>476.4407507179141</x:v>
      </x:c>
      <x:c r="K1082" s="136" t="str">
        <x:v>map-56</x:v>
      </x:c>
      <x:c r="L1082" s="136" t="str">
        <x:v>DrillCamp | Skirmish | Smith Field||Spawn | USA Spawnpoint_SF_Base_USA_8thOH1 [map-56/019]</x:v>
      </x:c>
      <x:c r="M1082" s="35"/>
      <x:c r="N1082" s="35"/>
      <x:c r="O1082" s="35"/>
      <x:c r="P1082" s="35"/>
      <x:c r="Q1082" s="35"/>
      <x:c r="R1082" s="35"/>
      <x:c r="S1082" s="35"/>
      <x:c r="T1082" s="35"/>
      <x:c r="U1082" s="35"/>
      <x:c r="V1082" s="35"/>
      <x:c r="W1082" s="35"/>
      <x:c r="X1082" s="35"/>
      <x:c r="Y1082" s="35"/>
      <x:c r="Z1082" s="35"/>
      <x:c r="AA1082" s="35"/>
    </x:row>
    <x:row r="1083">
      <x:c r="A1083" s="136" t="str">
        <x:v>DrillCamp | Skirmish | Smith Field</x:v>
      </x:c>
      <x:c r="B1083" s="136" t="str">
        <x:v>Spawn | CSA Spawnpoint_SF_Base_CSA_14thTN1 [map-56/020]</x:v>
      </x:c>
      <x:c r="C1083" s="136" t="str">
        <x:v>spawn</x:v>
      </x:c>
      <x:c r="D1083" s="136" t="str">
        <x:v>CSA</x:v>
      </x:c>
      <x:c r="E1083" s="136" t="str">
        <x:v>Spawnpoint_SF_Base_CSA_14thTN1</x:v>
      </x:c>
      <x:c r="F1083" s="137" t="n">
        <x:v>2388.76611328125</x:v>
      </x:c>
      <x:c r="G1083" s="137" t="n">
        <x:v>760.9036865234375</x:v>
      </x:c>
      <x:c r="H1083" s="137" t="n">
        <x:v>62.98049545288086</x:v>
      </x:c>
      <x:c r="I1083" s="137" t="n">
        <x:v>803.7867337688346</x:v>
      </x:c>
      <x:c r="J1083" s="137" t="n">
        <x:v>1749.1985119768797</x:v>
      </x:c>
      <x:c r="K1083" s="136" t="str">
        <x:v>map-56</x:v>
      </x:c>
      <x:c r="L1083" s="136" t="str">
        <x:v>DrillCamp | Skirmish | Smith Field||Spawn | CSA Spawnpoint_SF_Base_CSA_14thTN1 [map-56/020]</x:v>
      </x:c>
      <x:c r="M1083" s="35"/>
      <x:c r="N1083" s="35"/>
      <x:c r="O1083" s="35"/>
      <x:c r="P1083" s="35"/>
      <x:c r="Q1083" s="35"/>
      <x:c r="R1083" s="35"/>
      <x:c r="S1083" s="35"/>
      <x:c r="T1083" s="35"/>
      <x:c r="U1083" s="35"/>
      <x:c r="V1083" s="35"/>
      <x:c r="W1083" s="35"/>
      <x:c r="X1083" s="35"/>
      <x:c r="Y1083" s="35"/>
      <x:c r="Z1083" s="35"/>
      <x:c r="AA1083" s="35"/>
    </x:row>
    <x:row r="1084">
      <x:c r="A1084" s="136" t="str">
        <x:v>DrillCamp | Skirmish | Smith Field</x:v>
      </x:c>
      <x:c r="B1084" s="136" t="str">
        <x:v>Spawn | CSA Spawnpoint_SF_Defend_CSA_14thTN1 [map-56/021]</x:v>
      </x:c>
      <x:c r="C1084" s="136" t="str">
        <x:v>spawn</x:v>
      </x:c>
      <x:c r="D1084" s="136" t="str">
        <x:v>CSA</x:v>
      </x:c>
      <x:c r="E1084" s="136" t="str">
        <x:v>Spawnpoint_SF_Defend_CSA_14thTN1</x:v>
      </x:c>
      <x:c r="F1084" s="137" t="n">
        <x:v>2438.06396484375</x:v>
      </x:c>
      <x:c r="G1084" s="137" t="n">
        <x:v>1017.3406982421875</x:v>
      </x:c>
      <x:c r="H1084" s="137" t="n">
        <x:v>84.99581146240234</x:v>
      </x:c>
      <x:c r="I1084" s="137" t="n">
        <x:v>895.1919025118883</x:v>
      </x:c>
      <x:c r="J1084" s="137" t="n">
        <x:v>1284.0303471332973</x:v>
      </x:c>
      <x:c r="K1084" s="136" t="str">
        <x:v>map-56</x:v>
      </x:c>
      <x:c r="L1084" s="136" t="str">
        <x:v>DrillCamp | Skirmish | Smith Field||Spawn | CSA Spawnpoint_SF_Defend_CSA_14thTN1 [map-56/021]</x:v>
      </x:c>
      <x:c r="M1084" s="35"/>
      <x:c r="N1084" s="35"/>
      <x:c r="O1084" s="35"/>
      <x:c r="P1084" s="35"/>
      <x:c r="Q1084" s="35"/>
      <x:c r="R1084" s="35"/>
      <x:c r="S1084" s="35"/>
      <x:c r="T1084" s="35"/>
      <x:c r="U1084" s="35"/>
      <x:c r="V1084" s="35"/>
      <x:c r="W1084" s="35"/>
      <x:c r="X1084" s="35"/>
      <x:c r="Y1084" s="35"/>
      <x:c r="Z1084" s="35"/>
      <x:c r="AA1084" s="35"/>
    </x:row>
    <x:row r="1085">
      <x:c r="A1085" s="136" t="str">
        <x:v>DrillCamp | Skirmish | Smith Field</x:v>
      </x:c>
      <x:c r="B1085" s="136" t="str">
        <x:v>Spawn | USA Spawnpoint_SF_Base_USA_19thIN2 [map-56/022]</x:v>
      </x:c>
      <x:c r="C1085" s="136" t="str">
        <x:v>spawn</x:v>
      </x:c>
      <x:c r="D1085" s="136" t="str">
        <x:v>USA</x:v>
      </x:c>
      <x:c r="E1085" s="136" t="str">
        <x:v>Spawnpoint_SF_Base_USA_19thIN2</x:v>
      </x:c>
      <x:c r="F1085" s="137" t="n">
        <x:v>2434.7626953125</x:v>
      </x:c>
      <x:c r="G1085" s="137" t="n">
        <x:v>1482.0709228515625</x:v>
      </x:c>
      <x:c r="H1085" s="137" t="n">
        <x:v>76.47834777832031</x:v>
      </x:c>
      <x:c r="I1085" s="137" t="n">
        <x:v>892.9355399191585</x:v>
      </x:c>
      <x:c r="J1085" s="137" t="n">
        <x:v>441.7682063804938</x:v>
      </x:c>
      <x:c r="K1085" s="136" t="str">
        <x:v>map-56</x:v>
      </x:c>
      <x:c r="L1085" s="136" t="str">
        <x:v>DrillCamp | Skirmish | Smith Field||Spawn | USA Spawnpoint_SF_Base_USA_19thIN2 [map-56/022]</x:v>
      </x:c>
      <x:c r="M1085" s="35"/>
      <x:c r="N1085" s="35"/>
      <x:c r="O1085" s="35"/>
      <x:c r="P1085" s="35"/>
      <x:c r="Q1085" s="35"/>
      <x:c r="R1085" s="35"/>
      <x:c r="S1085" s="35"/>
      <x:c r="T1085" s="35"/>
      <x:c r="U1085" s="35"/>
      <x:c r="V1085" s="35"/>
      <x:c r="W1085" s="35"/>
      <x:c r="X1085" s="35"/>
      <x:c r="Y1085" s="35"/>
      <x:c r="Z1085" s="35"/>
      <x:c r="AA1085" s="35"/>
    </x:row>
    <x:row r="1086">
      <x:c r="A1086" s="136" t="str">
        <x:v>DrillCamp | Skirmish | Smith Field</x:v>
      </x:c>
      <x:c r="B1086" s="136" t="str">
        <x:v>Gun | 3-inch Ordnance · Entity-1214 [map-56/023]</x:v>
      </x:c>
      <x:c r="C1086" s="136" t="str">
        <x:v>gun_spawn</x:v>
      </x:c>
      <x:c r="D1086" s="136" t="str"/>
      <x:c r="E1086" s="136" t="str">
        <x:v>3-inch Ordnance · Entity-1214</x:v>
      </x:c>
      <x:c r="F1086" s="137" t="n">
        <x:v>2582.262451171875</x:v>
      </x:c>
      <x:c r="G1086" s="137" t="n">
        <x:v>1225.5833740234375</x:v>
      </x:c>
      <x:c r="H1086" s="137" t="n">
        <x:v>84.27999114990234</x:v>
      </x:c>
      <x:c r="I1086" s="137" t="n">
        <x:v>1158.2108433530652</x:v>
      </x:c>
      <x:c r="J1086" s="137" t="n">
        <x:v>905.4497321269197</x:v>
      </x:c>
      <x:c r="K1086" s="136" t="str">
        <x:v>map-56</x:v>
      </x:c>
      <x:c r="L1086" s="136" t="str">
        <x:v>DrillCamp | Skirmish | Smith Field||Gun | 3-inch Ordnance · Entity-1214 [map-56/023]</x:v>
      </x:c>
      <x:c r="M1086" s="35"/>
      <x:c r="N1086" s="35"/>
      <x:c r="O1086" s="35"/>
      <x:c r="P1086" s="35"/>
      <x:c r="Q1086" s="35"/>
      <x:c r="R1086" s="35"/>
      <x:c r="S1086" s="35"/>
      <x:c r="T1086" s="35"/>
      <x:c r="U1086" s="35"/>
      <x:c r="V1086" s="35"/>
      <x:c r="W1086" s="35"/>
      <x:c r="X1086" s="35"/>
      <x:c r="Y1086" s="35"/>
      <x:c r="Z1086" s="35"/>
      <x:c r="AA1086" s="35"/>
    </x:row>
    <x:row r="1087">
      <x:c r="A1087" s="136" t="str">
        <x:v>DrillCamp | Skirmish | Smith Field</x:v>
      </x:c>
      <x:c r="B1087" s="136" t="str">
        <x:v>Gun | 12-pounder Napoleon (USA) · Entity-1205 [map-56/024]</x:v>
      </x:c>
      <x:c r="C1087" s="136" t="str">
        <x:v>gun_spawn</x:v>
      </x:c>
      <x:c r="D1087" s="136" t="str"/>
      <x:c r="E1087" s="136" t="str">
        <x:v>12-pounder Napoleon (USA) · Entity-1205</x:v>
      </x:c>
      <x:c r="F1087" s="137" t="n">
        <x:v>2425.86083984375</x:v>
      </x:c>
      <x:c r="G1087" s="137" t="n">
        <x:v>1272.6436767578125</x:v>
      </x:c>
      <x:c r="H1087" s="137" t="n">
        <x:v>85.6020278930664</x:v>
      </x:c>
      <x:c r="I1087" s="137" t="n">
        <x:v>875.1220775184813</x:v>
      </x:c>
      <x:c r="J1087" s="137" t="n">
        <x:v>821.4107441607033</x:v>
      </x:c>
      <x:c r="K1087" s="136" t="str">
        <x:v>map-56</x:v>
      </x:c>
      <x:c r="L1087" s="136" t="str">
        <x:v>DrillCamp | Skirmish | Smith Field||Gun | 12-pounder Napoleon (USA) · Entity-1205 [map-56/024]</x:v>
      </x:c>
      <x:c r="M1087" s="35"/>
      <x:c r="N1087" s="35"/>
      <x:c r="O1087" s="35"/>
      <x:c r="P1087" s="35"/>
      <x:c r="Q1087" s="35"/>
      <x:c r="R1087" s="35"/>
      <x:c r="S1087" s="35"/>
      <x:c r="T1087" s="35"/>
      <x:c r="U1087" s="35"/>
      <x:c r="V1087" s="35"/>
      <x:c r="W1087" s="35"/>
      <x:c r="X1087" s="35"/>
      <x:c r="Y1087" s="35"/>
      <x:c r="Z1087" s="35"/>
      <x:c r="AA1087" s="35"/>
    </x:row>
    <x:row r="1088">
      <x:c r="A1088" s="136" t="str">
        <x:v>DrillCamp | Skirmish | Smith Field</x:v>
      </x:c>
      <x:c r="B1088" s="136" t="str">
        <x:v>Gun | 3-inch Ordnance · Entity-1213 [map-56/025]</x:v>
      </x:c>
      <x:c r="C1088" s="136" t="str">
        <x:v>gun_spawn</x:v>
      </x:c>
      <x:c r="D1088" s="136" t="str"/>
      <x:c r="E1088" s="136" t="str">
        <x:v>3-inch Ordnance · Entity-1213</x:v>
      </x:c>
      <x:c r="F1088" s="137" t="n">
        <x:v>2588.10107421875</x:v>
      </x:c>
      <x:c r="G1088" s="137" t="n">
        <x:v>1221.02587890625</x:v>
      </x:c>
      <x:c r="H1088" s="137" t="n">
        <x:v>83.74666595458984</x:v>
      </x:c>
      <x:c r="I1088" s="137" t="n">
        <x:v>1168.7563597637438</x:v>
      </x:c>
      <x:c r="J1088" s="137" t="n">
        <x:v>913.6630263143147</x:v>
      </x:c>
      <x:c r="K1088" s="136" t="str">
        <x:v>map-56</x:v>
      </x:c>
      <x:c r="L1088" s="136" t="str">
        <x:v>DrillCamp | Skirmish | Smith Field||Gun | 3-inch Ordnance · Entity-1213 [map-56/025]</x:v>
      </x:c>
      <x:c r="M1088" s="35"/>
      <x:c r="N1088" s="35"/>
      <x:c r="O1088" s="35"/>
      <x:c r="P1088" s="35"/>
      <x:c r="Q1088" s="35"/>
      <x:c r="R1088" s="35"/>
      <x:c r="S1088" s="35"/>
      <x:c r="T1088" s="35"/>
      <x:c r="U1088" s="35"/>
      <x:c r="V1088" s="35"/>
      <x:c r="W1088" s="35"/>
      <x:c r="X1088" s="35"/>
      <x:c r="Y1088" s="35"/>
      <x:c r="Z1088" s="35"/>
      <x:c r="AA1088" s="35"/>
    </x:row>
    <x:row r="1089">
      <x:c r="A1089" s="136" t="str">
        <x:v>DrillCamp | Skirmish | Smith Field</x:v>
      </x:c>
      <x:c r="B1089" s="136" t="str">
        <x:v>Gun | 12-pounder Napoleon (CSA) · Entity-1235 [map-56/026]</x:v>
      </x:c>
      <x:c r="C1089" s="136" t="str">
        <x:v>gun_spawn</x:v>
      </x:c>
      <x:c r="D1089" s="136" t="str"/>
      <x:c r="E1089" s="136" t="str">
        <x:v>12-pounder Napoleon (CSA) · Entity-1235</x:v>
      </x:c>
      <x:c r="F1089" s="137" t="n">
        <x:v>2455.03515625</x:v>
      </x:c>
      <x:c r="G1089" s="137" t="n">
        <x:v>1044.792724609375</x:v>
      </x:c>
      <x:c r="H1089" s="137" t="n">
        <x:v>82.57435607910156</x:v>
      </x:c>
      <x:c r="I1089" s="137" t="n">
        <x:v>926.1710655130887</x:v>
      </x:c>
      <x:c r="J1089" s="137" t="n">
        <x:v>1234.1395100976931</x:v>
      </x:c>
      <x:c r="K1089" s="136" t="str">
        <x:v>map-56</x:v>
      </x:c>
      <x:c r="L1089" s="136" t="str">
        <x:v>DrillCamp | Skirmish | Smith Field||Gun | 12-pounder Napoleon (CSA) · Entity-1235 [map-56/026]</x:v>
      </x:c>
      <x:c r="M1089" s="35"/>
      <x:c r="N1089" s="35"/>
      <x:c r="O1089" s="35"/>
      <x:c r="P1089" s="35"/>
      <x:c r="Q1089" s="35"/>
      <x:c r="R1089" s="35"/>
      <x:c r="S1089" s="35"/>
      <x:c r="T1089" s="35"/>
      <x:c r="U1089" s="35"/>
      <x:c r="V1089" s="35"/>
      <x:c r="W1089" s="35"/>
      <x:c r="X1089" s="35"/>
      <x:c r="Y1089" s="35"/>
      <x:c r="Z1089" s="35"/>
      <x:c r="AA1089" s="35"/>
    </x:row>
    <x:row r="1090">
      <x:c r="A1090" s="136" t="str">
        <x:v>DrillCamp | Skirmish | Smith Field</x:v>
      </x:c>
      <x:c r="B1090" s="136" t="str">
        <x:v>Gun | 3-inch Ordnance · Entity-1220 [map-56/027]</x:v>
      </x:c>
      <x:c r="C1090" s="136" t="str">
        <x:v>gun_spawn</x:v>
      </x:c>
      <x:c r="D1090" s="136" t="str"/>
      <x:c r="E1090" s="136" t="str">
        <x:v>3-inch Ordnance · Entity-1220</x:v>
      </x:c>
      <x:c r="F1090" s="137" t="n">
        <x:v>2366.877685546875</x:v>
      </x:c>
      <x:c r="G1090" s="137" t="n">
        <x:v>1063.6007080078125</x:v>
      </x:c>
      <x:c r="H1090" s="137" t="n">
        <x:v>87.45556640625</x:v>
      </x:c>
      <x:c r="I1090" s="137" t="n">
        <x:v>766.5431054908139</x:v>
      </x:c>
      <x:c r="J1090" s="137" t="n">
        <x:v>1200.7584390217637</x:v>
      </x:c>
      <x:c r="K1090" s="136" t="str">
        <x:v>map-56</x:v>
      </x:c>
      <x:c r="L1090" s="136" t="str">
        <x:v>DrillCamp | Skirmish | Smith Field||Gun | 3-inch Ordnance · Entity-1220 [map-56/027]</x:v>
      </x:c>
      <x:c r="M1090" s="35"/>
      <x:c r="N1090" s="35"/>
      <x:c r="O1090" s="35"/>
      <x:c r="P1090" s="35"/>
      <x:c r="Q1090" s="35"/>
      <x:c r="R1090" s="35"/>
      <x:c r="S1090" s="35"/>
      <x:c r="T1090" s="35"/>
      <x:c r="U1090" s="35"/>
      <x:c r="V1090" s="35"/>
      <x:c r="W1090" s="35"/>
      <x:c r="X1090" s="35"/>
      <x:c r="Y1090" s="35"/>
      <x:c r="Z1090" s="35"/>
      <x:c r="AA1090" s="35"/>
    </x:row>
    <x:row r="1091">
      <x:c r="A1091" s="136" t="str">
        <x:v>DrillCamp | Skirmish | Smith Field</x:v>
      </x:c>
      <x:c r="B1091" s="136" t="str">
        <x:v>Gun | 3-inch Ordnance · Entity-1236 [map-56/028]</x:v>
      </x:c>
      <x:c r="C1091" s="136" t="str">
        <x:v>gun_spawn</x:v>
      </x:c>
      <x:c r="D1091" s="136" t="str"/>
      <x:c r="E1091" s="136" t="str">
        <x:v>3-inch Ordnance · Entity-1236</x:v>
      </x:c>
      <x:c r="F1091" s="137" t="n">
        <x:v>2448.044677734375</x:v>
      </x:c>
      <x:c r="G1091" s="137" t="n">
        <x:v>1044.1036376953125</x:v>
      </x:c>
      <x:c r="H1091" s="137" t="n">
        <x:v>83.18207550048828</x:v>
      </x:c>
      <x:c r="I1091" s="137" t="n">
        <x:v>913.4958222325122</x:v>
      </x:c>
      <x:c r="J1091" s="137" t="n">
        <x:v>1235.4444890457014</x:v>
      </x:c>
      <x:c r="K1091" s="136" t="str">
        <x:v>map-56</x:v>
      </x:c>
      <x:c r="L1091" s="136" t="str">
        <x:v>DrillCamp | Skirmish | Smith Field||Gun | 3-inch Ordnance · Entity-1236 [map-56/028]</x:v>
      </x:c>
      <x:c r="M1091" s="35"/>
      <x:c r="N1091" s="35"/>
      <x:c r="O1091" s="35"/>
      <x:c r="P1091" s="35"/>
      <x:c r="Q1091" s="35"/>
      <x:c r="R1091" s="35"/>
      <x:c r="S1091" s="35"/>
      <x:c r="T1091" s="35"/>
      <x:c r="U1091" s="35"/>
      <x:c r="V1091" s="35"/>
      <x:c r="W1091" s="35"/>
      <x:c r="X1091" s="35"/>
      <x:c r="Y1091" s="35"/>
      <x:c r="Z1091" s="35"/>
      <x:c r="AA1091" s="35"/>
    </x:row>
    <x:row r="1092">
      <x:c r="A1092" s="136" t="str">
        <x:v>DrillCamp | Skirmish | Smith Field</x:v>
      </x:c>
      <x:c r="B1092" s="136" t="str">
        <x:v>Gun | 12-pounder Napoleon (CSA) · Entity-1234 [map-56/029]</x:v>
      </x:c>
      <x:c r="C1092" s="136" t="str">
        <x:v>gun_spawn</x:v>
      </x:c>
      <x:c r="D1092" s="136" t="str"/>
      <x:c r="E1092" s="136" t="str">
        <x:v>12-pounder Napoleon (CSA) · Entity-1234</x:v>
      </x:c>
      <x:c r="F1092" s="137" t="n">
        <x:v>2462.77099609375</x:v>
      </x:c>
      <x:c r="G1092" s="137" t="n">
        <x:v>1045.081298828125</x:v>
      </x:c>
      <x:c r="H1092" s="137" t="n">
        <x:v>81.80274200439453</x:v>
      </x:c>
      <x:c r="I1092" s="137" t="n">
        <x:v>940.194008256783</x:v>
      </x:c>
      <x:c r="J1092" s="137" t="n">
        <x:v>1233.5544528347393</x:v>
      </x:c>
      <x:c r="K1092" s="136" t="str">
        <x:v>map-56</x:v>
      </x:c>
      <x:c r="L1092" s="136" t="str">
        <x:v>DrillCamp | Skirmish | Smith Field||Gun | 12-pounder Napoleon (CSA) · Entity-1234 [map-56/029]</x:v>
      </x:c>
      <x:c r="M1092" s="35"/>
      <x:c r="N1092" s="35"/>
      <x:c r="O1092" s="35"/>
      <x:c r="P1092" s="35"/>
      <x:c r="Q1092" s="35"/>
      <x:c r="R1092" s="35"/>
      <x:c r="S1092" s="35"/>
      <x:c r="T1092" s="35"/>
      <x:c r="U1092" s="35"/>
      <x:c r="V1092" s="35"/>
      <x:c r="W1092" s="35"/>
      <x:c r="X1092" s="35"/>
      <x:c r="Y1092" s="35"/>
      <x:c r="Z1092" s="35"/>
      <x:c r="AA1092" s="35"/>
    </x:row>
    <x:row r="1093">
      <x:c r="A1093" s="136" t="str">
        <x:v>DrillCamp | Skirmish | Smith Field</x:v>
      </x:c>
      <x:c r="B1093" s="136" t="str">
        <x:v>Gun | 3-inch Ordnance · Entity-1230 [map-56/030]</x:v>
      </x:c>
      <x:c r="C1093" s="136" t="str">
        <x:v>gun_spawn</x:v>
      </x:c>
      <x:c r="D1093" s="136" t="str"/>
      <x:c r="E1093" s="136" t="str">
        <x:v>3-inch Ordnance · Entity-1230</x:v>
      </x:c>
      <x:c r="F1093" s="137" t="n">
        <x:v>2470.28662109375</x:v>
      </x:c>
      <x:c r="G1093" s="137" t="n">
        <x:v>1045.1768798828125</x:v>
      </x:c>
      <x:c r="H1093" s="137" t="n">
        <x:v>80.56031799316406</x:v>
      </x:c>
      <x:c r="I1093" s="137" t="n">
        <x:v>953.8162804177964</x:v>
      </x:c>
      <x:c r="J1093" s="137" t="n">
        <x:v>1233.320947211669</x:v>
      </x:c>
      <x:c r="K1093" s="136" t="str">
        <x:v>map-56</x:v>
      </x:c>
      <x:c r="L1093" s="136" t="str">
        <x:v>DrillCamp | Skirmish | Smith Field||Gun | 3-inch Ordnance · Entity-1230 [map-56/030]</x:v>
      </x:c>
      <x:c r="M1093" s="35"/>
      <x:c r="N1093" s="35"/>
      <x:c r="O1093" s="35"/>
      <x:c r="P1093" s="35"/>
      <x:c r="Q1093" s="35"/>
      <x:c r="R1093" s="35"/>
      <x:c r="S1093" s="35"/>
      <x:c r="T1093" s="35"/>
      <x:c r="U1093" s="35"/>
      <x:c r="V1093" s="35"/>
      <x:c r="W1093" s="35"/>
      <x:c r="X1093" s="35"/>
      <x:c r="Y1093" s="35"/>
      <x:c r="Z1093" s="35"/>
      <x:c r="AA1093" s="35"/>
    </x:row>
    <x:row r="1094">
      <x:c r="A1094" s="136" t="str">
        <x:v>DrillCamp | Skirmish | Smith Field</x:v>
      </x:c>
      <x:c r="B1094" s="136" t="str">
        <x:v>Gun | 12-pounder Napoleon (CSA) · Entity-1219 [map-56/031]</x:v>
      </x:c>
      <x:c r="C1094" s="136" t="str">
        <x:v>gun_spawn</x:v>
      </x:c>
      <x:c r="D1094" s="136" t="str"/>
      <x:c r="E1094" s="136" t="str">
        <x:v>12-pounder Napoleon (CSA) · Entity-1219</x:v>
      </x:c>
      <x:c r="F1094" s="137" t="n">
        <x:v>2381.60400390625</x:v>
      </x:c>
      <x:c r="G1094" s="137" t="n">
        <x:v>1064.578369140625</x:v>
      </x:c>
      <x:c r="H1094" s="137" t="n">
        <x:v>87.80809020996094</x:v>
      </x:c>
      <x:c r="I1094" s="137" t="n">
        <x:v>793.2412915150848</x:v>
      </x:c>
      <x:c r="J1094" s="137" t="n">
        <x:v>1198.8684028108014</x:v>
      </x:c>
      <x:c r="K1094" s="136" t="str">
        <x:v>map-56</x:v>
      </x:c>
      <x:c r="L1094" s="136" t="str">
        <x:v>DrillCamp | Skirmish | Smith Field||Gun | 12-pounder Napoleon (CSA) · Entity-1219 [map-56/031]</x:v>
      </x:c>
      <x:c r="M1094" s="35"/>
      <x:c r="N1094" s="35"/>
      <x:c r="O1094" s="35"/>
      <x:c r="P1094" s="35"/>
      <x:c r="Q1094" s="35"/>
      <x:c r="R1094" s="35"/>
      <x:c r="S1094" s="35"/>
      <x:c r="T1094" s="35"/>
      <x:c r="U1094" s="35"/>
      <x:c r="V1094" s="35"/>
      <x:c r="W1094" s="35"/>
      <x:c r="X1094" s="35"/>
      <x:c r="Y1094" s="35"/>
      <x:c r="Z1094" s="35"/>
      <x:c r="AA1094" s="35"/>
    </x:row>
    <x:row r="1095">
      <x:c r="A1095" s="136" t="str">
        <x:v>DrillCamp | Skirmish | Smith Field</x:v>
      </x:c>
      <x:c r="B1095" s="136" t="str">
        <x:v>Gun | 12-pounder Napoleon (USA) · Entity-1206 [map-56/032]</x:v>
      </x:c>
      <x:c r="C1095" s="136" t="str">
        <x:v>gun_spawn</x:v>
      </x:c>
      <x:c r="D1095" s="136" t="str"/>
      <x:c r="E1095" s="136" t="str">
        <x:v>12-pounder Napoleon (USA) · Entity-1206</x:v>
      </x:c>
      <x:c r="F1095" s="137" t="n">
        <x:v>2406.810546875</x:v>
      </x:c>
      <x:c r="G1095" s="137" t="n">
        <x:v>1270.4876708984375</x:v>
      </x:c>
      <x:c r="H1095" s="137" t="n">
        <x:v>86.87955474853516</x:v>
      </x:c>
      <x:c r="I1095" s="137" t="n">
        <x:v>840.5775625600435</x:v>
      </x:c>
      <x:c r="J1095" s="137" t="n">
        <x:v>825.4711181087239</x:v>
      </x:c>
      <x:c r="K1095" s="136" t="str">
        <x:v>map-56</x:v>
      </x:c>
      <x:c r="L1095" s="136" t="str">
        <x:v>DrillCamp | Skirmish | Smith Field||Gun | 12-pounder Napoleon (USA) · Entity-1206 [map-56/032]</x:v>
      </x:c>
      <x:c r="M1095" s="35"/>
      <x:c r="N1095" s="35"/>
      <x:c r="O1095" s="35"/>
      <x:c r="P1095" s="35"/>
      <x:c r="Q1095" s="35"/>
      <x:c r="R1095" s="35"/>
      <x:c r="S1095" s="35"/>
      <x:c r="T1095" s="35"/>
      <x:c r="U1095" s="35"/>
      <x:c r="V1095" s="35"/>
      <x:c r="W1095" s="35"/>
      <x:c r="X1095" s="35"/>
      <x:c r="Y1095" s="35"/>
      <x:c r="Z1095" s="35"/>
      <x:c r="AA1095" s="35"/>
    </x:row>
    <x:row r="1096">
      <x:c r="A1096" s="136" t="str">
        <x:v>DrillCamp | Skirmish | Smith Field</x:v>
      </x:c>
      <x:c r="B1096" s="136" t="str">
        <x:v>Gun | 10-pounder Parrott · Entity-1202 [map-56/033]</x:v>
      </x:c>
      <x:c r="C1096" s="136" t="str">
        <x:v>gun_spawn</x:v>
      </x:c>
      <x:c r="D1096" s="136" t="str"/>
      <x:c r="E1096" s="136" t="str">
        <x:v>10-pounder Parrott · Entity-1202</x:v>
      </x:c>
      <x:c r="F1096" s="137" t="n">
        <x:v>2450.076416015625</x:v>
      </x:c>
      <x:c r="G1096" s="137" t="n">
        <x:v>1275.5078125</x:v>
      </x:c>
      <x:c r="H1096" s="137" t="n">
        <x:v>84.64292907714844</x:v>
      </x:c>
      <x:c r="I1096" s="137" t="n">
        <x:v>919.0339591025133</x:v>
      </x:c>
      <x:c r="J1096" s="137" t="n">
        <x:v>816.0255146111887</x:v>
      </x:c>
      <x:c r="K1096" s="136" t="str">
        <x:v>map-56</x:v>
      </x:c>
      <x:c r="L1096" s="136" t="str">
        <x:v>DrillCamp | Skirmish | Smith Field||Gun | 10-pounder Parrott · Entity-1202 [map-56/033]</x:v>
      </x:c>
      <x:c r="M1096" s="35"/>
      <x:c r="N1096" s="35"/>
      <x:c r="O1096" s="35"/>
      <x:c r="P1096" s="35"/>
      <x:c r="Q1096" s="35"/>
      <x:c r="R1096" s="35"/>
      <x:c r="S1096" s="35"/>
      <x:c r="T1096" s="35"/>
      <x:c r="U1096" s="35"/>
      <x:c r="V1096" s="35"/>
      <x:c r="W1096" s="35"/>
      <x:c r="X1096" s="35"/>
      <x:c r="Y1096" s="35"/>
      <x:c r="Z1096" s="35"/>
      <x:c r="AA1096" s="35"/>
    </x:row>
    <x:row r="1097">
      <x:c r="A1097" s="136" t="str">
        <x:v>DrillCamp | Skirmish | Smith Field</x:v>
      </x:c>
      <x:c r="B1097" s="136" t="str">
        <x:v>Gun | 12-pounder Napoleon (USA) · Entity-1215 [map-56/034]</x:v>
      </x:c>
      <x:c r="C1097" s="136" t="str">
        <x:v>gun_spawn</x:v>
      </x:c>
      <x:c r="D1097" s="136" t="str"/>
      <x:c r="E1097" s="136" t="str">
        <x:v>12-pounder Napoleon (USA) · Entity-1215</x:v>
      </x:c>
      <x:c r="F1097" s="137" t="n">
        <x:v>2575.757080078125</x:v>
      </x:c>
      <x:c r="G1097" s="137" t="n">
        <x:v>1230.5394287109375</x:v>
      </x:c>
      <x:c r="H1097" s="137" t="n">
        <x:v>84.70345306396484</x:v>
      </x:c>
      <x:c r="I1097" s="137" t="n">
        <x:v>1146.4600924818462</x:v>
      </x:c>
      <x:c r="J1097" s="137" t="n">
        <x:v>896.5194257014285</x:v>
      </x:c>
      <x:c r="K1097" s="136" t="str">
        <x:v>map-56</x:v>
      </x:c>
      <x:c r="L1097" s="136" t="str">
        <x:v>DrillCamp | Skirmish | Smith Field||Gun | 12-pounder Napoleon (USA) · Entity-1215 [map-56/034]</x:v>
      </x:c>
      <x:c r="M1097" s="35"/>
      <x:c r="N1097" s="35"/>
      <x:c r="O1097" s="35"/>
      <x:c r="P1097" s="35"/>
      <x:c r="Q1097" s="35"/>
      <x:c r="R1097" s="35"/>
      <x:c r="S1097" s="35"/>
      <x:c r="T1097" s="35"/>
      <x:c r="U1097" s="35"/>
      <x:c r="V1097" s="35"/>
      <x:c r="W1097" s="35"/>
      <x:c r="X1097" s="35"/>
      <x:c r="Y1097" s="35"/>
      <x:c r="Z1097" s="35"/>
      <x:c r="AA1097" s="35"/>
    </x:row>
    <x:row r="1098">
      <x:c r="A1098" s="136" t="str">
        <x:v>DrillCamp | Skirmish | Smith Field</x:v>
      </x:c>
      <x:c r="B1098" s="136" t="str">
        <x:v>Gun | 12-pounder Napoleon (CSA) · Entity-1221 [map-56/035]</x:v>
      </x:c>
      <x:c r="C1098" s="136" t="str">
        <x:v>gun_spawn</x:v>
      </x:c>
      <x:c r="D1098" s="136" t="str"/>
      <x:c r="E1098" s="136" t="str">
        <x:v>12-pounder Napoleon (CSA) · Entity-1221</x:v>
      </x:c>
      <x:c r="F1098" s="137" t="n">
        <x:v>2373.8681640625</x:v>
      </x:c>
      <x:c r="G1098" s="137" t="n">
        <x:v>1064.2900390625</x:v>
      </x:c>
      <x:c r="H1098" s="137" t="n">
        <x:v>87.80488586425781</x:v>
      </x:c>
      <x:c r="I1098" s="137" t="n">
        <x:v>779.2183507292953</x:v>
      </x:c>
      <x:c r="J1098" s="137" t="n">
        <x:v>1199.4530175872153</x:v>
      </x:c>
      <x:c r="K1098" s="136" t="str">
        <x:v>map-56</x:v>
      </x:c>
      <x:c r="L1098" s="136" t="str">
        <x:v>DrillCamp | Skirmish | Smith Field||Gun | 12-pounder Napoleon (CSA) · Entity-1221 [map-56/035]</x:v>
      </x:c>
      <x:c r="M1098" s="35"/>
      <x:c r="N1098" s="35"/>
      <x:c r="O1098" s="35"/>
      <x:c r="P1098" s="35"/>
      <x:c r="Q1098" s="35"/>
      <x:c r="R1098" s="35"/>
      <x:c r="S1098" s="35"/>
      <x:c r="T1098" s="35"/>
      <x:c r="U1098" s="35"/>
      <x:c r="V1098" s="35"/>
      <x:c r="W1098" s="35"/>
      <x:c r="X1098" s="35"/>
      <x:c r="Y1098" s="35"/>
      <x:c r="Z1098" s="35"/>
      <x:c r="AA1098" s="35"/>
    </x:row>
    <x:row r="1099">
      <x:c r="A1099" s="136" t="str">
        <x:v>DrillCamp | Skirmish | Smith Field</x:v>
      </x:c>
      <x:c r="B1099" s="136" t="str">
        <x:v>Gun | 10-pounder Parrott · Entity-1203 [map-56/036]</x:v>
      </x:c>
      <x:c r="C1099" s="136" t="str">
        <x:v>gun_spawn</x:v>
      </x:c>
      <x:c r="D1099" s="136" t="str"/>
      <x:c r="E1099" s="136" t="str">
        <x:v>10-pounder Parrott · Entity-1203</x:v>
      </x:c>
      <x:c r="F1099" s="137" t="n">
        <x:v>2433.95947265625</x:v>
      </x:c>
      <x:c r="G1099" s="137" t="n">
        <x:v>1273.700927734375</x:v>
      </x:c>
      <x:c r="H1099" s="137" t="n">
        <x:v>85.16184997558594</x:v>
      </x:c>
      <x:c r="I1099" s="137" t="n">
        <x:v>889.808719723725</x:v>
      </x:c>
      <x:c r="J1099" s="137" t="n">
        <x:v>819.4296085805836</x:v>
      </x:c>
      <x:c r="K1099" s="136" t="str">
        <x:v>map-56</x:v>
      </x:c>
      <x:c r="L1099" s="136" t="str">
        <x:v>DrillCamp | Skirmish | Smith Field||Gun | 10-pounder Parrott · Entity-1203 [map-56/036]</x:v>
      </x:c>
      <x:c r="M1099" s="35"/>
      <x:c r="N1099" s="35"/>
      <x:c r="O1099" s="35"/>
      <x:c r="P1099" s="35"/>
      <x:c r="Q1099" s="35"/>
      <x:c r="R1099" s="35"/>
      <x:c r="S1099" s="35"/>
      <x:c r="T1099" s="35"/>
      <x:c r="U1099" s="35"/>
      <x:c r="V1099" s="35"/>
      <x:c r="W1099" s="35"/>
      <x:c r="X1099" s="35"/>
      <x:c r="Y1099" s="35"/>
      <x:c r="Z1099" s="35"/>
      <x:c r="AA1099" s="35"/>
    </x:row>
    <x:row r="1100">
      <x:c r="A1100" s="136" t="str">
        <x:v>DrillCamp | Skirmish | Smith Field</x:v>
      </x:c>
      <x:c r="B1100" s="136" t="str">
        <x:v>Gun | 12-pounder Napoleon (CSA) · Entity-1228 [map-56/037]</x:v>
      </x:c>
      <x:c r="C1100" s="136" t="str">
        <x:v>gun_spawn</x:v>
      </x:c>
      <x:c r="D1100" s="136" t="str"/>
      <x:c r="E1100" s="136" t="str">
        <x:v>12-pounder Napoleon (CSA) · Entity-1228</x:v>
      </x:c>
      <x:c r="F1100" s="137" t="n">
        <x:v>2485.0126953125</x:v>
      </x:c>
      <x:c r="G1100" s="137" t="n">
        <x:v>1046.154296875</x:v>
      </x:c>
      <x:c r="H1100" s="137" t="n">
        <x:v>77.70622253417969</x:v>
      </x:c>
      <x:c r="I1100" s="137" t="n">
        <x:v>980.5140219976225</x:v>
      </x:c>
      <x:c r="J1100" s="137" t="n">
        <x:v>1231.4313554451512</x:v>
      </x:c>
      <x:c r="K1100" s="136" t="str">
        <x:v>map-56</x:v>
      </x:c>
      <x:c r="L1100" s="136" t="str">
        <x:v>DrillCamp | Skirmish | Smith Field||Gun | 12-pounder Napoleon (CSA) · Entity-1228 [map-56/037]</x:v>
      </x:c>
      <x:c r="M1100" s="35"/>
      <x:c r="N1100" s="35"/>
      <x:c r="O1100" s="35"/>
      <x:c r="P1100" s="35"/>
      <x:c r="Q1100" s="35"/>
      <x:c r="R1100" s="35"/>
      <x:c r="S1100" s="35"/>
      <x:c r="T1100" s="35"/>
      <x:c r="U1100" s="35"/>
      <x:c r="V1100" s="35"/>
      <x:c r="W1100" s="35"/>
      <x:c r="X1100" s="35"/>
      <x:c r="Y1100" s="35"/>
      <x:c r="Z1100" s="35"/>
      <x:c r="AA1100" s="35"/>
    </x:row>
    <x:row r="1101">
      <x:c r="A1101" s="136" t="str">
        <x:v>DrillCamp | Skirmish | Smith Field</x:v>
      </x:c>
      <x:c r="B1101" s="136" t="str">
        <x:v>Gun | 10-pounder Parrott · Entity-1201 [map-56/038]</x:v>
      </x:c>
      <x:c r="C1101" s="136" t="str">
        <x:v>gun_spawn</x:v>
      </x:c>
      <x:c r="D1101" s="136" t="str"/>
      <x:c r="E1101" s="136" t="str">
        <x:v>10-pounder Parrott · Entity-1201</x:v>
      </x:c>
      <x:c r="F1101" s="137" t="n">
        <x:v>2441.308349609375</x:v>
      </x:c>
      <x:c r="G1101" s="137" t="n">
        <x:v>1274.5762939453125</x:v>
      </x:c>
      <x:c r="H1101" s="137" t="n">
        <x:v>84.8595962524414</x:v>
      </x:c>
      <x:c r="I1101" s="137" t="n">
        <x:v>903.1350271261275</x:v>
      </x:c>
      <x:c r="J1101" s="137" t="n">
        <x:v>817.7841381983943</x:v>
      </x:c>
      <x:c r="K1101" s="136" t="str">
        <x:v>map-56</x:v>
      </x:c>
      <x:c r="L1101" s="136" t="str">
        <x:v>DrillCamp | Skirmish | Smith Field||Gun | 10-pounder Parrott · Entity-1201 [map-56/038]</x:v>
      </x:c>
      <x:c r="M1101" s="35"/>
      <x:c r="N1101" s="35"/>
      <x:c r="O1101" s="35"/>
      <x:c r="P1101" s="35"/>
      <x:c r="Q1101" s="35"/>
      <x:c r="R1101" s="35"/>
      <x:c r="S1101" s="35"/>
      <x:c r="T1101" s="35"/>
      <x:c r="U1101" s="35"/>
      <x:c r="V1101" s="35"/>
      <x:c r="W1101" s="35"/>
      <x:c r="X1101" s="35"/>
      <x:c r="Y1101" s="35"/>
      <x:c r="Z1101" s="35"/>
      <x:c r="AA1101" s="35"/>
    </x:row>
    <x:row r="1102">
      <x:c r="A1102" s="136" t="str">
        <x:v>DrillCamp | Skirmish | Smith Field</x:v>
      </x:c>
      <x:c r="B1102" s="136" t="str">
        <x:v>Gun | 12-pounder Napoleon (CSA) · Entity-1229 [map-56/039]</x:v>
      </x:c>
      <x:c r="C1102" s="136" t="str">
        <x:v>gun_spawn</x:v>
      </x:c>
      <x:c r="D1102" s="136" t="str"/>
      <x:c r="E1102" s="136" t="str">
        <x:v>12-pounder Napoleon (CSA) · Entity-1229</x:v>
      </x:c>
      <x:c r="F1102" s="137" t="n">
        <x:v>2477.276611328125</x:v>
      </x:c>
      <x:c r="G1102" s="137" t="n">
        <x:v>1045.865966796875</x:v>
      </x:c>
      <x:c r="H1102" s="137" t="n">
        <x:v>79.2571792602539</x:v>
      </x:c>
      <x:c r="I1102" s="137" t="n">
        <x:v>966.4906387252933</x:v>
      </x:c>
      <x:c r="J1102" s="137" t="n">
        <x:v>1232.01597217947</x:v>
      </x:c>
      <x:c r="K1102" s="136" t="str">
        <x:v>map-56</x:v>
      </x:c>
      <x:c r="L1102" s="136" t="str">
        <x:v>DrillCamp | Skirmish | Smith Field||Gun | 12-pounder Napoleon (CSA) · Entity-1229 [map-56/039]</x:v>
      </x:c>
      <x:c r="M1102" s="35"/>
      <x:c r="N1102" s="35"/>
      <x:c r="O1102" s="35"/>
      <x:c r="P1102" s="35"/>
      <x:c r="Q1102" s="35"/>
      <x:c r="R1102" s="35"/>
      <x:c r="S1102" s="35"/>
      <x:c r="T1102" s="35"/>
      <x:c r="U1102" s="35"/>
      <x:c r="V1102" s="35"/>
      <x:c r="W1102" s="35"/>
      <x:c r="X1102" s="35"/>
      <x:c r="Y1102" s="35"/>
      <x:c r="Z1102" s="35"/>
      <x:c r="AA1102" s="35"/>
    </x:row>
    <x:row r="1103">
      <x:c r="A1103" s="136" t="str">
        <x:v>DrillCamp | Skirmish | Smith Field</x:v>
      </x:c>
      <x:c r="B1103" s="136" t="str">
        <x:v>Gun | 12-pounder Napoleon (USA) · Entity-1204 [map-56/040]</x:v>
      </x:c>
      <x:c r="C1103" s="136" t="str">
        <x:v>gun_spawn</x:v>
      </x:c>
      <x:c r="D1103" s="136" t="str"/>
      <x:c r="E1103" s="136" t="str">
        <x:v>12-pounder Napoleon (USA) · Entity-1204</x:v>
      </x:c>
      <x:c r="F1103" s="137" t="n">
        <x:v>2416.430419921875</x:v>
      </x:c>
      <x:c r="G1103" s="137" t="n">
        <x:v>1271.4180908203125</x:v>
      </x:c>
      <x:c r="H1103" s="137" t="n">
        <x:v>86.25175476074219</x:v>
      </x:c>
      <x:c r="I1103" s="137" t="n">
        <x:v>858.0203212632268</x:v>
      </x:c>
      <x:c r="J1103" s="137" t="n">
        <x:v>823.7076545809442</x:v>
      </x:c>
      <x:c r="K1103" s="136" t="str">
        <x:v>map-56</x:v>
      </x:c>
      <x:c r="L1103" s="136" t="str">
        <x:v>DrillCamp | Skirmish | Smith Field||Gun | 12-pounder Napoleon (USA) · Entity-1204 [map-56/040]</x:v>
      </x:c>
      <x:c r="M1103" s="35"/>
      <x:c r="N1103" s="35"/>
      <x:c r="O1103" s="35"/>
      <x:c r="P1103" s="35"/>
      <x:c r="Q1103" s="35"/>
      <x:c r="R1103" s="35"/>
      <x:c r="S1103" s="35"/>
      <x:c r="T1103" s="35"/>
      <x:c r="U1103" s="35"/>
      <x:c r="V1103" s="35"/>
      <x:c r="W1103" s="35"/>
      <x:c r="X1103" s="35"/>
      <x:c r="Y1103" s="35"/>
      <x:c r="Z1103" s="35"/>
      <x:c r="AA1103" s="35"/>
    </x:row>
    <x:row r="1104">
      <x:c r="A1104" s="136" t="str">
        <x:v>DrillCamp | Skirmish | Crecy's Cornfield</x:v>
      </x:c>
      <x:c r="B1104" s="136" t="str">
        <x:v>Spawn | CSA Spawnpoint_CC_Base_CSA_1stVA [map-57/001]</x:v>
      </x:c>
      <x:c r="C1104" s="136" t="str">
        <x:v>spawn</x:v>
      </x:c>
      <x:c r="D1104" s="136" t="str">
        <x:v>CSA</x:v>
      </x:c>
      <x:c r="E1104" s="136" t="str">
        <x:v>Spawnpoint_CC_Base_CSA_1stVA</x:v>
      </x:c>
      <x:c r="F1104" s="137" t="n">
        <x:v>955.354736328125</x:v>
      </x:c>
      <x:c r="G1104" s="137" t="n">
        <x:v>696.9051513671875</x:v>
      </x:c>
      <x:c r="H1104" s="137" t="n">
        <x:v>89.1949691772461</x:v>
      </x:c>
      <x:c r="I1104" s="137" t="n">
        <x:v>1000.6116557549985</x:v>
      </x:c>
      <x:c r="J1104" s="137" t="n">
        <x:v>1516.670755057204</x:v>
      </x:c>
      <x:c r="K1104" s="136" t="str">
        <x:v>map-57</x:v>
      </x:c>
      <x:c r="L1104" s="136" t="str">
        <x:v>DrillCamp | Skirmish | Crecy's Cornfield||Spawn | CSA Spawnpoint_CC_Base_CSA_1stVA [map-57/001]</x:v>
      </x:c>
      <x:c r="M1104" s="35"/>
      <x:c r="N1104" s="35"/>
      <x:c r="O1104" s="35"/>
      <x:c r="P1104" s="35"/>
      <x:c r="Q1104" s="35"/>
      <x:c r="R1104" s="35"/>
      <x:c r="S1104" s="35"/>
      <x:c r="T1104" s="35"/>
      <x:c r="U1104" s="35"/>
      <x:c r="V1104" s="35"/>
      <x:c r="W1104" s="35"/>
      <x:c r="X1104" s="35"/>
      <x:c r="Y1104" s="35"/>
      <x:c r="Z1104" s="35"/>
      <x:c r="AA1104" s="35"/>
    </x:row>
    <x:row r="1105">
      <x:c r="A1105" s="136" t="str">
        <x:v>DrillCamp | Skirmish | Crecy's Cornfield</x:v>
      </x:c>
      <x:c r="B1105" s="136" t="str">
        <x:v>Objective | Skirmish_4_VictorySequence [map-57/002]</x:v>
      </x:c>
      <x:c r="C1105" s="136" t="str">
        <x:v>objective</x:v>
      </x:c>
      <x:c r="D1105" s="136" t="str"/>
      <x:c r="E1105" s="136" t="str">
        <x:v>Skirmish_4_VictorySequence</x:v>
      </x:c>
      <x:c r="F1105" s="137" t="n">
        <x:v>915.1704711914062</x:v>
      </x:c>
      <x:c r="G1105" s="137" t="n">
        <x:v>1201.75927734375</x:v>
      </x:c>
      <x:c r="H1105" s="137" t="n">
        <x:v>86.0852279663086</x:v>
      </x:c>
      <x:c r="I1105" s="137" t="n">
        <x:v>926.9756730561365</x:v>
      </x:c>
      <x:c r="J1105" s="137" t="n">
        <x:v>605.3849141680283</x:v>
      </x:c>
      <x:c r="K1105" s="136" t="str">
        <x:v>map-57</x:v>
      </x:c>
      <x:c r="L1105" s="136" t="str">
        <x:v>DrillCamp | Skirmish | Crecy's Cornfield||Objective | Skirmish_4_VictorySequence [map-57/002]</x:v>
      </x:c>
      <x:c r="M1105" s="35"/>
      <x:c r="N1105" s="35"/>
      <x:c r="O1105" s="35"/>
      <x:c r="P1105" s="35"/>
      <x:c r="Q1105" s="35"/>
      <x:c r="R1105" s="35"/>
      <x:c r="S1105" s="35"/>
      <x:c r="T1105" s="35"/>
      <x:c r="U1105" s="35"/>
      <x:c r="V1105" s="35"/>
      <x:c r="W1105" s="35"/>
      <x:c r="X1105" s="35"/>
      <x:c r="Y1105" s="35"/>
      <x:c r="Z1105" s="35"/>
      <x:c r="AA1105" s="35"/>
    </x:row>
    <x:row r="1106">
      <x:c r="A1106" s="136" t="str">
        <x:v>DrillCamp | Skirmish | Crecy's Cornfield</x:v>
      </x:c>
      <x:c r="B1106" s="136" t="str">
        <x:v>Spawn | USA Spawnpoint_CC_Base_USA_39thNY1 [map-57/003]</x:v>
      </x:c>
      <x:c r="C1106" s="136" t="str">
        <x:v>spawn</x:v>
      </x:c>
      <x:c r="D1106" s="136" t="str">
        <x:v>USA</x:v>
      </x:c>
      <x:c r="E1106" s="136" t="str">
        <x:v>Spawnpoint_CC_Base_USA_39thNY1</x:v>
      </x:c>
      <x:c r="F1106" s="137" t="n">
        <x:v>1025.2713623046875</x:v>
      </x:c>
      <x:c r="G1106" s="137" t="n">
        <x:v>1395.70703125</x:v>
      </x:c>
      <x:c r="H1106" s="137" t="n">
        <x:v>66.66356658935547</x:v>
      </x:c>
      <x:c r="I1106" s="137" t="n">
        <x:v>1126.21243652993</x:v>
      </x:c>
      <x:c r="J1106" s="137" t="n">
        <x:v>256.30225680599307</x:v>
      </x:c>
      <x:c r="K1106" s="136" t="str">
        <x:v>map-57</x:v>
      </x:c>
      <x:c r="L1106" s="136" t="str">
        <x:v>DrillCamp | Skirmish | Crecy's Cornfield||Spawn | USA Spawnpoint_CC_Base_USA_39thNY1 [map-57/003]</x:v>
      </x:c>
      <x:c r="M1106" s="35"/>
      <x:c r="N1106" s="35"/>
      <x:c r="O1106" s="35"/>
      <x:c r="P1106" s="35"/>
      <x:c r="Q1106" s="35"/>
      <x:c r="R1106" s="35"/>
      <x:c r="S1106" s="35"/>
      <x:c r="T1106" s="35"/>
      <x:c r="U1106" s="35"/>
      <x:c r="V1106" s="35"/>
      <x:c r="W1106" s="35"/>
      <x:c r="X1106" s="35"/>
      <x:c r="Y1106" s="35"/>
      <x:c r="Z1106" s="35"/>
      <x:c r="AA1106" s="35"/>
    </x:row>
    <x:row r="1107">
      <x:c r="A1107" s="136" t="str">
        <x:v>DrillCamp | Skirmish | Crecy's Cornfield</x:v>
      </x:c>
      <x:c r="B1107" s="136" t="str">
        <x:v>Spawn | CSA Spawnpoint_CC_Base_CSA_3rdAL_A [map-57/004]</x:v>
      </x:c>
      <x:c r="C1107" s="136" t="str">
        <x:v>spawn</x:v>
      </x:c>
      <x:c r="D1107" s="136" t="str">
        <x:v>CSA</x:v>
      </x:c>
      <x:c r="E1107" s="136" t="str">
        <x:v>Spawnpoint_CC_Base_CSA_3rdAL_A</x:v>
      </x:c>
      <x:c r="F1107" s="137" t="n">
        <x:v>978.8657836914062</x:v>
      </x:c>
      <x:c r="G1107" s="137" t="n">
        <x:v>672.934814453125</x:v>
      </x:c>
      <x:c r="H1107" s="137" t="n">
        <x:v>82.77505493164062</x:v>
      </x:c>
      <x:c r="I1107" s="137" t="n">
        <x:v>1043.2612708946474</x:v>
      </x:c>
      <x:c r="J1107" s="137" t="n">
        <x:v>1560.1108414286757</x:v>
      </x:c>
      <x:c r="K1107" s="136" t="str">
        <x:v>map-57</x:v>
      </x:c>
      <x:c r="L1107" s="136" t="str">
        <x:v>DrillCamp | Skirmish | Crecy's Cornfield||Spawn | CSA Spawnpoint_CC_Base_CSA_3rdAL_A [map-57/004]</x:v>
      </x:c>
      <x:c r="M1107" s="35"/>
      <x:c r="N1107" s="35"/>
      <x:c r="O1107" s="35"/>
      <x:c r="P1107" s="35"/>
      <x:c r="Q1107" s="35"/>
      <x:c r="R1107" s="35"/>
      <x:c r="S1107" s="35"/>
      <x:c r="T1107" s="35"/>
      <x:c r="U1107" s="35"/>
      <x:c r="V1107" s="35"/>
      <x:c r="W1107" s="35"/>
      <x:c r="X1107" s="35"/>
      <x:c r="Y1107" s="35"/>
      <x:c r="Z1107" s="35"/>
      <x:c r="AA1107" s="35"/>
    </x:row>
    <x:row r="1108">
      <x:c r="A1108" s="136" t="str">
        <x:v>DrillCamp | Skirmish | Crecy's Cornfield</x:v>
      </x:c>
      <x:c r="B1108" s="136" t="str">
        <x:v>Artillery | CSA Spawnpoint_CC_CSA_Arty_Base [map-57/005]</x:v>
      </x:c>
      <x:c r="C1108" s="136" t="str">
        <x:v>battery</x:v>
      </x:c>
      <x:c r="D1108" s="136" t="str">
        <x:v>CSA</x:v>
      </x:c>
      <x:c r="E1108" s="136" t="str">
        <x:v>Spawnpoint_CC_CSA_Arty_Base</x:v>
      </x:c>
      <x:c r="F1108" s="137" t="n">
        <x:v>952.892578125</x:v>
      </x:c>
      <x:c r="G1108" s="137" t="n">
        <x:v>670.6619262695312</x:v>
      </x:c>
      <x:c r="H1108" s="137" t="n">
        <x:v>85.91801452636719</x:v>
      </x:c>
      <x:c r="I1108" s="137" t="n">
        <x:v>996.1911547919395</x:v>
      </x:c>
      <x:c r="J1108" s="137" t="n">
        <x:v>1564.0046955622374</x:v>
      </x:c>
      <x:c r="K1108" s="136" t="str">
        <x:v>map-57</x:v>
      </x:c>
      <x:c r="L1108" s="136" t="str">
        <x:v>DrillCamp | Skirmish | Crecy's Cornfield||Artillery | CSA Spawnpoint_CC_CSA_Arty_Base [map-57/005]</x:v>
      </x:c>
      <x:c r="M1108" s="35"/>
      <x:c r="N1108" s="35"/>
      <x:c r="O1108" s="35"/>
      <x:c r="P1108" s="35"/>
      <x:c r="Q1108" s="35"/>
      <x:c r="R1108" s="35"/>
      <x:c r="S1108" s="35"/>
      <x:c r="T1108" s="35"/>
      <x:c r="U1108" s="35"/>
      <x:c r="V1108" s="35"/>
      <x:c r="W1108" s="35"/>
      <x:c r="X1108" s="35"/>
      <x:c r="Y1108" s="35"/>
      <x:c r="Z1108" s="35"/>
      <x:c r="AA1108" s="35"/>
    </x:row>
    <x:row r="1109">
      <x:c r="A1109" s="136" t="str">
        <x:v>DrillCamp | Skirmish | Crecy's Cornfield</x:v>
      </x:c>
      <x:c r="B1109" s="136" t="str">
        <x:v>Spawn | CSA Spawnpoint_CC_Base_CSA_Holc_A [map-57/006]</x:v>
      </x:c>
      <x:c r="C1109" s="136" t="str">
        <x:v>spawn</x:v>
      </x:c>
      <x:c r="D1109" s="136" t="str">
        <x:v>CSA</x:v>
      </x:c>
      <x:c r="E1109" s="136" t="str">
        <x:v>Spawnpoint_CC_Base_CSA_Holc_A</x:v>
      </x:c>
      <x:c r="F1109" s="137" t="n">
        <x:v>969.5108032226562</x:v>
      </x:c>
      <x:c r="G1109" s="137" t="n">
        <x:v>673.028564453125</x:v>
      </x:c>
      <x:c r="H1109" s="137" t="n">
        <x:v>84.70845031738281</x:v>
      </x:c>
      <x:c r="I1109" s="137" t="n">
        <x:v>1026.3061878218857</x:v>
      </x:c>
      <x:c r="J1109" s="137" t="n">
        <x:v>1559.866986444924</x:v>
      </x:c>
      <x:c r="K1109" s="136" t="str">
        <x:v>map-57</x:v>
      </x:c>
      <x:c r="L1109" s="136" t="str">
        <x:v>DrillCamp | Skirmish | Crecy's Cornfield||Spawn | CSA Spawnpoint_CC_Base_CSA_Holc_A [map-57/006]</x:v>
      </x:c>
      <x:c r="M1109" s="35"/>
      <x:c r="N1109" s="35"/>
      <x:c r="O1109" s="35"/>
      <x:c r="P1109" s="35"/>
      <x:c r="Q1109" s="35"/>
      <x:c r="R1109" s="35"/>
      <x:c r="S1109" s="35"/>
      <x:c r="T1109" s="35"/>
      <x:c r="U1109" s="35"/>
      <x:c r="V1109" s="35"/>
      <x:c r="W1109" s="35"/>
      <x:c r="X1109" s="35"/>
      <x:c r="Y1109" s="35"/>
      <x:c r="Z1109" s="35"/>
      <x:c r="AA1109" s="35"/>
    </x:row>
    <x:row r="1110">
      <x:c r="A1110" s="136" t="str">
        <x:v>DrillCamp | Skirmish | Crecy's Cornfield</x:v>
      </x:c>
      <x:c r="B1110" s="136" t="str">
        <x:v>Spawn | USA Spawnpoint_CC_Defend_USA_39thNY2 [map-57/007]</x:v>
      </x:c>
      <x:c r="C1110" s="136" t="str">
        <x:v>spawn</x:v>
      </x:c>
      <x:c r="D1110" s="136" t="str">
        <x:v>USA</x:v>
      </x:c>
      <x:c r="E1110" s="136" t="str">
        <x:v>Spawnpoint_CC_Defend_USA_39thNY2</x:v>
      </x:c>
      <x:c r="F1110" s="137" t="n">
        <x:v>977.256103515625</x:v>
      </x:c>
      <x:c r="G1110" s="137" t="n">
        <x:v>1203.593017578125</x:v>
      </x:c>
      <x:c r="H1110" s="137" t="n">
        <x:v>79.1692123413086</x:v>
      </x:c>
      <x:c r="I1110" s="137" t="n">
        <x:v>1039.4965243770296</x:v>
      </x:c>
      <x:c r="J1110" s="137" t="n">
        <x:v>602.5717901155473</x:v>
      </x:c>
      <x:c r="K1110" s="136" t="str">
        <x:v>map-57</x:v>
      </x:c>
      <x:c r="L1110" s="136" t="str">
        <x:v>DrillCamp | Skirmish | Crecy's Cornfield||Spawn | USA Spawnpoint_CC_Defend_USA_39thNY2 [map-57/007]</x:v>
      </x:c>
      <x:c r="M1110" s="35"/>
      <x:c r="N1110" s="35"/>
      <x:c r="O1110" s="35"/>
      <x:c r="P1110" s="35"/>
      <x:c r="Q1110" s="35"/>
      <x:c r="R1110" s="35"/>
      <x:c r="S1110" s="35"/>
      <x:c r="T1110" s="35"/>
      <x:c r="U1110" s="35"/>
      <x:c r="V1110" s="35"/>
      <x:c r="W1110" s="35"/>
      <x:c r="X1110" s="35"/>
      <x:c r="Y1110" s="35"/>
      <x:c r="Z1110" s="35"/>
      <x:c r="AA1110" s="35"/>
    </x:row>
    <x:row r="1111">
      <x:c r="A1111" s="136" t="str">
        <x:v>DrillCamp | Skirmish | Crecy's Cornfield</x:v>
      </x:c>
      <x:c r="B1111" s="136" t="str">
        <x:v>Artillery | USA Spawnpoint_CC_USA_Arty_Ransom_Forward [map-57/008]</x:v>
      </x:c>
      <x:c r="C1111" s="136" t="str">
        <x:v>battery</x:v>
      </x:c>
      <x:c r="D1111" s="136" t="str">
        <x:v>USA</x:v>
      </x:c>
      <x:c r="E1111" s="136" t="str">
        <x:v>Spawnpoint_CC_USA_Arty_Ransom_Forward</x:v>
      </x:c>
      <x:c r="F1111" s="137" t="n">
        <x:v>922.5028076171875</x:v>
      </x:c>
      <x:c r="G1111" s="137" t="n">
        <x:v>1321.469482421875</x:v>
      </x:c>
      <x:c r="H1111" s="137" t="n">
        <x:v>75.55673217773438</x:v>
      </x:c>
      <x:c r="I1111" s="137" t="n">
        <x:v>940.073617390112</x:v>
      </x:c>
      <x:c r="J1111" s="137" t="n">
        <x:v>389.43688758259134</x:v>
      </x:c>
      <x:c r="K1111" s="136" t="str">
        <x:v>map-57</x:v>
      </x:c>
      <x:c r="L1111" s="136" t="str">
        <x:v>DrillCamp | Skirmish | Crecy's Cornfield||Artillery | USA Spawnpoint_CC_USA_Arty_Ransom_Forward [map-57/008]</x:v>
      </x:c>
      <x:c r="M1111" s="35"/>
      <x:c r="N1111" s="35"/>
      <x:c r="O1111" s="35"/>
      <x:c r="P1111" s="35"/>
      <x:c r="Q1111" s="35"/>
      <x:c r="R1111" s="35"/>
      <x:c r="S1111" s="35"/>
      <x:c r="T1111" s="35"/>
      <x:c r="U1111" s="35"/>
      <x:c r="V1111" s="35"/>
      <x:c r="W1111" s="35"/>
      <x:c r="X1111" s="35"/>
      <x:c r="Y1111" s="35"/>
      <x:c r="Z1111" s="35"/>
      <x:c r="AA1111" s="35"/>
    </x:row>
    <x:row r="1112">
      <x:c r="A1112" s="136" t="str">
        <x:v>DrillCamp | Skirmish | Crecy's Cornfield</x:v>
      </x:c>
      <x:c r="B1112" s="136" t="str">
        <x:v>Spawn | USA Spawnpoint_CC_Base_USA_39thNY2 [map-57/009]</x:v>
      </x:c>
      <x:c r="C1112" s="136" t="str">
        <x:v>spawn</x:v>
      </x:c>
      <x:c r="D1112" s="136" t="str">
        <x:v>USA</x:v>
      </x:c>
      <x:c r="E1112" s="136" t="str">
        <x:v>Spawnpoint_CC_Base_USA_39thNY2</x:v>
      </x:c>
      <x:c r="F1112" s="137" t="n">
        <x:v>1034.5953369140625</x:v>
      </x:c>
      <x:c r="G1112" s="137" t="n">
        <x:v>1404.9722900390625</x:v>
      </x:c>
      <x:c r="H1112" s="137" t="n">
        <x:v>66.68904113769531</x:v>
      </x:c>
      <x:c r="I1112" s="137" t="n">
        <x:v>1143.0963800011496</x:v>
      </x:c>
      <x:c r="J1112" s="137" t="n">
        <x:v>239.65835347315888</x:v>
      </x:c>
      <x:c r="K1112" s="136" t="str">
        <x:v>map-57</x:v>
      </x:c>
      <x:c r="L1112" s="136" t="str">
        <x:v>DrillCamp | Skirmish | Crecy's Cornfield||Spawn | USA Spawnpoint_CC_Base_USA_39thNY2 [map-57/009]</x:v>
      </x:c>
      <x:c r="M1112" s="35"/>
      <x:c r="N1112" s="35"/>
      <x:c r="O1112" s="35"/>
      <x:c r="P1112" s="35"/>
      <x:c r="Q1112" s="35"/>
      <x:c r="R1112" s="35"/>
      <x:c r="S1112" s="35"/>
      <x:c r="T1112" s="35"/>
      <x:c r="U1112" s="35"/>
      <x:c r="V1112" s="35"/>
      <x:c r="W1112" s="35"/>
      <x:c r="X1112" s="35"/>
      <x:c r="Y1112" s="35"/>
      <x:c r="Z1112" s="35"/>
      <x:c r="AA1112" s="35"/>
    </x:row>
    <x:row r="1113">
      <x:c r="A1113" s="136" t="str">
        <x:v>DrillCamp | Skirmish | Crecy's Cornfield</x:v>
      </x:c>
      <x:c r="B1113" s="136" t="str">
        <x:v>Artillery | USA Spawnpoint_CC_USA_Arty_Base [map-57/010]</x:v>
      </x:c>
      <x:c r="C1113" s="136" t="str">
        <x:v>battery</x:v>
      </x:c>
      <x:c r="D1113" s="136" t="str">
        <x:v>USA</x:v>
      </x:c>
      <x:c r="E1113" s="136" t="str">
        <x:v>Spawnpoint_CC_USA_Arty_Base</x:v>
      </x:c>
      <x:c r="F1113" s="137" t="n">
        <x:v>955.7981567382812</x:v>
      </x:c>
      <x:c r="G1113" s="137" t="n">
        <x:v>1388.8551025390625</x:v>
      </x:c>
      <x:c r="H1113" s="137" t="n">
        <x:v>71.92285919189453</x:v>
      </x:c>
      <x:c r="I1113" s="137" t="n">
        <x:v>1000.3103868723099</x:v>
      </x:c>
      <x:c r="J1113" s="137" t="n">
        <x:v>268.11127866513624</x:v>
      </x:c>
      <x:c r="K1113" s="136" t="str">
        <x:v>map-57</x:v>
      </x:c>
      <x:c r="L1113" s="136" t="str">
        <x:v>DrillCamp | Skirmish | Crecy's Cornfield||Artillery | USA Spawnpoint_CC_USA_Arty_Base [map-57/010]</x:v>
      </x:c>
      <x:c r="M1113" s="35"/>
      <x:c r="N1113" s="35"/>
      <x:c r="O1113" s="35"/>
      <x:c r="P1113" s="35"/>
      <x:c r="Q1113" s="35"/>
      <x:c r="R1113" s="35"/>
      <x:c r="S1113" s="35"/>
      <x:c r="T1113" s="35"/>
      <x:c r="U1113" s="35"/>
      <x:c r="V1113" s="35"/>
      <x:c r="W1113" s="35"/>
      <x:c r="X1113" s="35"/>
      <x:c r="Y1113" s="35"/>
      <x:c r="Z1113" s="35"/>
      <x:c r="AA1113" s="35"/>
    </x:row>
    <x:row r="1114">
      <x:c r="A1114" s="136" t="str">
        <x:v>DrillCamp | Skirmish | Crecy's Cornfield</x:v>
      </x:c>
      <x:c r="B1114" s="136" t="str">
        <x:v>Artillery | CSA Spawnpoint_CC_CSA_Arty_Poague_Forward [map-57/011]</x:v>
      </x:c>
      <x:c r="C1114" s="136" t="str">
        <x:v>battery</x:v>
      </x:c>
      <x:c r="D1114" s="136" t="str">
        <x:v>CSA</x:v>
      </x:c>
      <x:c r="E1114" s="136" t="str">
        <x:v>Spawnpoint_CC_CSA_Arty_Poague_Forward</x:v>
      </x:c>
      <x:c r="F1114" s="137" t="n">
        <x:v>795.1130981445312</x:v>
      </x:c>
      <x:c r="G1114" s="137" t="n">
        <x:v>872.8784790039062</x:v>
      </x:c>
      <x:c r="H1114" s="137" t="n">
        <x:v>104.58513641357422</x:v>
      </x:c>
      <x:c r="I1114" s="137" t="n">
        <x:v>709.9092814505583</x:v>
      </x:c>
      <x:c r="J1114" s="137" t="n">
        <x:v>1197.8629254894038</x:v>
      </x:c>
      <x:c r="K1114" s="136" t="str">
        <x:v>map-57</x:v>
      </x:c>
      <x:c r="L1114" s="136" t="str">
        <x:v>DrillCamp | Skirmish | Crecy's Cornfield||Artillery | CSA Spawnpoint_CC_CSA_Arty_Poague_Forward [map-57/011]</x:v>
      </x:c>
      <x:c r="M1114" s="35"/>
      <x:c r="N1114" s="35"/>
      <x:c r="O1114" s="35"/>
      <x:c r="P1114" s="35"/>
      <x:c r="Q1114" s="35"/>
      <x:c r="R1114" s="35"/>
      <x:c r="S1114" s="35"/>
      <x:c r="T1114" s="35"/>
      <x:c r="U1114" s="35"/>
      <x:c r="V1114" s="35"/>
      <x:c r="W1114" s="35"/>
      <x:c r="X1114" s="35"/>
      <x:c r="Y1114" s="35"/>
      <x:c r="Z1114" s="35"/>
      <x:c r="AA1114" s="35"/>
    </x:row>
    <x:row r="1115">
      <x:c r="A1115" s="136" t="str">
        <x:v>DrillCamp | Skirmish | Crecy's Cornfield</x:v>
      </x:c>
      <x:c r="B1115" s="136" t="str">
        <x:v>Spawn | USA Spawnpoint_CC_Base_USA_51stNY2 [map-57/012]</x:v>
      </x:c>
      <x:c r="C1115" s="136" t="str">
        <x:v>spawn</x:v>
      </x:c>
      <x:c r="D1115" s="136" t="str">
        <x:v>USA</x:v>
      </x:c>
      <x:c r="E1115" s="136" t="str">
        <x:v>Spawnpoint_CC_Base_USA_51stNY2</x:v>
      </x:c>
      <x:c r="F1115" s="137" t="n">
        <x:v>1013.264892578125</x:v>
      </x:c>
      <x:c r="G1115" s="137" t="n">
        <x:v>1400.9739990234375</x:v>
      </x:c>
      <x:c r="H1115" s="137" t="n">
        <x:v>67.17388916015625</x:v>
      </x:c>
      <x:c r="I1115" s="137" t="n">
        <x:v>1104.443543025448</x:v>
      </x:c>
      <x:c r="J1115" s="137" t="n">
        <x:v>246.70261411748055</x:v>
      </x:c>
      <x:c r="K1115" s="136" t="str">
        <x:v>map-57</x:v>
      </x:c>
      <x:c r="L1115" s="136" t="str">
        <x:v>DrillCamp | Skirmish | Crecy's Cornfield||Spawn | USA Spawnpoint_CC_Base_USA_51stNY2 [map-57/012]</x:v>
      </x:c>
      <x:c r="M1115" s="35"/>
      <x:c r="N1115" s="35"/>
      <x:c r="O1115" s="35"/>
      <x:c r="P1115" s="35"/>
      <x:c r="Q1115" s="35"/>
      <x:c r="R1115" s="35"/>
      <x:c r="S1115" s="35"/>
      <x:c r="T1115" s="35"/>
      <x:c r="U1115" s="35"/>
      <x:c r="V1115" s="35"/>
      <x:c r="W1115" s="35"/>
      <x:c r="X1115" s="35"/>
      <x:c r="Y1115" s="35"/>
      <x:c r="Z1115" s="35"/>
      <x:c r="AA1115" s="35"/>
    </x:row>
    <x:row r="1116">
      <x:c r="A1116" s="136" t="str">
        <x:v>DrillCamp | Skirmish | Crecy's Cornfield</x:v>
      </x:c>
      <x:c r="B1116" s="136" t="str">
        <x:v>Spawn | CSA Spawnpoint_CC_Base_CSA_3rdAL_B [map-57/013]</x:v>
      </x:c>
      <x:c r="C1116" s="136" t="str">
        <x:v>spawn</x:v>
      </x:c>
      <x:c r="D1116" s="136" t="str">
        <x:v>CSA</x:v>
      </x:c>
      <x:c r="E1116" s="136" t="str">
        <x:v>Spawnpoint_CC_Base_CSA_3rdAL_B</x:v>
      </x:c>
      <x:c r="F1116" s="137" t="n">
        <x:v>980.1830444335938</x:v>
      </x:c>
      <x:c r="G1116" s="137" t="n">
        <x:v>692.2529296875</x:v>
      </x:c>
      <x:c r="H1116" s="137" t="n">
        <x:v>86.44324493408203</x:v>
      </x:c>
      <x:c r="I1116" s="137" t="n">
        <x:v>1045.6178219497808</x:v>
      </x:c>
      <x:c r="J1116" s="137" t="n">
        <x:v>1525.263513474412</x:v>
      </x:c>
      <x:c r="K1116" s="136" t="str">
        <x:v>map-57</x:v>
      </x:c>
      <x:c r="L1116" s="136" t="str">
        <x:v>DrillCamp | Skirmish | Crecy's Cornfield||Spawn | CSA Spawnpoint_CC_Base_CSA_3rdAL_B [map-57/013]</x:v>
      </x:c>
      <x:c r="M1116" s="35"/>
      <x:c r="N1116" s="35"/>
      <x:c r="O1116" s="35"/>
      <x:c r="P1116" s="35"/>
      <x:c r="Q1116" s="35"/>
      <x:c r="R1116" s="35"/>
      <x:c r="S1116" s="35"/>
      <x:c r="T1116" s="35"/>
      <x:c r="U1116" s="35"/>
      <x:c r="V1116" s="35"/>
      <x:c r="W1116" s="35"/>
      <x:c r="X1116" s="35"/>
      <x:c r="Y1116" s="35"/>
      <x:c r="Z1116" s="35"/>
      <x:c r="AA1116" s="35"/>
    </x:row>
    <x:row r="1117">
      <x:c r="A1117" s="136" t="str">
        <x:v>DrillCamp | Skirmish | Crecy's Cornfield</x:v>
      </x:c>
      <x:c r="B1117" s="136" t="str">
        <x:v>Spawn | USA Spawnpoint_CC_Base_USA_51stNY1 [map-57/014]</x:v>
      </x:c>
      <x:c r="C1117" s="136" t="str">
        <x:v>spawn</x:v>
      </x:c>
      <x:c r="D1117" s="136" t="str">
        <x:v>USA</x:v>
      </x:c>
      <x:c r="E1117" s="136" t="str">
        <x:v>Spawnpoint_CC_Base_USA_51stNY1</x:v>
      </x:c>
      <x:c r="F1117" s="137" t="n">
        <x:v>991.9561767578125</x:v>
      </x:c>
      <x:c r="G1117" s="137" t="n">
        <x:v>1381.2835693359375</x:v>
      </x:c>
      <x:c r="H1117" s="137" t="n">
        <x:v>68.0619888305664</x:v>
      </x:c>
      <x:c r="I1117" s="137" t="n">
        <x:v>1065.8551443217802</x:v>
      </x:c>
      <x:c r="J1117" s="137" t="n">
        <x:v>282.0621365916082</x:v>
      </x:c>
      <x:c r="K1117" s="136" t="str">
        <x:v>map-57</x:v>
      </x:c>
      <x:c r="L1117" s="136" t="str">
        <x:v>DrillCamp | Skirmish | Crecy's Cornfield||Spawn | USA Spawnpoint_CC_Base_USA_51stNY1 [map-57/014]</x:v>
      </x:c>
      <x:c r="M1117" s="35"/>
      <x:c r="N1117" s="35"/>
      <x:c r="O1117" s="35"/>
      <x:c r="P1117" s="35"/>
      <x:c r="Q1117" s="35"/>
      <x:c r="R1117" s="35"/>
      <x:c r="S1117" s="35"/>
      <x:c r="T1117" s="35"/>
      <x:c r="U1117" s="35"/>
      <x:c r="V1117" s="35"/>
      <x:c r="W1117" s="35"/>
      <x:c r="X1117" s="35"/>
      <x:c r="Y1117" s="35"/>
      <x:c r="Z1117" s="35"/>
      <x:c r="AA1117" s="35"/>
    </x:row>
    <x:row r="1118">
      <x:c r="A1118" s="136" t="str">
        <x:v>DrillCamp | Skirmish | Crecy's Cornfield</x:v>
      </x:c>
      <x:c r="B1118" s="136" t="str">
        <x:v>Spawn | USA Spawnpoint_CC_Base_USA_4thPA [map-57/015]</x:v>
      </x:c>
      <x:c r="C1118" s="136" t="str">
        <x:v>spawn</x:v>
      </x:c>
      <x:c r="D1118" s="136" t="str">
        <x:v>USA</x:v>
      </x:c>
      <x:c r="E1118" s="136" t="str">
        <x:v>Spawnpoint_CC_Base_USA_4thPA</x:v>
      </x:c>
      <x:c r="F1118" s="137" t="n">
        <x:v>970.7085571289062</x:v>
      </x:c>
      <x:c r="G1118" s="137" t="n">
        <x:v>1396.675537109375</x:v>
      </x:c>
      <x:c r="H1118" s="137" t="n">
        <x:v>72.53392791748047</x:v>
      </x:c>
      <x:c r="I1118" s="137" t="n">
        <x:v>1027.3214557155225</x:v>
      </x:c>
      <x:c r="J1118" s="137" t="n">
        <x:v>254.11903667178862</x:v>
      </x:c>
      <x:c r="K1118" s="136" t="str">
        <x:v>map-57</x:v>
      </x:c>
      <x:c r="L1118" s="136" t="str">
        <x:v>DrillCamp | Skirmish | Crecy's Cornfield||Spawn | USA Spawnpoint_CC_Base_USA_4thPA [map-57/015]</x:v>
      </x:c>
      <x:c r="M1118" s="35"/>
      <x:c r="N1118" s="35"/>
      <x:c r="O1118" s="35"/>
      <x:c r="P1118" s="35"/>
      <x:c r="Q1118" s="35"/>
      <x:c r="R1118" s="35"/>
      <x:c r="S1118" s="35"/>
      <x:c r="T1118" s="35"/>
      <x:c r="U1118" s="35"/>
      <x:c r="V1118" s="35"/>
      <x:c r="W1118" s="35"/>
      <x:c r="X1118" s="35"/>
      <x:c r="Y1118" s="35"/>
      <x:c r="Z1118" s="35"/>
      <x:c r="AA1118" s="35"/>
    </x:row>
    <x:row r="1119">
      <x:c r="A1119" s="136" t="str">
        <x:v>DrillCamp | Skirmish | Crecy's Cornfield</x:v>
      </x:c>
      <x:c r="B1119" s="136" t="str">
        <x:v>Spawn | USA Spawnpoint_CC_Defend_USA_51stNY1 [map-57/016]</x:v>
      </x:c>
      <x:c r="C1119" s="136" t="str">
        <x:v>spawn</x:v>
      </x:c>
      <x:c r="D1119" s="136" t="str">
        <x:v>USA</x:v>
      </x:c>
      <x:c r="E1119" s="136" t="str">
        <x:v>Spawnpoint_CC_Defend_USA_51stNY1</x:v>
      </x:c>
      <x:c r="F1119" s="137" t="n">
        <x:v>931.7275390625</x:v>
      </x:c>
      <x:c r="G1119" s="137" t="n">
        <x:v>1206.600341796875</x:v>
      </x:c>
      <x:c r="H1119" s="137" t="n">
        <x:v>84.11210632324219</x:v>
      </x:c>
      <x:c r="I1119" s="137" t="n">
        <x:v>956.9759137220436</x:v>
      </x:c>
      <x:c r="J1119" s="137" t="n">
        <x:v>596.7818315181377</x:v>
      </x:c>
      <x:c r="K1119" s="136" t="str">
        <x:v>map-57</x:v>
      </x:c>
      <x:c r="L1119" s="136" t="str">
        <x:v>DrillCamp | Skirmish | Crecy's Cornfield||Spawn | USA Spawnpoint_CC_Defend_USA_51stNY1 [map-57/016]</x:v>
      </x:c>
      <x:c r="M1119" s="35"/>
      <x:c r="N1119" s="35"/>
      <x:c r="O1119" s="35"/>
      <x:c r="P1119" s="35"/>
      <x:c r="Q1119" s="35"/>
      <x:c r="R1119" s="35"/>
      <x:c r="S1119" s="35"/>
      <x:c r="T1119" s="35"/>
      <x:c r="U1119" s="35"/>
      <x:c r="V1119" s="35"/>
      <x:c r="W1119" s="35"/>
      <x:c r="X1119" s="35"/>
      <x:c r="Y1119" s="35"/>
      <x:c r="Z1119" s="35"/>
      <x:c r="AA1119" s="35"/>
    </x:row>
    <x:row r="1120">
      <x:c r="A1120" s="136" t="str">
        <x:v>DrillCamp | Skirmish | Crecy's Cornfield</x:v>
      </x:c>
      <x:c r="B1120" s="136" t="str">
        <x:v>Artillery | USA Spawnpoint_CC_USA_Arty_Hexamer_Forward [map-57/017]</x:v>
      </x:c>
      <x:c r="C1120" s="136" t="str">
        <x:v>battery</x:v>
      </x:c>
      <x:c r="D1120" s="136" t="str">
        <x:v>USA</x:v>
      </x:c>
      <x:c r="E1120" s="136" t="str">
        <x:v>Spawnpoint_CC_USA_Arty_Hexamer_Forward</x:v>
      </x:c>
      <x:c r="F1120" s="137" t="n">
        <x:v>847.7422485351562</x:v>
      </x:c>
      <x:c r="G1120" s="137" t="n">
        <x:v>1209.525634765625</x:v>
      </x:c>
      <x:c r="H1120" s="137" t="n">
        <x:v>87.85041046142578</x:v>
      </x:c>
      <x:c r="I1120" s="137" t="n">
        <x:v>804.7566003268978</x:v>
      </x:c>
      <x:c r="J1120" s="137" t="n">
        <x:v>590.8328478300376</x:v>
      </x:c>
      <x:c r="K1120" s="136" t="str">
        <x:v>map-57</x:v>
      </x:c>
      <x:c r="L1120" s="136" t="str">
        <x:v>DrillCamp | Skirmish | Crecy's Cornfield||Artillery | USA Spawnpoint_CC_USA_Arty_Hexamer_Forward [map-57/017]</x:v>
      </x:c>
      <x:c r="M1120" s="35"/>
      <x:c r="N1120" s="35"/>
      <x:c r="O1120" s="35"/>
      <x:c r="P1120" s="35"/>
      <x:c r="Q1120" s="35"/>
      <x:c r="R1120" s="35"/>
      <x:c r="S1120" s="35"/>
      <x:c r="T1120" s="35"/>
      <x:c r="U1120" s="35"/>
      <x:c r="V1120" s="35"/>
      <x:c r="W1120" s="35"/>
      <x:c r="X1120" s="35"/>
      <x:c r="Y1120" s="35"/>
      <x:c r="Z1120" s="35"/>
      <x:c r="AA1120" s="35"/>
    </x:row>
    <x:row r="1121">
      <x:c r="A1121" s="136" t="str">
        <x:v>DrillCamp | Skirmish | Crecy's Cornfield</x:v>
      </x:c>
      <x:c r="B1121" s="136" t="str">
        <x:v>Spawn | USA Spawnpoint_CC_Defend_USA_39thNY1 [map-57/018]</x:v>
      </x:c>
      <x:c r="C1121" s="136" t="str">
        <x:v>spawn</x:v>
      </x:c>
      <x:c r="D1121" s="136" t="str">
        <x:v>USA</x:v>
      </x:c>
      <x:c r="E1121" s="136" t="str">
        <x:v>Spawnpoint_CC_Defend_USA_39thNY1</x:v>
      </x:c>
      <x:c r="F1121" s="137" t="n">
        <x:v>956.7672119140625</x:v>
      </x:c>
      <x:c r="G1121" s="137" t="n">
        <x:v>1189.5545654296875</x:v>
      </x:c>
      <x:c r="H1121" s="137" t="n">
        <x:v>82.5017318725586</x:v>
      </x:c>
      <x:c r="I1121" s="137" t="n">
        <x:v>1002.3849469604463</x:v>
      </x:c>
      <x:c r="J1121" s="137" t="n">
        <x:v>627.7393602644745</x:v>
      </x:c>
      <x:c r="K1121" s="136" t="str">
        <x:v>map-57</x:v>
      </x:c>
      <x:c r="L1121" s="136" t="str">
        <x:v>DrillCamp | Skirmish | Crecy's Cornfield||Spawn | USA Spawnpoint_CC_Defend_USA_39thNY1 [map-57/018]</x:v>
      </x:c>
      <x:c r="M1121" s="35"/>
      <x:c r="N1121" s="35"/>
      <x:c r="O1121" s="35"/>
      <x:c r="P1121" s="35"/>
      <x:c r="Q1121" s="35"/>
      <x:c r="R1121" s="35"/>
      <x:c r="S1121" s="35"/>
      <x:c r="T1121" s="35"/>
      <x:c r="U1121" s="35"/>
      <x:c r="V1121" s="35"/>
      <x:c r="W1121" s="35"/>
      <x:c r="X1121" s="35"/>
      <x:c r="Y1121" s="35"/>
      <x:c r="Z1121" s="35"/>
      <x:c r="AA1121" s="35"/>
    </x:row>
    <x:row r="1122">
      <x:c r="A1122" s="136" t="str">
        <x:v>DrillCamp | Skirmish | Crecy's Cornfield</x:v>
      </x:c>
      <x:c r="B1122" s="136" t="str">
        <x:v>Spawn | CSA Spawnpoint_CC_Mounted_CSA_1stVA [map-57/019]</x:v>
      </x:c>
      <x:c r="C1122" s="136" t="str">
        <x:v>spawn</x:v>
      </x:c>
      <x:c r="D1122" s="136" t="str">
        <x:v>CSA</x:v>
      </x:c>
      <x:c r="E1122" s="136" t="str">
        <x:v>Spawnpoint_CC_Mounted_CSA_1stVA</x:v>
      </x:c>
      <x:c r="F1122" s="137" t="n">
        <x:v>712.6649780273438</x:v>
      </x:c>
      <x:c r="G1122" s="137" t="n">
        <x:v>552.9314575195312</x:v>
      </x:c>
      <x:c r="H1122" s="137" t="n">
        <x:v>110.2406234741211</x:v>
      </x:c>
      <x:c r="I1122" s="137" t="n">
        <x:v>560.9915005864133</x:v>
      </x:c>
      <x:c r="J1122" s="137" t="n">
        <x:v>1774.5209967463877</x:v>
      </x:c>
      <x:c r="K1122" s="136" t="str">
        <x:v>map-57</x:v>
      </x:c>
      <x:c r="L1122" s="136" t="str">
        <x:v>DrillCamp | Skirmish | Crecy's Cornfield||Spawn | CSA Spawnpoint_CC_Mounted_CSA_1stVA [map-57/019]</x:v>
      </x:c>
      <x:c r="M1122" s="35"/>
      <x:c r="N1122" s="35"/>
      <x:c r="O1122" s="35"/>
      <x:c r="P1122" s="35"/>
      <x:c r="Q1122" s="35"/>
      <x:c r="R1122" s="35"/>
      <x:c r="S1122" s="35"/>
      <x:c r="T1122" s="35"/>
      <x:c r="U1122" s="35"/>
      <x:c r="V1122" s="35"/>
      <x:c r="W1122" s="35"/>
      <x:c r="X1122" s="35"/>
      <x:c r="Y1122" s="35"/>
      <x:c r="Z1122" s="35"/>
      <x:c r="AA1122" s="35"/>
    </x:row>
    <x:row r="1123">
      <x:c r="A1123" s="136" t="str">
        <x:v>DrillCamp | Skirmish | Crecy's Cornfield</x:v>
      </x:c>
      <x:c r="B1123" s="136" t="str">
        <x:v>Spawn | USA Spawnpoint_CC_Defend_USA_51stNY2 [map-57/020]</x:v>
      </x:c>
      <x:c r="C1123" s="136" t="str">
        <x:v>spawn</x:v>
      </x:c>
      <x:c r="D1123" s="136" t="str">
        <x:v>USA</x:v>
      </x:c>
      <x:c r="E1123" s="136" t="str">
        <x:v>Spawnpoint_CC_Defend_USA_51stNY2</x:v>
      </x:c>
      <x:c r="F1123" s="137" t="n">
        <x:v>930.4169921875</x:v>
      </x:c>
      <x:c r="G1123" s="137" t="n">
        <x:v>1194.114501953125</x:v>
      </x:c>
      <x:c r="H1123" s="137" t="n">
        <x:v>85.13487243652344</x:v>
      </x:c>
      <x:c r="I1123" s="137" t="n">
        <x:v>954.620620912954</x:v>
      </x:c>
      <x:c r="J1123" s="137" t="n">
        <x:v>619.3009711882968</x:v>
      </x:c>
      <x:c r="K1123" s="136" t="str">
        <x:v>map-57</x:v>
      </x:c>
      <x:c r="L1123" s="136" t="str">
        <x:v>DrillCamp | Skirmish | Crecy's Cornfield||Spawn | USA Spawnpoint_CC_Defend_USA_51stNY2 [map-57/020]</x:v>
      </x:c>
      <x:c r="M1123" s="35"/>
      <x:c r="N1123" s="35"/>
      <x:c r="O1123" s="35"/>
      <x:c r="P1123" s="35"/>
      <x:c r="Q1123" s="35"/>
      <x:c r="R1123" s="35"/>
      <x:c r="S1123" s="35"/>
      <x:c r="T1123" s="35"/>
      <x:c r="U1123" s="35"/>
      <x:c r="V1123" s="35"/>
      <x:c r="W1123" s="35"/>
      <x:c r="X1123" s="35"/>
      <x:c r="Y1123" s="35"/>
      <x:c r="Z1123" s="35"/>
      <x:c r="AA1123" s="35"/>
    </x:row>
    <x:row r="1124">
      <x:c r="A1124" s="136" t="str">
        <x:v>DrillCamp | Skirmish | Crecy's Cornfield</x:v>
      </x:c>
      <x:c r="B1124" s="136" t="str">
        <x:v>Spawn | CSA Spawnpoint_CC_Base_CSA_Holc_B [map-57/021]</x:v>
      </x:c>
      <x:c r="C1124" s="136" t="str">
        <x:v>spawn</x:v>
      </x:c>
      <x:c r="D1124" s="136" t="str">
        <x:v>CSA</x:v>
      </x:c>
      <x:c r="E1124" s="136" t="str">
        <x:v>Spawnpoint_CC_Base_CSA_Holc_B</x:v>
      </x:c>
      <x:c r="F1124" s="137" t="n">
        <x:v>970.865478515625</x:v>
      </x:c>
      <x:c r="G1124" s="137" t="n">
        <x:v>692.529296875</x:v>
      </x:c>
      <x:c r="H1124" s="137" t="n">
        <x:v>87.98160552978516</x:v>
      </x:c>
      <x:c r="I1124" s="137" t="n">
        <x:v>1028.730257268397</x:v>
      </x:c>
      <x:c r="J1124" s="137" t="n">
        <x:v>1524.6904405101238</x:v>
      </x:c>
      <x:c r="K1124" s="136" t="str">
        <x:v>map-57</x:v>
      </x:c>
      <x:c r="L1124" s="136" t="str">
        <x:v>DrillCamp | Skirmish | Crecy's Cornfield||Spawn | CSA Spawnpoint_CC_Base_CSA_Holc_B [map-57/021]</x:v>
      </x:c>
      <x:c r="M1124" s="35"/>
      <x:c r="N1124" s="35"/>
      <x:c r="O1124" s="35"/>
      <x:c r="P1124" s="35"/>
      <x:c r="Q1124" s="35"/>
      <x:c r="R1124" s="35"/>
      <x:c r="S1124" s="35"/>
      <x:c r="T1124" s="35"/>
      <x:c r="U1124" s="35"/>
      <x:c r="V1124" s="35"/>
      <x:c r="W1124" s="35"/>
      <x:c r="X1124" s="35"/>
      <x:c r="Y1124" s="35"/>
      <x:c r="Z1124" s="35"/>
      <x:c r="AA1124" s="35"/>
    </x:row>
    <x:row r="1125">
      <x:c r="A1125" s="136" t="str">
        <x:v>DrillCamp | Skirmish | Crecy's Cornfield</x:v>
      </x:c>
      <x:c r="B1125" s="136" t="str">
        <x:v>Gun | 12-pounder Napoleon (CSA) · Entity-1265 [map-57/022]</x:v>
      </x:c>
      <x:c r="C1125" s="136" t="str">
        <x:v>gun_spawn</x:v>
      </x:c>
      <x:c r="D1125" s="136" t="str"/>
      <x:c r="E1125" s="136" t="str">
        <x:v>12-pounder Napoleon (CSA) · Entity-1265</x:v>
      </x:c>
      <x:c r="F1125" s="137" t="n">
        <x:v>832.5477905273438</x:v>
      </x:c>
      <x:c r="G1125" s="137" t="n">
        <x:v>1172.642822265625</x:v>
      </x:c>
      <x:c r="H1125" s="137" t="n">
        <x:v>92.44306945800781</x:v>
      </x:c>
      <x:c r="I1125" s="137" t="n">
        <x:v>777.277113977053</x:v>
      </x:c>
      <x:c r="J1125" s="137" t="n">
        <x:v>657.2633346567407</x:v>
      </x:c>
      <x:c r="K1125" s="136" t="str">
        <x:v>map-57</x:v>
      </x:c>
      <x:c r="L1125" s="136" t="str">
        <x:v>DrillCamp | Skirmish | Crecy's Cornfield||Gun | 12-pounder Napoleon (CSA) · Entity-1265 [map-57/022]</x:v>
      </x:c>
      <x:c r="M1125" s="35"/>
      <x:c r="N1125" s="35"/>
      <x:c r="O1125" s="35"/>
      <x:c r="P1125" s="35"/>
      <x:c r="Q1125" s="35"/>
      <x:c r="R1125" s="35"/>
      <x:c r="S1125" s="35"/>
      <x:c r="T1125" s="35"/>
      <x:c r="U1125" s="35"/>
      <x:c r="V1125" s="35"/>
      <x:c r="W1125" s="35"/>
      <x:c r="X1125" s="35"/>
      <x:c r="Y1125" s="35"/>
      <x:c r="Z1125" s="35"/>
      <x:c r="AA1125" s="35"/>
    </x:row>
    <x:row r="1126">
      <x:c r="A1126" s="136" t="str">
        <x:v>DrillCamp | Skirmish | Crecy's Cornfield</x:v>
      </x:c>
      <x:c r="B1126" s="136" t="str">
        <x:v>Gun | 12-pounder Napoleon (CSA) · Entity-1255 [map-57/023]</x:v>
      </x:c>
      <x:c r="C1126" s="136" t="str">
        <x:v>gun_spawn</x:v>
      </x:c>
      <x:c r="D1126" s="136" t="str"/>
      <x:c r="E1126" s="136" t="str">
        <x:v>12-pounder Napoleon (CSA) · Entity-1255</x:v>
      </x:c>
      <x:c r="F1126" s="137" t="n">
        <x:v>917.4581909179688</x:v>
      </x:c>
      <x:c r="G1126" s="137" t="n">
        <x:v>1281.5618896484375</x:v>
      </x:c>
      <x:c r="H1126" s="137" t="n">
        <x:v>79.16559600830078</x:v>
      </x:c>
      <x:c r="I1126" s="137" t="n">
        <x:v>930.9944974158362</x:v>
      </x:c>
      <x:c r="J1126" s="137" t="n">
        <x:v>461.4063627966255</x:v>
      </x:c>
      <x:c r="K1126" s="136" t="str">
        <x:v>map-57</x:v>
      </x:c>
      <x:c r="L1126" s="136" t="str">
        <x:v>DrillCamp | Skirmish | Crecy's Cornfield||Gun | 12-pounder Napoleon (CSA) · Entity-1255 [map-57/023]</x:v>
      </x:c>
      <x:c r="M1126" s="35"/>
      <x:c r="N1126" s="35"/>
      <x:c r="O1126" s="35"/>
      <x:c r="P1126" s="35"/>
      <x:c r="Q1126" s="35"/>
      <x:c r="R1126" s="35"/>
      <x:c r="S1126" s="35"/>
      <x:c r="T1126" s="35"/>
      <x:c r="U1126" s="35"/>
      <x:c r="V1126" s="35"/>
      <x:c r="W1126" s="35"/>
      <x:c r="X1126" s="35"/>
      <x:c r="Y1126" s="35"/>
      <x:c r="Z1126" s="35"/>
      <x:c r="AA1126" s="35"/>
    </x:row>
    <x:row r="1127">
      <x:c r="A1127" s="136" t="str">
        <x:v>DrillCamp | Skirmish | Crecy's Cornfield</x:v>
      </x:c>
      <x:c r="B1127" s="136" t="str">
        <x:v>Gun | 12-pounder Napoleon (USA) · Entity-1241 [map-57/024]</x:v>
      </x:c>
      <x:c r="C1127" s="136" t="str">
        <x:v>gun_spawn</x:v>
      </x:c>
      <x:c r="D1127" s="136" t="str"/>
      <x:c r="E1127" s="136" t="str">
        <x:v>12-pounder Napoleon (USA) · Entity-1241</x:v>
      </x:c>
      <x:c r="F1127" s="137" t="n">
        <x:v>799.3209228515625</x:v>
      </x:c>
      <x:c r="G1127" s="137" t="n">
        <x:v>892.2933349609375</x:v>
      </x:c>
      <x:c r="H1127" s="137" t="n">
        <x:v>105.20784759521484</x:v>
      </x:c>
      <x:c r="I1127" s="137" t="n">
        <x:v>717.5045258896852</x:v>
      </x:c>
      <x:c r="J1127" s="137" t="n">
        <x:v>1162.8641160059028</x:v>
      </x:c>
      <x:c r="K1127" s="136" t="str">
        <x:v>map-57</x:v>
      </x:c>
      <x:c r="L1127" s="136" t="str">
        <x:v>DrillCamp | Skirmish | Crecy's Cornfield||Gun | 12-pounder Napoleon (USA) · Entity-1241 [map-57/024]</x:v>
      </x:c>
      <x:c r="M1127" s="35"/>
      <x:c r="N1127" s="35"/>
      <x:c r="O1127" s="35"/>
      <x:c r="P1127" s="35"/>
      <x:c r="Q1127" s="35"/>
      <x:c r="R1127" s="35"/>
      <x:c r="S1127" s="35"/>
      <x:c r="T1127" s="35"/>
      <x:c r="U1127" s="35"/>
      <x:c r="V1127" s="35"/>
      <x:c r="W1127" s="35"/>
      <x:c r="X1127" s="35"/>
      <x:c r="Y1127" s="35"/>
      <x:c r="Z1127" s="35"/>
      <x:c r="AA1127" s="35"/>
    </x:row>
    <x:row r="1128">
      <x:c r="A1128" s="136" t="str">
        <x:v>DrillCamp | Skirmish | Crecy's Cornfield</x:v>
      </x:c>
      <x:c r="B1128" s="136" t="str">
        <x:v>Gun | 12-pounder Napoleon (USA) · Entity-1242 [map-57/025]</x:v>
      </x:c>
      <x:c r="C1128" s="136" t="str">
        <x:v>gun_spawn</x:v>
      </x:c>
      <x:c r="D1128" s="136" t="str"/>
      <x:c r="E1128" s="136" t="str">
        <x:v>12-pounder Napoleon (USA) · Entity-1242</x:v>
      </x:c>
      <x:c r="F1128" s="137" t="n">
        <x:v>818.4839477539062</x:v>
      </x:c>
      <x:c r="G1128" s="137" t="n">
        <x:v>892.8807373046875</x:v>
      </x:c>
      <x:c r="H1128" s="137" t="n">
        <x:v>103.65440368652344</x:v>
      </x:c>
      <x:c r="I1128" s="137" t="n">
        <x:v>752.2345861728521</x:v>
      </x:c>
      <x:c r="J1128" s="137" t="n">
        <x:v>1161.9571999566504</x:v>
      </x:c>
      <x:c r="K1128" s="136" t="str">
        <x:v>map-57</x:v>
      </x:c>
      <x:c r="L1128" s="136" t="str">
        <x:v>DrillCamp | Skirmish | Crecy's Cornfield||Gun | 12-pounder Napoleon (USA) · Entity-1242 [map-57/025]</x:v>
      </x:c>
      <x:c r="M1128" s="35"/>
      <x:c r="N1128" s="35"/>
      <x:c r="O1128" s="35"/>
      <x:c r="P1128" s="35"/>
      <x:c r="Q1128" s="35"/>
      <x:c r="R1128" s="35"/>
      <x:c r="S1128" s="35"/>
      <x:c r="T1128" s="35"/>
      <x:c r="U1128" s="35"/>
      <x:c r="V1128" s="35"/>
      <x:c r="W1128" s="35"/>
      <x:c r="X1128" s="35"/>
      <x:c r="Y1128" s="35"/>
      <x:c r="Z1128" s="35"/>
      <x:c r="AA1128" s="35"/>
    </x:row>
    <x:row r="1129">
      <x:c r="A1129" s="136" t="str">
        <x:v>DrillCamp | Skirmish | Crecy's Cornfield</x:v>
      </x:c>
      <x:c r="B1129" s="136" t="str">
        <x:v>Gun | 12-pounder Napoleon (USA) · Entity-1240 [map-57/026]</x:v>
      </x:c>
      <x:c r="C1129" s="136" t="str">
        <x:v>gun_spawn</x:v>
      </x:c>
      <x:c r="D1129" s="136" t="str"/>
      <x:c r="E1129" s="136" t="str">
        <x:v>12-pounder Napoleon (USA) · Entity-1240</x:v>
      </x:c>
      <x:c r="F1129" s="137" t="n">
        <x:v>808.8201293945312</x:v>
      </x:c>
      <x:c r="G1129" s="137" t="n">
        <x:v>892.741943359375</x:v>
      </x:c>
      <x:c r="H1129" s="137" t="n">
        <x:v>104.34530639648438</x:v>
      </x:c>
      <x:c r="I1129" s="137" t="n">
        <x:v>734.7201377359959</x:v>
      </x:c>
      <x:c r="J1129" s="137" t="n">
        <x:v>1162.1304843325925</x:v>
      </x:c>
      <x:c r="K1129" s="136" t="str">
        <x:v>map-57</x:v>
      </x:c>
      <x:c r="L1129" s="136" t="str">
        <x:v>DrillCamp | Skirmish | Crecy's Cornfield||Gun | 12-pounder Napoleon (USA) · Entity-1240 [map-57/026]</x:v>
      </x:c>
      <x:c r="M1129" s="35"/>
      <x:c r="N1129" s="35"/>
      <x:c r="O1129" s="35"/>
      <x:c r="P1129" s="35"/>
      <x:c r="Q1129" s="35"/>
      <x:c r="R1129" s="35"/>
      <x:c r="S1129" s="35"/>
      <x:c r="T1129" s="35"/>
      <x:c r="U1129" s="35"/>
      <x:c r="V1129" s="35"/>
      <x:c r="W1129" s="35"/>
      <x:c r="X1129" s="35"/>
      <x:c r="Y1129" s="35"/>
      <x:c r="Z1129" s="35"/>
      <x:c r="AA1129" s="35"/>
    </x:row>
    <x:row r="1130">
      <x:c r="A1130" s="136" t="str">
        <x:v>DrillCamp | Skirmish | Crecy's Cornfield</x:v>
      </x:c>
      <x:c r="B1130" s="136" t="str">
        <x:v>Gun | 12-pounder Napoleon (CSA) · Entity-1257 [map-57/027]</x:v>
      </x:c>
      <x:c r="C1130" s="136" t="str">
        <x:v>gun_spawn</x:v>
      </x:c>
      <x:c r="D1130" s="136" t="str"/>
      <x:c r="E1130" s="136" t="str">
        <x:v>12-pounder Napoleon (CSA) · Entity-1257</x:v>
      </x:c>
      <x:c r="F1130" s="137" t="n">
        <x:v>925.1978149414062</x:v>
      </x:c>
      <x:c r="G1130" s="137" t="n">
        <x:v>1281.4039306640625</x:v>
      </x:c>
      <x:c r="H1130" s="137" t="n">
        <x:v>78.50714874267578</x:v>
      </x:c>
      <x:c r="I1130" s="137" t="n">
        <x:v>945.0220167356999</x:v>
      </x:c>
      <x:c r="J1130" s="137" t="n">
        <x:v>461.7531800558675</x:v>
      </x:c>
      <x:c r="K1130" s="136" t="str">
        <x:v>map-57</x:v>
      </x:c>
      <x:c r="L1130" s="136" t="str">
        <x:v>DrillCamp | Skirmish | Crecy's Cornfield||Gun | 12-pounder Napoleon (CSA) · Entity-1257 [map-57/027]</x:v>
      </x:c>
      <x:c r="M1130" s="35"/>
      <x:c r="N1130" s="35"/>
      <x:c r="O1130" s="35"/>
      <x:c r="P1130" s="35"/>
      <x:c r="Q1130" s="35"/>
      <x:c r="R1130" s="35"/>
      <x:c r="S1130" s="35"/>
      <x:c r="T1130" s="35"/>
      <x:c r="U1130" s="35"/>
      <x:c r="V1130" s="35"/>
      <x:c r="W1130" s="35"/>
      <x:c r="X1130" s="35"/>
      <x:c r="Y1130" s="35"/>
      <x:c r="Z1130" s="35"/>
      <x:c r="AA1130" s="35"/>
    </x:row>
    <x:row r="1131">
      <x:c r="A1131" s="136" t="str">
        <x:v>DrillCamp | Skirmish | Crecy's Cornfield</x:v>
      </x:c>
      <x:c r="B1131" s="136" t="str">
        <x:v>Gun | 3-inch Ordnance · Entity-1266 [map-57/028]</x:v>
      </x:c>
      <x:c r="C1131" s="136" t="str">
        <x:v>gun_spawn</x:v>
      </x:c>
      <x:c r="D1131" s="136" t="str"/>
      <x:c r="E1131" s="136" t="str">
        <x:v>3-inch Ordnance · Entity-1266</x:v>
      </x:c>
      <x:c r="F1131" s="137" t="n">
        <x:v>839.5357666015625</x:v>
      </x:c>
      <x:c r="G1131" s="137" t="n">
        <x:v>1173.3546142578125</x:v>
      </x:c>
      <x:c r="H1131" s="137" t="n">
        <x:v>92.20835876464844</x:v>
      </x:c>
      <x:c r="I1131" s="137" t="n">
        <x:v>789.9409603843342</x:v>
      </x:c>
      <x:c r="J1131" s="137" t="n">
        <x:v>656.0347612877376</x:v>
      </x:c>
      <x:c r="K1131" s="136" t="str">
        <x:v>map-57</x:v>
      </x:c>
      <x:c r="L1131" s="136" t="str">
        <x:v>DrillCamp | Skirmish | Crecy's Cornfield||Gun | 3-inch Ordnance · Entity-1266 [map-57/028]</x:v>
      </x:c>
      <x:c r="M1131" s="35"/>
      <x:c r="N1131" s="35"/>
      <x:c r="O1131" s="35"/>
      <x:c r="P1131" s="35"/>
      <x:c r="Q1131" s="35"/>
      <x:c r="R1131" s="35"/>
      <x:c r="S1131" s="35"/>
      <x:c r="T1131" s="35"/>
      <x:c r="U1131" s="35"/>
      <x:c r="V1131" s="35"/>
      <x:c r="W1131" s="35"/>
      <x:c r="X1131" s="35"/>
      <x:c r="Y1131" s="35"/>
      <x:c r="Z1131" s="35"/>
      <x:c r="AA1131" s="35"/>
    </x:row>
    <x:row r="1132">
      <x:c r="A1132" s="136" t="str">
        <x:v>DrillCamp | Skirmish | Crecy's Cornfield</x:v>
      </x:c>
      <x:c r="B1132" s="136" t="str">
        <x:v>Gun | 10-pounder Parrott · Entity-1239 [map-57/029]</x:v>
      </x:c>
      <x:c r="C1132" s="136" t="str">
        <x:v>gun_spawn</x:v>
      </x:c>
      <x:c r="D1132" s="136" t="str"/>
      <x:c r="E1132" s="136" t="str">
        <x:v>10-pounder Parrott · Entity-1239</x:v>
      </x:c>
      <x:c r="F1132" s="137" t="n">
        <x:v>791.162841796875</x:v>
      </x:c>
      <x:c r="G1132" s="137" t="n">
        <x:v>891.9032592773438</x:v>
      </x:c>
      <x:c r="H1132" s="137" t="n">
        <x:v>106.2240219116211</x:v>
      </x:c>
      <x:c r="I1132" s="137" t="n">
        <x:v>702.7194716478865</x:v>
      </x:c>
      <x:c r="J1132" s="137" t="n">
        <x:v>1163.502838240294</x:v>
      </x:c>
      <x:c r="K1132" s="136" t="str">
        <x:v>map-57</x:v>
      </x:c>
      <x:c r="L1132" s="136" t="str">
        <x:v>DrillCamp | Skirmish | Crecy's Cornfield||Gun | 10-pounder Parrott · Entity-1239 [map-57/029]</x:v>
      </x:c>
      <x:c r="M1132" s="35"/>
      <x:c r="N1132" s="35"/>
      <x:c r="O1132" s="35"/>
      <x:c r="P1132" s="35"/>
      <x:c r="Q1132" s="35"/>
      <x:c r="R1132" s="35"/>
      <x:c r="S1132" s="35"/>
      <x:c r="T1132" s="35"/>
      <x:c r="U1132" s="35"/>
      <x:c r="V1132" s="35"/>
      <x:c r="W1132" s="35"/>
      <x:c r="X1132" s="35"/>
      <x:c r="Y1132" s="35"/>
      <x:c r="Z1132" s="35"/>
      <x:c r="AA1132" s="35"/>
    </x:row>
    <x:row r="1133">
      <x:c r="A1133" s="136" t="str">
        <x:v>DrillCamp | Skirmish | Crecy's Cornfield</x:v>
      </x:c>
      <x:c r="B1133" s="136" t="str">
        <x:v>Gun | 12-pounder Napoleon (CSA) · Entity-1264 [map-57/030]</x:v>
      </x:c>
      <x:c r="C1133" s="136" t="str">
        <x:v>gun_spawn</x:v>
      </x:c>
      <x:c r="D1133" s="136" t="str"/>
      <x:c r="E1133" s="136" t="str">
        <x:v>12-pounder Napoleon (CSA) · Entity-1264</x:v>
      </x:c>
      <x:c r="F1133" s="137" t="n">
        <x:v>824.8128662109375</x:v>
      </x:c>
      <x:c r="G1133" s="137" t="n">
        <x:v>1172.3294677734375</x:v>
      </x:c>
      <x:c r="H1133" s="137" t="n">
        <x:v>92.44806671142578</x:v>
      </x:c>
      <x:c r="I1133" s="137" t="n">
        <x:v>763.258864994305</x:v>
      </x:c>
      <x:c r="J1133" s="137" t="n">
        <x:v>657.7669987642347</x:v>
      </x:c>
      <x:c r="K1133" s="136" t="str">
        <x:v>map-57</x:v>
      </x:c>
      <x:c r="L1133" s="136" t="str">
        <x:v>DrillCamp | Skirmish | Crecy's Cornfield||Gun | 12-pounder Napoleon (CSA) · Entity-1264 [map-57/030]</x:v>
      </x:c>
      <x:c r="M1133" s="35"/>
      <x:c r="N1133" s="35"/>
      <x:c r="O1133" s="35"/>
      <x:c r="P1133" s="35"/>
      <x:c r="Q1133" s="35"/>
      <x:c r="R1133" s="35"/>
      <x:c r="S1133" s="35"/>
      <x:c r="T1133" s="35"/>
      <x:c r="U1133" s="35"/>
      <x:c r="V1133" s="35"/>
      <x:c r="W1133" s="35"/>
      <x:c r="X1133" s="35"/>
      <x:c r="Y1133" s="35"/>
      <x:c r="Z1133" s="35"/>
      <x:c r="AA1133" s="35"/>
    </x:row>
    <x:row r="1134">
      <x:c r="A1134" s="136" t="str">
        <x:v>DrillCamp | Skirmish | Crecy's Cornfield</x:v>
      </x:c>
      <x:c r="B1134" s="136" t="str">
        <x:v>Gun | 3-inch Ordnance · Entity-1250 [map-57/031]</x:v>
      </x:c>
      <x:c r="C1134" s="136" t="str">
        <x:v>gun_spawn</x:v>
      </x:c>
      <x:c r="D1134" s="136" t="str"/>
      <x:c r="E1134" s="136" t="str">
        <x:v>3-inch Ordnance · Entity-1250</x:v>
      </x:c>
      <x:c r="F1134" s="137" t="n">
        <x:v>989.1902465820312</x:v>
      </x:c>
      <x:c r="G1134" s="137" t="n">
        <x:v>896.43701171875</x:v>
      </x:c>
      <x:c r="H1134" s="137" t="n">
        <x:v>90.548095703125</x:v>
      </x:c>
      <x:c r="I1134" s="137" t="n">
        <x:v>1061.6163970351276</x:v>
      </x:c>
      <x:c r="J1134" s="137" t="n">
        <x:v>1156.9031549332983</x:v>
      </x:c>
      <x:c r="K1134" s="136" t="str">
        <x:v>map-57</x:v>
      </x:c>
      <x:c r="L1134" s="136" t="str">
        <x:v>DrillCamp | Skirmish | Crecy's Cornfield||Gun | 3-inch Ordnance · Entity-1250 [map-57/031]</x:v>
      </x:c>
      <x:c r="M1134" s="35"/>
      <x:c r="N1134" s="35"/>
      <x:c r="O1134" s="35"/>
      <x:c r="P1134" s="35"/>
      <x:c r="Q1134" s="35"/>
      <x:c r="R1134" s="35"/>
      <x:c r="S1134" s="35"/>
      <x:c r="T1134" s="35"/>
      <x:c r="U1134" s="35"/>
      <x:c r="V1134" s="35"/>
      <x:c r="W1134" s="35"/>
      <x:c r="X1134" s="35"/>
      <x:c r="Y1134" s="35"/>
      <x:c r="Z1134" s="35"/>
      <x:c r="AA1134" s="35"/>
    </x:row>
    <x:row r="1135">
      <x:c r="A1135" s="136" t="str">
        <x:v>DrillCamp | Skirmish | Crecy's Cornfield</x:v>
      </x:c>
      <x:c r="B1135" s="136" t="str">
        <x:v>Gun | 10-pounder Parrott · Entity-1238 [map-57/032]</x:v>
      </x:c>
      <x:c r="C1135" s="136" t="str">
        <x:v>gun_spawn</x:v>
      </x:c>
      <x:c r="D1135" s="136" t="str"/>
      <x:c r="E1135" s="136" t="str">
        <x:v>10-pounder Parrott · Entity-1238</x:v>
      </x:c>
      <x:c r="F1135" s="137" t="n">
        <x:v>774.951904296875</x:v>
      </x:c>
      <x:c r="G1135" s="137" t="n">
        <x:v>891.4234619140625</x:v>
      </x:c>
      <x:c r="H1135" s="137" t="n">
        <x:v>107.66338348388672</x:v>
      </x:c>
      <x:c r="I1135" s="137" t="n">
        <x:v>673.3395922599822</x:v>
      </x:c>
      <x:c r="J1135" s="137" t="n">
        <x:v>1164.2391603704489</x:v>
      </x:c>
      <x:c r="K1135" s="136" t="str">
        <x:v>map-57</x:v>
      </x:c>
      <x:c r="L1135" s="136" t="str">
        <x:v>DrillCamp | Skirmish | Crecy's Cornfield||Gun | 10-pounder Parrott · Entity-1238 [map-57/032]</x:v>
      </x:c>
      <x:c r="M1135" s="35"/>
      <x:c r="N1135" s="35"/>
      <x:c r="O1135" s="35"/>
      <x:c r="P1135" s="35"/>
      <x:c r="Q1135" s="35"/>
      <x:c r="R1135" s="35"/>
      <x:c r="S1135" s="35"/>
      <x:c r="T1135" s="35"/>
      <x:c r="U1135" s="35"/>
      <x:c r="V1135" s="35"/>
      <x:c r="W1135" s="35"/>
      <x:c r="X1135" s="35"/>
      <x:c r="Y1135" s="35"/>
      <x:c r="Z1135" s="35"/>
      <x:c r="AA1135" s="35"/>
    </x:row>
    <x:row r="1136">
      <x:c r="A1136" s="136" t="str">
        <x:v>DrillCamp | Skirmish | Crecy's Cornfield</x:v>
      </x:c>
      <x:c r="B1136" s="136" t="str">
        <x:v>Gun | 3-inch Ordnance · Entity-1249 [map-57/033]</x:v>
      </x:c>
      <x:c r="C1136" s="136" t="str">
        <x:v>gun_spawn</x:v>
      </x:c>
      <x:c r="D1136" s="136" t="str"/>
      <x:c r="E1136" s="136" t="str">
        <x:v>3-inch Ordnance · Entity-1249</x:v>
      </x:c>
      <x:c r="F1136" s="137" t="n">
        <x:v>981.8934936523438</x:v>
      </x:c>
      <x:c r="G1136" s="137" t="n">
        <x:v>895.1654052734375</x:v>
      </x:c>
      <x:c r="H1136" s="137" t="n">
        <x:v>91.28648376464844</x:v>
      </x:c>
      <x:c r="I1136" s="137" t="n">
        <x:v>1048.3938184771343</x:v>
      </x:c>
      <x:c r="J1136" s="137" t="n">
        <x:v>1159.139399085576</x:v>
      </x:c>
      <x:c r="K1136" s="136" t="str">
        <x:v>map-57</x:v>
      </x:c>
      <x:c r="L1136" s="136" t="str">
        <x:v>DrillCamp | Skirmish | Crecy's Cornfield||Gun | 3-inch Ordnance · Entity-1249 [map-57/033]</x:v>
      </x:c>
      <x:c r="M1136" s="35"/>
      <x:c r="N1136" s="35"/>
      <x:c r="O1136" s="35"/>
      <x:c r="P1136" s="35"/>
      <x:c r="Q1136" s="35"/>
      <x:c r="R1136" s="35"/>
      <x:c r="S1136" s="35"/>
      <x:c r="T1136" s="35"/>
      <x:c r="U1136" s="35"/>
      <x:c r="V1136" s="35"/>
      <x:c r="W1136" s="35"/>
      <x:c r="X1136" s="35"/>
      <x:c r="Y1136" s="35"/>
      <x:c r="Z1136" s="35"/>
      <x:c r="AA1136" s="35"/>
    </x:row>
    <x:row r="1137">
      <x:c r="A1137" s="136" t="str">
        <x:v>DrillCamp | Skirmish | Crecy's Cornfield</x:v>
      </x:c>
      <x:c r="B1137" s="136" t="str">
        <x:v>Gun | 12-pounder Napoleon (USA) · Entity-1251 [map-57/034]</x:v>
      </x:c>
      <x:c r="C1137" s="136" t="str">
        <x:v>gun_spawn</x:v>
      </x:c>
      <x:c r="D1137" s="136" t="str"/>
      <x:c r="E1137" s="136" t="str">
        <x:v>12-pounder Napoleon (USA) · Entity-1251</x:v>
      </x:c>
      <x:c r="F1137" s="137" t="n">
        <x:v>997.2298583984375</x:v>
      </x:c>
      <x:c r="G1137" s="137" t="n">
        <x:v>897.9354858398438</x:v>
      </x:c>
      <x:c r="H1137" s="137" t="n">
        <x:v>89.72398376464844</x:v>
      </x:c>
      <x:c r="I1137" s="137" t="n">
        <x:v>1076.184968132797</x:v>
      </x:c>
      <x:c r="J1137" s="137" t="n">
        <x:v>1154.263479029669</x:v>
      </x:c>
      <x:c r="K1137" s="136" t="str">
        <x:v>map-57</x:v>
      </x:c>
      <x:c r="L1137" s="136" t="str">
        <x:v>DrillCamp | Skirmish | Crecy's Cornfield||Gun | 12-pounder Napoleon (USA) · Entity-1251 [map-57/034]</x:v>
      </x:c>
      <x:c r="M1137" s="35"/>
      <x:c r="N1137" s="35"/>
      <x:c r="O1137" s="35"/>
      <x:c r="P1137" s="35"/>
      <x:c r="Q1137" s="35"/>
      <x:c r="R1137" s="35"/>
      <x:c r="S1137" s="35"/>
      <x:c r="T1137" s="35"/>
      <x:c r="U1137" s="35"/>
      <x:c r="V1137" s="35"/>
      <x:c r="W1137" s="35"/>
      <x:c r="X1137" s="35"/>
      <x:c r="Y1137" s="35"/>
      <x:c r="Z1137" s="35"/>
      <x:c r="AA1137" s="35"/>
    </x:row>
    <x:row r="1138">
      <x:c r="A1138" s="136" t="str">
        <x:v>DrillCamp | Skirmish | Crecy's Cornfield</x:v>
      </x:c>
      <x:c r="B1138" s="136" t="str">
        <x:v>Gun | 12-pounder Napoleon (CSA) · Entity-1270 [map-57/035]</x:v>
      </x:c>
      <x:c r="C1138" s="136" t="str">
        <x:v>gun_spawn</x:v>
      </x:c>
      <x:c r="D1138" s="136" t="str"/>
      <x:c r="E1138" s="136" t="str">
        <x:v>12-pounder Napoleon (CSA) · Entity-1270</x:v>
      </x:c>
      <x:c r="F1138" s="137" t="n">
        <x:v>847.0508422851562</x:v>
      </x:c>
      <x:c r="G1138" s="137" t="n">
        <x:v>1173.474609375</x:v>
      </x:c>
      <x:c r="H1138" s="137" t="n">
        <x:v>92.03144836425781</x:v>
      </x:c>
      <x:c r="I1138" s="137" t="n">
        <x:v>803.5610652468645</x:v>
      </x:c>
      <x:c r="J1138" s="137" t="n">
        <x:v>655.8782419198251</x:v>
      </x:c>
      <x:c r="K1138" s="136" t="str">
        <x:v>map-57</x:v>
      </x:c>
      <x:c r="L1138" s="136" t="str">
        <x:v>DrillCamp | Skirmish | Crecy's Cornfield||Gun | 12-pounder Napoleon (CSA) · Entity-1270 [map-57/035]</x:v>
      </x:c>
      <x:c r="M1138" s="35"/>
      <x:c r="N1138" s="35"/>
      <x:c r="O1138" s="35"/>
      <x:c r="P1138" s="35"/>
      <x:c r="Q1138" s="35"/>
      <x:c r="R1138" s="35"/>
      <x:c r="S1138" s="35"/>
      <x:c r="T1138" s="35"/>
      <x:c r="U1138" s="35"/>
      <x:c r="V1138" s="35"/>
      <x:c r="W1138" s="35"/>
      <x:c r="X1138" s="35"/>
      <x:c r="Y1138" s="35"/>
      <x:c r="Z1138" s="35"/>
      <x:c r="AA1138" s="35"/>
    </x:row>
    <x:row r="1139">
      <x:c r="A1139" s="136" t="str">
        <x:v>DrillCamp | Skirmish | Crecy's Cornfield</x:v>
      </x:c>
      <x:c r="B1139" s="136" t="str">
        <x:v>Gun | 3-inch Ordnance · Entity-1256 [map-57/036]</x:v>
      </x:c>
      <x:c r="C1139" s="136" t="str">
        <x:v>gun_spawn</x:v>
      </x:c>
      <x:c r="D1139" s="136" t="str"/>
      <x:c r="E1139" s="136" t="str">
        <x:v>3-inch Ordnance · Entity-1256</x:v>
      </x:c>
      <x:c r="F1139" s="137" t="n">
        <x:v>932.21630859375</x:v>
      </x:c>
      <x:c r="G1139" s="137" t="n">
        <x:v>1281.689208984375</x:v>
      </x:c>
      <x:c r="H1139" s="137" t="n">
        <x:v>77.85227966308594</x:v>
      </x:c>
      <x:c r="I1139" s="137" t="n">
        <x:v>957.7418541605417</x:v>
      </x:c>
      <x:c r="J1139" s="137" t="n">
        <x:v>461.294456867186</x:v>
      </x:c>
      <x:c r="K1139" s="136" t="str">
        <x:v>map-57</x:v>
      </x:c>
      <x:c r="L1139" s="136" t="str">
        <x:v>DrillCamp | Skirmish | Crecy's Cornfield||Gun | 3-inch Ordnance · Entity-1256 [map-57/036]</x:v>
      </x:c>
      <x:c r="M1139" s="35"/>
      <x:c r="N1139" s="35"/>
      <x:c r="O1139" s="35"/>
      <x:c r="P1139" s="35"/>
      <x:c r="Q1139" s="35"/>
      <x:c r="R1139" s="35"/>
      <x:c r="S1139" s="35"/>
      <x:c r="T1139" s="35"/>
      <x:c r="U1139" s="35"/>
      <x:c r="V1139" s="35"/>
      <x:c r="W1139" s="35"/>
      <x:c r="X1139" s="35"/>
      <x:c r="Y1139" s="35"/>
      <x:c r="Z1139" s="35"/>
      <x:c r="AA1139" s="35"/>
    </x:row>
    <x:row r="1140">
      <x:c r="A1140" s="136" t="str">
        <x:v>DrillCamp | Skirmish | Crecy's Cornfield</x:v>
      </x:c>
      <x:c r="B1140" s="136" t="str">
        <x:v>Gun | 3-inch Ordnance · Entity-1272 [map-57/037]</x:v>
      </x:c>
      <x:c r="C1140" s="136" t="str">
        <x:v>gun_spawn</x:v>
      </x:c>
      <x:c r="D1140" s="136" t="str"/>
      <x:c r="E1140" s="136" t="str">
        <x:v>3-inch Ordnance · Entity-1272</x:v>
      </x:c>
      <x:c r="F1140" s="137" t="n">
        <x:v>861.7737426757812</x:v>
      </x:c>
      <x:c r="G1140" s="137" t="n">
        <x:v>1174.4998779296875</x:v>
      </x:c>
      <x:c r="H1140" s="137" t="n">
        <x:v>91.84185791015625</x:v>
      </x:c>
      <x:c r="I1140" s="137" t="n">
        <x:v>830.2431604419687</x:v>
      </x:c>
      <x:c r="J1140" s="137" t="n">
        <x:v>654.1457841781522</x:v>
      </x:c>
      <x:c r="K1140" s="136" t="str">
        <x:v>map-57</x:v>
      </x:c>
      <x:c r="L1140" s="136" t="str">
        <x:v>DrillCamp | Skirmish | Crecy's Cornfield||Gun | 3-inch Ordnance · Entity-1272 [map-57/037]</x:v>
      </x:c>
      <x:c r="M1140" s="35"/>
      <x:c r="N1140" s="35"/>
      <x:c r="O1140" s="35"/>
      <x:c r="P1140" s="35"/>
      <x:c r="Q1140" s="35"/>
      <x:c r="R1140" s="35"/>
      <x:c r="S1140" s="35"/>
      <x:c r="T1140" s="35"/>
      <x:c r="U1140" s="35"/>
      <x:c r="V1140" s="35"/>
      <x:c r="W1140" s="35"/>
      <x:c r="X1140" s="35"/>
      <x:c r="Y1140" s="35"/>
      <x:c r="Z1140" s="35"/>
      <x:c r="AA1140" s="35"/>
    </x:row>
    <x:row r="1141">
      <x:c r="A1141" s="136" t="str">
        <x:v>DrillCamp | Skirmish | Crecy's Cornfield</x:v>
      </x:c>
      <x:c r="B1141" s="136" t="str">
        <x:v>Gun | 12-pounder Napoleon (CSA) · Entity-1271 [map-57/038]</x:v>
      </x:c>
      <x:c r="C1141" s="136" t="str">
        <x:v>gun_spawn</x:v>
      </x:c>
      <x:c r="D1141" s="136" t="str"/>
      <x:c r="E1141" s="136" t="str">
        <x:v>12-pounder Napoleon (CSA) · Entity-1271</x:v>
      </x:c>
      <x:c r="F1141" s="137" t="n">
        <x:v>854.7857666015625</x:v>
      </x:c>
      <x:c r="G1141" s="137" t="n">
        <x:v>1173.7879638671875</x:v>
      </x:c>
      <x:c r="H1141" s="137" t="n">
        <x:v>92.0549087524414</x:v>
      </x:c>
      <x:c r="I1141" s="137" t="n">
        <x:v>817.5793142296122</x:v>
      </x:c>
      <x:c r="J1141" s="137" t="n">
        <x:v>655.3745778123309</x:v>
      </x:c>
      <x:c r="K1141" s="136" t="str">
        <x:v>map-57</x:v>
      </x:c>
      <x:c r="L1141" s="136" t="str">
        <x:v>DrillCamp | Skirmish | Crecy's Cornfield||Gun | 12-pounder Napoleon (CSA) · Entity-1271 [map-57/038]</x:v>
      </x:c>
      <x:c r="M1141" s="35"/>
      <x:c r="N1141" s="35"/>
      <x:c r="O1141" s="35"/>
      <x:c r="P1141" s="35"/>
      <x:c r="Q1141" s="35"/>
      <x:c r="R1141" s="35"/>
      <x:c r="S1141" s="35"/>
      <x:c r="T1141" s="35"/>
      <x:c r="U1141" s="35"/>
      <x:c r="V1141" s="35"/>
      <x:c r="W1141" s="35"/>
      <x:c r="X1141" s="35"/>
      <x:c r="Y1141" s="35"/>
      <x:c r="Z1141" s="35"/>
      <x:c r="AA1141" s="35"/>
    </x:row>
    <x:row r="1142">
      <x:c r="A1142" s="136" t="str">
        <x:v>DrillCamp | Skirmish | Crecy's Cornfield</x:v>
      </x:c>
      <x:c r="B1142" s="136" t="str">
        <x:v>Gun | 10-pounder Parrott · Entity-1237 [map-57/039]</x:v>
      </x:c>
      <x:c r="C1142" s="136" t="str">
        <x:v>gun_spawn</x:v>
      </x:c>
      <x:c r="D1142" s="136" t="str"/>
      <x:c r="E1142" s="136" t="str">
        <x:v>10-pounder Parrott · Entity-1237</x:v>
      </x:c>
      <x:c r="F1142" s="137" t="n">
        <x:v>783.7670288085938</x:v>
      </x:c>
      <x:c r="G1142" s="137" t="n">
        <x:v>891.6331176757812</x:v>
      </x:c>
      <x:c r="H1142" s="137" t="n">
        <x:v>107.04033660888672</x:v>
      </x:c>
      <x:c r="I1142" s="137" t="n">
        <x:v>689.3157578282382</x:v>
      </x:c>
      <x:c r="J1142" s="137" t="n">
        <x:v>1163.9312359826245</x:v>
      </x:c>
      <x:c r="K1142" s="136" t="str">
        <x:v>map-57</x:v>
      </x:c>
      <x:c r="L1142" s="136" t="str">
        <x:v>DrillCamp | Skirmish | Crecy's Cornfield||Gun | 10-pounder Parrott · Entity-1237 [map-57/039]</x:v>
      </x:c>
      <x:c r="M1142" s="35"/>
      <x:c r="N1142" s="35"/>
      <x:c r="O1142" s="35"/>
      <x:c r="P1142" s="35"/>
      <x:c r="Q1142" s="35"/>
      <x:c r="R1142" s="35"/>
      <x:c r="S1142" s="35"/>
      <x:c r="T1142" s="35"/>
      <x:c r="U1142" s="35"/>
      <x:c r="V1142" s="35"/>
      <x:c r="W1142" s="35"/>
      <x:c r="X1142" s="35"/>
      <x:c r="Y1142" s="35"/>
      <x:c r="Z1142" s="35"/>
      <x:c r="AA1142" s="35"/>
    </x:row>
    <x:row r="1143">
      <x:c r="A1143" s="136" t="str">
        <x:v>DrillCamp | Skirmish | Larsen Homestead</x:v>
      </x:c>
      <x:c r="B1143" s="136" t="str">
        <x:v>Spawn | USA Spawnpoint_LH_Defend_USA_1stDE2 [map-58/001]</x:v>
      </x:c>
      <x:c r="C1143" s="136" t="str">
        <x:v>spawn</x:v>
      </x:c>
      <x:c r="D1143" s="136" t="str">
        <x:v>USA</x:v>
      </x:c>
      <x:c r="E1143" s="136" t="str">
        <x:v>Spawnpoint_LH_Defend_USA_1stDE2</x:v>
      </x:c>
      <x:c r="F1143" s="137" t="n">
        <x:v>1365.28955078125</x:v>
      </x:c>
      <x:c r="G1143" s="137" t="n">
        <x:v>1539.264892578125</x:v>
      </x:c>
      <x:c r="H1143" s="137" t="n">
        <x:v>56.400001525878906</x:v>
      </x:c>
      <x:c r="I1143" s="137" t="n">
        <x:v>1123.0216302935212</x:v>
      </x:c>
      <x:c r="J1143" s="137" t="n">
        <x:v>1479.400876804656</x:v>
      </x:c>
      <x:c r="K1143" s="136" t="str">
        <x:v>map-58</x:v>
      </x:c>
      <x:c r="L1143" s="136" t="str">
        <x:v>DrillCamp | Skirmish | Larsen Homestead||Spawn | USA Spawnpoint_LH_Defend_USA_1stDE2 [map-58/001]</x:v>
      </x:c>
      <x:c r="M1143" s="35"/>
      <x:c r="N1143" s="35"/>
      <x:c r="O1143" s="35"/>
      <x:c r="P1143" s="35"/>
      <x:c r="Q1143" s="35"/>
      <x:c r="R1143" s="35"/>
      <x:c r="S1143" s="35"/>
      <x:c r="T1143" s="35"/>
      <x:c r="U1143" s="35"/>
      <x:c r="V1143" s="35"/>
      <x:c r="W1143" s="35"/>
      <x:c r="X1143" s="35"/>
      <x:c r="Y1143" s="35"/>
      <x:c r="Z1143" s="35"/>
      <x:c r="AA1143" s="35"/>
    </x:row>
    <x:row r="1144">
      <x:c r="A1144" s="136" t="str">
        <x:v>DrillCamp | Skirmish | Larsen Homestead</x:v>
      </x:c>
      <x:c r="B1144" s="136" t="str">
        <x:v>Spawn | USA Spawnpoint_LH_Base_USA_1stDE1 [map-58/002]</x:v>
      </x:c>
      <x:c r="C1144" s="136" t="str">
        <x:v>spawn</x:v>
      </x:c>
      <x:c r="D1144" s="136" t="str">
        <x:v>USA</x:v>
      </x:c>
      <x:c r="E1144" s="136" t="str">
        <x:v>Spawnpoint_LH_Base_USA_1stDE1</x:v>
      </x:c>
      <x:c r="F1144" s="137" t="n">
        <x:v>1337.0106201171875</x:v>
      </x:c>
      <x:c r="G1144" s="137" t="n">
        <x:v>1355.28466796875</x:v>
      </x:c>
      <x:c r="H1144" s="137" t="n">
        <x:v>57.958526611328125</x:v>
      </x:c>
      <x:c r="I1144" s="137" t="n">
        <x:v>1076.016426688606</x:v>
      </x:c>
      <x:c r="J1144" s="137" t="n">
        <x:v>1812.7576635626397</x:v>
      </x:c>
      <x:c r="K1144" s="136" t="str">
        <x:v>map-58</x:v>
      </x:c>
      <x:c r="L1144" s="136" t="str">
        <x:v>DrillCamp | Skirmish | Larsen Homestead||Spawn | USA Spawnpoint_LH_Base_USA_1stDE1 [map-58/002]</x:v>
      </x:c>
      <x:c r="M1144" s="35"/>
      <x:c r="N1144" s="35"/>
      <x:c r="O1144" s="35"/>
      <x:c r="P1144" s="35"/>
      <x:c r="Q1144" s="35"/>
      <x:c r="R1144" s="35"/>
      <x:c r="S1144" s="35"/>
      <x:c r="T1144" s="35"/>
      <x:c r="U1144" s="35"/>
      <x:c r="V1144" s="35"/>
      <x:c r="W1144" s="35"/>
      <x:c r="X1144" s="35"/>
      <x:c r="Y1144" s="35"/>
      <x:c r="Z1144" s="35"/>
      <x:c r="AA1144" s="35"/>
    </x:row>
    <x:row r="1145">
      <x:c r="A1145" s="136" t="str">
        <x:v>DrillCamp | Skirmish | Larsen Homestead</x:v>
      </x:c>
      <x:c r="B1145" s="136" t="str">
        <x:v>Spawn | USA Spawnpoint_LH_Defend_USA_1stDE1 [map-58/003]</x:v>
      </x:c>
      <x:c r="C1145" s="136" t="str">
        <x:v>spawn</x:v>
      </x:c>
      <x:c r="D1145" s="136" t="str">
        <x:v>USA</x:v>
      </x:c>
      <x:c r="E1145" s="136" t="str">
        <x:v>Spawnpoint_LH_Defend_USA_1stDE1</x:v>
      </x:c>
      <x:c r="F1145" s="137" t="n">
        <x:v>1364.6041259765625</x:v>
      </x:c>
      <x:c r="G1145" s="137" t="n">
        <x:v>1561.7279052734375</x:v>
      </x:c>
      <x:c r="H1145" s="137" t="n">
        <x:v>56.55255126953125</x:v>
      </x:c>
      <x:c r="I1145" s="137" t="n">
        <x:v>1121.3723092341309</x:v>
      </x:c>
      <x:c r="J1145" s="137" t="n">
        <x:v>1438.7324388075517</x:v>
      </x:c>
      <x:c r="K1145" s="136" t="str">
        <x:v>map-58</x:v>
      </x:c>
      <x:c r="L1145" s="136" t="str">
        <x:v>DrillCamp | Skirmish | Larsen Homestead||Spawn | USA Spawnpoint_LH_Defend_USA_1stDE1 [map-58/003]</x:v>
      </x:c>
      <x:c r="M1145" s="35"/>
      <x:c r="N1145" s="35"/>
      <x:c r="O1145" s="35"/>
      <x:c r="P1145" s="35"/>
      <x:c r="Q1145" s="35"/>
      <x:c r="R1145" s="35"/>
      <x:c r="S1145" s="35"/>
      <x:c r="T1145" s="35"/>
      <x:c r="U1145" s="35"/>
      <x:c r="V1145" s="35"/>
      <x:c r="W1145" s="35"/>
      <x:c r="X1145" s="35"/>
      <x:c r="Y1145" s="35"/>
      <x:c r="Z1145" s="35"/>
      <x:c r="AA1145" s="35"/>
    </x:row>
    <x:row r="1146">
      <x:c r="A1146" s="136" t="str">
        <x:v>DrillCamp | Skirmish | Larsen Homestead</x:v>
      </x:c>
      <x:c r="B1146" s="136" t="str">
        <x:v>Spawn | USA Spawnpoint_LH_Defend_USA_52ndNY2 [map-58/004]</x:v>
      </x:c>
      <x:c r="C1146" s="136" t="str">
        <x:v>spawn</x:v>
      </x:c>
      <x:c r="D1146" s="136" t="str">
        <x:v>USA</x:v>
      </x:c>
      <x:c r="E1146" s="136" t="str">
        <x:v>Spawnpoint_LH_Defend_USA_52ndNY2</x:v>
      </x:c>
      <x:c r="F1146" s="137" t="n">
        <x:v>1330.7110595703125</x:v>
      </x:c>
      <x:c r="G1146" s="137" t="n">
        <x:v>1563.194091796875</x:v>
      </x:c>
      <x:c r="H1146" s="137" t="n">
        <x:v>56.83591079711914</x:v>
      </x:c>
      <x:c r="I1146" s="137" t="n">
        <x:v>1060.830332242155</x:v>
      </x:c>
      <x:c r="J1146" s="137" t="n">
        <x:v>1436.3451354080687</x:v>
      </x:c>
      <x:c r="K1146" s="136" t="str">
        <x:v>map-58</x:v>
      </x:c>
      <x:c r="L1146" s="136" t="str">
        <x:v>DrillCamp | Skirmish | Larsen Homestead||Spawn | USA Spawnpoint_LH_Defend_USA_52ndNY2 [map-58/004]</x:v>
      </x:c>
      <x:c r="M1146" s="35"/>
      <x:c r="N1146" s="35"/>
      <x:c r="O1146" s="35"/>
      <x:c r="P1146" s="35"/>
      <x:c r="Q1146" s="35"/>
      <x:c r="R1146" s="35"/>
      <x:c r="S1146" s="35"/>
      <x:c r="T1146" s="35"/>
      <x:c r="U1146" s="35"/>
      <x:c r="V1146" s="35"/>
      <x:c r="W1146" s="35"/>
      <x:c r="X1146" s="35"/>
      <x:c r="Y1146" s="35"/>
      <x:c r="Z1146" s="35"/>
      <x:c r="AA1146" s="35"/>
    </x:row>
    <x:row r="1147">
      <x:c r="A1147" s="136" t="str">
        <x:v>DrillCamp | Skirmish | Larsen Homestead</x:v>
      </x:c>
      <x:c r="B1147" s="136" t="str">
        <x:v>Spawn | CSA Spawnpoint_LH_Base_CSA_13thAL2 [map-58/005]</x:v>
      </x:c>
      <x:c r="C1147" s="136" t="str">
        <x:v>spawn</x:v>
      </x:c>
      <x:c r="D1147" s="136" t="str">
        <x:v>CSA</x:v>
      </x:c>
      <x:c r="E1147" s="136" t="str">
        <x:v>Spawnpoint_LH_Base_CSA_13thAL2</x:v>
      </x:c>
      <x:c r="F1147" s="137" t="n">
        <x:v>1222.4129638671875</x:v>
      </x:c>
      <x:c r="G1147" s="137" t="n">
        <x:v>2083.6748046875</x:v>
      </x:c>
      <x:c r="H1147" s="137" t="n">
        <x:v>58.89104080200195</x:v>
      </x:c>
      <x:c r="I1147" s="137" t="n">
        <x:v>857.6102145856497</x:v>
      </x:c>
      <x:c r="J1147" s="137" t="n">
        <x:v>494.7638807363829</x:v>
      </x:c>
      <x:c r="K1147" s="136" t="str">
        <x:v>map-58</x:v>
      </x:c>
      <x:c r="L1147" s="136" t="str">
        <x:v>DrillCamp | Skirmish | Larsen Homestead||Spawn | CSA Spawnpoint_LH_Base_CSA_13thAL2 [map-58/005]</x:v>
      </x:c>
      <x:c r="M1147" s="35"/>
      <x:c r="N1147" s="35"/>
      <x:c r="O1147" s="35"/>
      <x:c r="P1147" s="35"/>
      <x:c r="Q1147" s="35"/>
      <x:c r="R1147" s="35"/>
      <x:c r="S1147" s="35"/>
      <x:c r="T1147" s="35"/>
      <x:c r="U1147" s="35"/>
      <x:c r="V1147" s="35"/>
      <x:c r="W1147" s="35"/>
      <x:c r="X1147" s="35"/>
      <x:c r="Y1147" s="35"/>
      <x:c r="Z1147" s="35"/>
      <x:c r="AA1147" s="35"/>
    </x:row>
    <x:row r="1148">
      <x:c r="A1148" s="136" t="str">
        <x:v>DrillCamp | Skirmish | Larsen Homestead</x:v>
      </x:c>
      <x:c r="B1148" s="136" t="str">
        <x:v>Spawn | CSA Spawnpoint_LH_Base_CSA_Jeff [map-58/006]</x:v>
      </x:c>
      <x:c r="C1148" s="136" t="str">
        <x:v>spawn</x:v>
      </x:c>
      <x:c r="D1148" s="136" t="str">
        <x:v>CSA</x:v>
      </x:c>
      <x:c r="E1148" s="136" t="str">
        <x:v>Spawnpoint_LH_Base_CSA_Jeff</x:v>
      </x:c>
      <x:c r="F1148" s="137" t="n">
        <x:v>1202.1290283203125</x:v>
      </x:c>
      <x:c r="G1148" s="137" t="n">
        <x:v>2080.727294921875</x:v>
      </x:c>
      <x:c r="H1148" s="137" t="n">
        <x:v>58.70000076293945</x:v>
      </x:c>
      <x:c r="I1148" s="137" t="n">
        <x:v>821.4502024380275</x:v>
      </x:c>
      <x:c r="J1148" s="137" t="n">
        <x:v>500.2610514166743</x:v>
      </x:c>
      <x:c r="K1148" s="136" t="str">
        <x:v>map-58</x:v>
      </x:c>
      <x:c r="L1148" s="136" t="str">
        <x:v>DrillCamp | Skirmish | Larsen Homestead||Spawn | CSA Spawnpoint_LH_Base_CSA_Jeff [map-58/006]</x:v>
      </x:c>
      <x:c r="M1148" s="35"/>
      <x:c r="N1148" s="35"/>
      <x:c r="O1148" s="35"/>
      <x:c r="P1148" s="35"/>
      <x:c r="Q1148" s="35"/>
      <x:c r="R1148" s="35"/>
      <x:c r="S1148" s="35"/>
      <x:c r="T1148" s="35"/>
      <x:c r="U1148" s="35"/>
      <x:c r="V1148" s="35"/>
      <x:c r="W1148" s="35"/>
      <x:c r="X1148" s="35"/>
      <x:c r="Y1148" s="35"/>
      <x:c r="Z1148" s="35"/>
      <x:c r="AA1148" s="35"/>
    </x:row>
    <x:row r="1149">
      <x:c r="A1149" s="136" t="str">
        <x:v>DrillCamp | Skirmish | Larsen Homestead</x:v>
      </x:c>
      <x:c r="B1149" s="136" t="str">
        <x:v>Spawn | CSA Spawnpoint_LH_Base_CSA_13thAL1 [map-58/007]</x:v>
      </x:c>
      <x:c r="C1149" s="136" t="str">
        <x:v>spawn</x:v>
      </x:c>
      <x:c r="D1149" s="136" t="str">
        <x:v>CSA</x:v>
      </x:c>
      <x:c r="E1149" s="136" t="str">
        <x:v>Spawnpoint_LH_Base_CSA_13thAL1</x:v>
      </x:c>
      <x:c r="F1149" s="137" t="n">
        <x:v>1225.1456298828125</x:v>
      </x:c>
      <x:c r="G1149" s="137" t="n">
        <x:v>2061.763671875</x:v>
      </x:c>
      <x:c r="H1149" s="137" t="n">
        <x:v>59.64170837402344</x:v>
      </x:c>
      <x:c r="I1149" s="137" t="n">
        <x:v>862.9043173351884</x:v>
      </x:c>
      <x:c r="J1149" s="137" t="n">
        <x:v>534.4168687723339</x:v>
      </x:c>
      <x:c r="K1149" s="136" t="str">
        <x:v>map-58</x:v>
      </x:c>
      <x:c r="L1149" s="136" t="str">
        <x:v>DrillCamp | Skirmish | Larsen Homestead||Spawn | CSA Spawnpoint_LH_Base_CSA_13thAL1 [map-58/007]</x:v>
      </x:c>
      <x:c r="M1149" s="35"/>
      <x:c r="N1149" s="35"/>
      <x:c r="O1149" s="35"/>
      <x:c r="P1149" s="35"/>
      <x:c r="Q1149" s="35"/>
      <x:c r="R1149" s="35"/>
      <x:c r="S1149" s="35"/>
      <x:c r="T1149" s="35"/>
      <x:c r="U1149" s="35"/>
      <x:c r="V1149" s="35"/>
      <x:c r="W1149" s="35"/>
      <x:c r="X1149" s="35"/>
      <x:c r="Y1149" s="35"/>
      <x:c r="Z1149" s="35"/>
      <x:c r="AA1149" s="35"/>
    </x:row>
    <x:row r="1150">
      <x:c r="A1150" s="136" t="str">
        <x:v>DrillCamp | Skirmish | Larsen Homestead</x:v>
      </x:c>
      <x:c r="B1150" s="136" t="str">
        <x:v>Spawn | USA Spawnpoint_LH_Base_USA_1stDE2 [map-58/008]</x:v>
      </x:c>
      <x:c r="C1150" s="136" t="str">
        <x:v>spawn</x:v>
      </x:c>
      <x:c r="D1150" s="136" t="str">
        <x:v>USA</x:v>
      </x:c>
      <x:c r="E1150" s="136" t="str">
        <x:v>Spawnpoint_LH_Base_USA_1stDE2</x:v>
      </x:c>
      <x:c r="F1150" s="137" t="n">
        <x:v>1360.5291748046875</x:v>
      </x:c>
      <x:c r="G1150" s="137" t="n">
        <x:v>1354.9171142578125</x:v>
      </x:c>
      <x:c r="H1150" s="137" t="n">
        <x:v>57.90206527709961</x:v>
      </x:c>
      <x:c r="I1150" s="137" t="n">
        <x:v>1118.0144726372332</x:v>
      </x:c>
      <x:c r="J1150" s="137" t="n">
        <x:v>1813.2375572775063</x:v>
      </x:c>
      <x:c r="K1150" s="136" t="str">
        <x:v>map-58</x:v>
      </x:c>
      <x:c r="L1150" s="136" t="str">
        <x:v>DrillCamp | Skirmish | Larsen Homestead||Spawn | USA Spawnpoint_LH_Base_USA_1stDE2 [map-58/008]</x:v>
      </x:c>
      <x:c r="M1150" s="35"/>
      <x:c r="N1150" s="35"/>
      <x:c r="O1150" s="35"/>
      <x:c r="P1150" s="35"/>
      <x:c r="Q1150" s="35"/>
      <x:c r="R1150" s="35"/>
      <x:c r="S1150" s="35"/>
      <x:c r="T1150" s="35"/>
      <x:c r="U1150" s="35"/>
      <x:c r="V1150" s="35"/>
      <x:c r="W1150" s="35"/>
      <x:c r="X1150" s="35"/>
      <x:c r="Y1150" s="35"/>
      <x:c r="Z1150" s="35"/>
      <x:c r="AA1150" s="35"/>
    </x:row>
    <x:row r="1151">
      <x:c r="A1151" s="136" t="str">
        <x:v>DrillCamp | Skirmish | Larsen Homestead</x:v>
      </x:c>
      <x:c r="B1151" s="136" t="str">
        <x:v>Spawn | CSA Spawnpoint_LH_Mounted_CSA_Jeff [map-58/009]</x:v>
      </x:c>
      <x:c r="C1151" s="136" t="str">
        <x:v>spawn</x:v>
      </x:c>
      <x:c r="D1151" s="136" t="str">
        <x:v>CSA</x:v>
      </x:c>
      <x:c r="E1151" s="136" t="str">
        <x:v>Spawnpoint_LH_Mounted_CSA_Jeff</x:v>
      </x:c>
      <x:c r="F1151" s="137" t="n">
        <x:v>1334.7952880859375</x:v>
      </x:c>
      <x:c r="G1151" s="137" t="n">
        <x:v>2246.410888671875</x:v>
      </x:c>
      <x:c r="H1151" s="137" t="n">
        <x:v>54.7005729675293</x:v>
      </x:c>
      <x:c r="I1151" s="137" t="n">
        <x:v>1055.1798347236904</x:v>
      </x:c>
      <x:c r="J1151" s="137" t="n">
        <x:v>199.21008069375603</x:v>
      </x:c>
      <x:c r="K1151" s="136" t="str">
        <x:v>map-58</x:v>
      </x:c>
      <x:c r="L1151" s="136" t="str">
        <x:v>DrillCamp | Skirmish | Larsen Homestead||Spawn | CSA Spawnpoint_LH_Mounted_CSA_Jeff [map-58/009]</x:v>
      </x:c>
      <x:c r="M1151" s="35"/>
      <x:c r="N1151" s="35"/>
      <x:c r="O1151" s="35"/>
      <x:c r="P1151" s="35"/>
      <x:c r="Q1151" s="35"/>
      <x:c r="R1151" s="35"/>
      <x:c r="S1151" s="35"/>
      <x:c r="T1151" s="35"/>
      <x:c r="U1151" s="35"/>
      <x:c r="V1151" s="35"/>
      <x:c r="W1151" s="35"/>
      <x:c r="X1151" s="35"/>
      <x:c r="Y1151" s="35"/>
      <x:c r="Z1151" s="35"/>
      <x:c r="AA1151" s="35"/>
    </x:row>
    <x:row r="1152">
      <x:c r="A1152" s="136" t="str">
        <x:v>DrillCamp | Skirmish | Larsen Homestead</x:v>
      </x:c>
      <x:c r="B1152" s="136" t="str">
        <x:v>Objective | Skirmish_5_VictorySequence [map-58/010]</x:v>
      </x:c>
      <x:c r="C1152" s="136" t="str">
        <x:v>objective</x:v>
      </x:c>
      <x:c r="D1152" s="136" t="str"/>
      <x:c r="E1152" s="136" t="str">
        <x:v>Skirmish_5_VictorySequence</x:v>
      </x:c>
      <x:c r="F1152" s="137" t="n">
        <x:v>1366.9879150390625</x:v>
      </x:c>
      <x:c r="G1152" s="137" t="n">
        <x:v>1528.2069091796875</x:v>
      </x:c>
      <x:c r="H1152" s="137" t="n">
        <x:v>56.45000076293945</x:v>
      </x:c>
      <x:c r="I1152" s="137" t="n">
        <x:v>1126.263445322554</x:v>
      </x:c>
      <x:c r="J1152" s="137" t="n">
        <x:v>1499.410196801358</x:v>
      </x:c>
      <x:c r="K1152" s="136" t="str">
        <x:v>map-58</x:v>
      </x:c>
      <x:c r="L1152" s="136" t="str">
        <x:v>DrillCamp | Skirmish | Larsen Homestead||Objective | Skirmish_5_VictorySequence [map-58/010]</x:v>
      </x:c>
      <x:c r="M1152" s="35"/>
      <x:c r="N1152" s="35"/>
      <x:c r="O1152" s="35"/>
      <x:c r="P1152" s="35"/>
      <x:c r="Q1152" s="35"/>
      <x:c r="R1152" s="35"/>
      <x:c r="S1152" s="35"/>
      <x:c r="T1152" s="35"/>
      <x:c r="U1152" s="35"/>
      <x:c r="V1152" s="35"/>
      <x:c r="W1152" s="35"/>
      <x:c r="X1152" s="35"/>
      <x:c r="Y1152" s="35"/>
      <x:c r="Z1152" s="35"/>
      <x:c r="AA1152" s="35"/>
    </x:row>
    <x:row r="1153">
      <x:c r="A1153" s="136" t="str">
        <x:v>DrillCamp | Skirmish | Larsen Homestead</x:v>
      </x:c>
      <x:c r="B1153" s="136" t="str">
        <x:v>Spawn | USA Spawnpoint_LH_Base_USA_52ndNY1 [map-58/011]</x:v>
      </x:c>
      <x:c r="C1153" s="136" t="str">
        <x:v>spawn</x:v>
      </x:c>
      <x:c r="D1153" s="136" t="str">
        <x:v>USA</x:v>
      </x:c>
      <x:c r="E1153" s="136" t="str">
        <x:v>Spawnpoint_LH_Base_USA_52ndNY1</x:v>
      </x:c>
      <x:c r="F1153" s="137" t="n">
        <x:v>1296.55615234375</x:v>
      </x:c>
      <x:c r="G1153" s="137" t="n">
        <x:v>1356.20068359375</x:v>
      </x:c>
      <x:c r="H1153" s="137" t="n">
        <x:v>58.4705696105957</x:v>
      </x:c>
      <x:c r="I1153" s="137" t="n">
        <x:v>1003.7698514810049</x:v>
      </x:c>
      <x:c r="J1153" s="137" t="n">
        <x:v>1811.4183468868955</x:v>
      </x:c>
      <x:c r="K1153" s="136" t="str">
        <x:v>map-58</x:v>
      </x:c>
      <x:c r="L1153" s="136" t="str">
        <x:v>DrillCamp | Skirmish | Larsen Homestead||Spawn | USA Spawnpoint_LH_Base_USA_52ndNY1 [map-58/011]</x:v>
      </x:c>
      <x:c r="M1153" s="35"/>
      <x:c r="N1153" s="35"/>
      <x:c r="O1153" s="35"/>
      <x:c r="P1153" s="35"/>
      <x:c r="Q1153" s="35"/>
      <x:c r="R1153" s="35"/>
      <x:c r="S1153" s="35"/>
      <x:c r="T1153" s="35"/>
      <x:c r="U1153" s="35"/>
      <x:c r="V1153" s="35"/>
      <x:c r="W1153" s="35"/>
      <x:c r="X1153" s="35"/>
      <x:c r="Y1153" s="35"/>
      <x:c r="Z1153" s="35"/>
      <x:c r="AA1153" s="35"/>
    </x:row>
    <x:row r="1154">
      <x:c r="A1154" s="136" t="str">
        <x:v>DrillCamp | Skirmish | Larsen Homestead</x:v>
      </x:c>
      <x:c r="B1154" s="136" t="str">
        <x:v>Spawn | CSA Spawnpoint_LH_Base_CSA_18thVA1 [map-58/012]</x:v>
      </x:c>
      <x:c r="C1154" s="136" t="str">
        <x:v>spawn</x:v>
      </x:c>
      <x:c r="D1154" s="136" t="str">
        <x:v>CSA</x:v>
      </x:c>
      <x:c r="E1154" s="136" t="str">
        <x:v>Spawnpoint_LH_Base_CSA_18thVA1</x:v>
      </x:c>
      <x:c r="F1154" s="137" t="n">
        <x:v>1215.997314453125</x:v>
      </x:c>
      <x:c r="G1154" s="137" t="n">
        <x:v>2060.243408203125</x:v>
      </x:c>
      <x:c r="H1154" s="137" t="n">
        <x:v>60.11832809448242</x:v>
      </x:c>
      <x:c r="I1154" s="137" t="n">
        <x:v>846.5993038028937</x:v>
      </x:c>
      <x:c r="J1154" s="137" t="n">
        <x:v>537.2418246148334</x:v>
      </x:c>
      <x:c r="K1154" s="136" t="str">
        <x:v>map-58</x:v>
      </x:c>
      <x:c r="L1154" s="136" t="str">
        <x:v>DrillCamp | Skirmish | Larsen Homestead||Spawn | CSA Spawnpoint_LH_Base_CSA_18thVA1 [map-58/012]</x:v>
      </x:c>
      <x:c r="M1154" s="35"/>
      <x:c r="N1154" s="35"/>
      <x:c r="O1154" s="35"/>
      <x:c r="P1154" s="35"/>
      <x:c r="Q1154" s="35"/>
      <x:c r="R1154" s="35"/>
      <x:c r="S1154" s="35"/>
      <x:c r="T1154" s="35"/>
      <x:c r="U1154" s="35"/>
      <x:c r="V1154" s="35"/>
      <x:c r="W1154" s="35"/>
      <x:c r="X1154" s="35"/>
      <x:c r="Y1154" s="35"/>
      <x:c r="Z1154" s="35"/>
      <x:c r="AA1154" s="35"/>
    </x:row>
    <x:row r="1155">
      <x:c r="A1155" s="136" t="str">
        <x:v>DrillCamp | Skirmish | Larsen Homestead</x:v>
      </x:c>
      <x:c r="B1155" s="136" t="str">
        <x:v>Spawn | USA Spawnpoint_LH_Defend_USA_6thPA [map-58/013]</x:v>
      </x:c>
      <x:c r="C1155" s="136" t="str">
        <x:v>spawn</x:v>
      </x:c>
      <x:c r="D1155" s="136" t="str">
        <x:v>USA</x:v>
      </x:c>
      <x:c r="E1155" s="136" t="str">
        <x:v>Spawnpoint_LH_Defend_USA_6thPA</x:v>
      </x:c>
      <x:c r="F1155" s="137" t="n">
        <x:v>1350.4542236328125</x:v>
      </x:c>
      <x:c r="G1155" s="137" t="n">
        <x:v>1536.4967041015625</x:v>
      </x:c>
      <x:c r="H1155" s="137" t="n">
        <x:v>56.372154235839844</x:v>
      </x:c>
      <x:c r="I1155" s="137" t="n">
        <x:v>1096.5864111181877</x:v>
      </x:c>
      <x:c r="J1155" s="137" t="n">
        <x:v>1484.5303428344666</x:v>
      </x:c>
      <x:c r="K1155" s="136" t="str">
        <x:v>map-58</x:v>
      </x:c>
      <x:c r="L1155" s="136" t="str">
        <x:v>DrillCamp | Skirmish | Larsen Homestead||Spawn | USA Spawnpoint_LH_Defend_USA_6thPA [map-58/013]</x:v>
      </x:c>
      <x:c r="M1155" s="35"/>
      <x:c r="N1155" s="35"/>
      <x:c r="O1155" s="35"/>
      <x:c r="P1155" s="35"/>
      <x:c r="Q1155" s="35"/>
      <x:c r="R1155" s="35"/>
      <x:c r="S1155" s="35"/>
      <x:c r="T1155" s="35"/>
      <x:c r="U1155" s="35"/>
      <x:c r="V1155" s="35"/>
      <x:c r="W1155" s="35"/>
      <x:c r="X1155" s="35"/>
      <x:c r="Y1155" s="35"/>
      <x:c r="Z1155" s="35"/>
      <x:c r="AA1155" s="35"/>
    </x:row>
    <x:row r="1156">
      <x:c r="A1156" s="136" t="str">
        <x:v>DrillCamp | Skirmish | Larsen Homestead</x:v>
      </x:c>
      <x:c r="B1156" s="136" t="str">
        <x:v>Spawn | USA Spawnpoint_LH_Base_USA_52ndNY2 [map-58/014]</x:v>
      </x:c>
      <x:c r="C1156" s="136" t="str">
        <x:v>spawn</x:v>
      </x:c>
      <x:c r="D1156" s="136" t="str">
        <x:v>USA</x:v>
      </x:c>
      <x:c r="E1156" s="136" t="str">
        <x:v>Spawnpoint_LH_Base_USA_52ndNY2</x:v>
      </x:c>
      <x:c r="F1156" s="137" t="n">
        <x:v>1314.594970703125</x:v>
      </x:c>
      <x:c r="G1156" s="137" t="n">
        <x:v>1356.183349609375</x:v>
      </x:c>
      <x:c r="H1156" s="137" t="n">
        <x:v>58.47269058227539</x:v>
      </x:c>
      <x:c r="I1156" s="137" t="n">
        <x:v>1035.9774957819336</x:v>
      </x:c>
      <x:c r="J1156" s="137" t="n">
        <x:v>1811.3073493581976</x:v>
      </x:c>
      <x:c r="K1156" s="136" t="str">
        <x:v>map-58</x:v>
      </x:c>
      <x:c r="L1156" s="136" t="str">
        <x:v>DrillCamp | Skirmish | Larsen Homestead||Spawn | USA Spawnpoint_LH_Base_USA_52ndNY2 [map-58/014]</x:v>
      </x:c>
      <x:c r="M1156" s="35"/>
      <x:c r="N1156" s="35"/>
      <x:c r="O1156" s="35"/>
      <x:c r="P1156" s="35"/>
      <x:c r="Q1156" s="35"/>
      <x:c r="R1156" s="35"/>
      <x:c r="S1156" s="35"/>
      <x:c r="T1156" s="35"/>
      <x:c r="U1156" s="35"/>
      <x:c r="V1156" s="35"/>
      <x:c r="W1156" s="35"/>
      <x:c r="X1156" s="35"/>
      <x:c r="Y1156" s="35"/>
      <x:c r="Z1156" s="35"/>
      <x:c r="AA1156" s="35"/>
    </x:row>
    <x:row r="1157">
      <x:c r="A1157" s="136" t="str">
        <x:v>DrillCamp | Skirmish | Larsen Homestead</x:v>
      </x:c>
      <x:c r="B1157" s="136" t="str">
        <x:v>Spawn | USA Spawnpoint_LH_Mounted_USA_6thPA [map-58/015]</x:v>
      </x:c>
      <x:c r="C1157" s="136" t="str">
        <x:v>spawn</x:v>
      </x:c>
      <x:c r="D1157" s="136" t="str">
        <x:v>USA</x:v>
      </x:c>
      <x:c r="E1157" s="136" t="str">
        <x:v>Spawnpoint_LH_Mounted_USA_6thPA</x:v>
      </x:c>
      <x:c r="F1157" s="137" t="n">
        <x:v>1108.390380859375</x:v>
      </x:c>
      <x:c r="G1157" s="137" t="n">
        <x:v>1340.650390625</x:v>
      </x:c>
      <x:c r="H1157" s="137" t="n">
        <x:v>61.48420715332031</x:v>
      </x:c>
      <x:c r="I1157" s="137" t="n">
        <x:v>668.1048179480517</x:v>
      </x:c>
      <x:c r="J1157" s="137" t="n">
        <x:v>1841.0605440404124</x:v>
      </x:c>
      <x:c r="K1157" s="136" t="str">
        <x:v>map-58</x:v>
      </x:c>
      <x:c r="L1157" s="136" t="str">
        <x:v>DrillCamp | Skirmish | Larsen Homestead||Spawn | USA Spawnpoint_LH_Mounted_USA_6thPA [map-58/015]</x:v>
      </x:c>
      <x:c r="M1157" s="35"/>
      <x:c r="N1157" s="35"/>
      <x:c r="O1157" s="35"/>
      <x:c r="P1157" s="35"/>
      <x:c r="Q1157" s="35"/>
      <x:c r="R1157" s="35"/>
      <x:c r="S1157" s="35"/>
      <x:c r="T1157" s="35"/>
      <x:c r="U1157" s="35"/>
      <x:c r="V1157" s="35"/>
      <x:c r="W1157" s="35"/>
      <x:c r="X1157" s="35"/>
      <x:c r="Y1157" s="35"/>
      <x:c r="Z1157" s="35"/>
      <x:c r="AA1157" s="35"/>
    </x:row>
    <x:row r="1158">
      <x:c r="A1158" s="136" t="str">
        <x:v>DrillCamp | Skirmish | Larsen Homestead</x:v>
      </x:c>
      <x:c r="B1158" s="136" t="str">
        <x:v>Spawn | USA Spawnpoint_LH_Base_USA_6thPA [map-58/016]</x:v>
      </x:c>
      <x:c r="C1158" s="136" t="str">
        <x:v>spawn</x:v>
      </x:c>
      <x:c r="D1158" s="136" t="str">
        <x:v>USA</x:v>
      </x:c>
      <x:c r="E1158" s="136" t="str">
        <x:v>Spawnpoint_LH_Base_USA_6thPA</x:v>
      </x:c>
      <x:c r="F1158" s="137" t="n">
        <x:v>1362.4798583984375</x:v>
      </x:c>
      <x:c r="G1158" s="137" t="n">
        <x:v>1331.9083251953125</x:v>
      </x:c>
      <x:c r="H1158" s="137" t="n">
        <x:v>58.00117492675781</x:v>
      </x:c>
      <x:c r="I1158" s="137" t="n">
        <x:v>1121.9331825573986</x:v>
      </x:c>
      <x:c r="J1158" s="137" t="n">
        <x:v>1854.8842473138307</x:v>
      </x:c>
      <x:c r="K1158" s="136" t="str">
        <x:v>map-58</x:v>
      </x:c>
      <x:c r="L1158" s="136" t="str">
        <x:v>DrillCamp | Skirmish | Larsen Homestead||Spawn | USA Spawnpoint_LH_Base_USA_6thPA [map-58/016]</x:v>
      </x:c>
      <x:c r="M1158" s="35"/>
      <x:c r="N1158" s="35"/>
      <x:c r="O1158" s="35"/>
      <x:c r="P1158" s="35"/>
      <x:c r="Q1158" s="35"/>
      <x:c r="R1158" s="35"/>
      <x:c r="S1158" s="35"/>
      <x:c r="T1158" s="35"/>
      <x:c r="U1158" s="35"/>
      <x:c r="V1158" s="35"/>
      <x:c r="W1158" s="35"/>
      <x:c r="X1158" s="35"/>
      <x:c r="Y1158" s="35"/>
      <x:c r="Z1158" s="35"/>
      <x:c r="AA1158" s="35"/>
    </x:row>
    <x:row r="1159">
      <x:c r="A1159" s="136" t="str">
        <x:v>DrillCamp | Skirmish | Larsen Homestead</x:v>
      </x:c>
      <x:c r="B1159" s="136" t="str">
        <x:v>Spawn | CSA Spawnpoint_LH_Base_CSA_18thVA2 [map-58/017]</x:v>
      </x:c>
      <x:c r="C1159" s="136" t="str">
        <x:v>spawn</x:v>
      </x:c>
      <x:c r="D1159" s="136" t="str">
        <x:v>CSA</x:v>
      </x:c>
      <x:c r="E1159" s="136" t="str">
        <x:v>Spawnpoint_LH_Base_CSA_18thVA2</x:v>
      </x:c>
      <x:c r="F1159" s="137" t="n">
        <x:v>1213.27978515625</x:v>
      </x:c>
      <x:c r="G1159" s="137" t="n">
        <x:v>2081.9921875</x:v>
      </x:c>
      <x:c r="H1159" s="137" t="n">
        <x:v>58.52226638793945</x:v>
      </x:c>
      <x:c r="I1159" s="137" t="n">
        <x:v>841.3353024086761</x:v>
      </x:c>
      <x:c r="J1159" s="137" t="n">
        <x:v>497.88269112626386</x:v>
      </x:c>
      <x:c r="K1159" s="136" t="str">
        <x:v>map-58</x:v>
      </x:c>
      <x:c r="L1159" s="136" t="str">
        <x:v>DrillCamp | Skirmish | Larsen Homestead||Spawn | CSA Spawnpoint_LH_Base_CSA_18thVA2 [map-58/017]</x:v>
      </x:c>
      <x:c r="M1159" s="35"/>
      <x:c r="N1159" s="35"/>
      <x:c r="O1159" s="35"/>
      <x:c r="P1159" s="35"/>
      <x:c r="Q1159" s="35"/>
      <x:c r="R1159" s="35"/>
      <x:c r="S1159" s="35"/>
      <x:c r="T1159" s="35"/>
      <x:c r="U1159" s="35"/>
      <x:c r="V1159" s="35"/>
      <x:c r="W1159" s="35"/>
      <x:c r="X1159" s="35"/>
      <x:c r="Y1159" s="35"/>
      <x:c r="Z1159" s="35"/>
      <x:c r="AA1159" s="35"/>
    </x:row>
    <x:row r="1160">
      <x:c r="A1160" s="136" t="str">
        <x:v>DrillCamp | Skirmish | Larsen Homestead</x:v>
      </x:c>
      <x:c r="B1160" s="136" t="str">
        <x:v>Spawn | USA Spawnpoint_LH_Defend_USA_52ndNY1 [map-58/018]</x:v>
      </x:c>
      <x:c r="C1160" s="136" t="str">
        <x:v>spawn</x:v>
      </x:c>
      <x:c r="D1160" s="136" t="str">
        <x:v>USA</x:v>
      </x:c>
      <x:c r="E1160" s="136" t="str">
        <x:v>Spawnpoint_LH_Defend_USA_52ndNY1</x:v>
      </x:c>
      <x:c r="F1160" s="137" t="n">
        <x:v>1332.093505859375</x:v>
      </x:c>
      <x:c r="G1160" s="137" t="n">
        <x:v>1538.4251708984375</x:v>
      </x:c>
      <x:c r="H1160" s="137" t="n">
        <x:v>57.08648681640625</x:v>
      </x:c>
      <x:c r="I1160" s="137" t="n">
        <x:v>1063.7678292055352</x:v>
      </x:c>
      <x:c r="J1160" s="137" t="n">
        <x:v>1481.1833869498282</x:v>
      </x:c>
      <x:c r="K1160" s="136" t="str">
        <x:v>map-58</x:v>
      </x:c>
      <x:c r="L1160" s="136" t="str">
        <x:v>DrillCamp | Skirmish | Larsen Homestead||Spawn | USA Spawnpoint_LH_Defend_USA_52ndNY1 [map-58/018]</x:v>
      </x:c>
      <x:c r="M1160" s="35"/>
      <x:c r="N1160" s="35"/>
      <x:c r="O1160" s="35"/>
      <x:c r="P1160" s="35"/>
      <x:c r="Q1160" s="35"/>
      <x:c r="R1160" s="35"/>
      <x:c r="S1160" s="35"/>
      <x:c r="T1160" s="35"/>
      <x:c r="U1160" s="35"/>
      <x:c r="V1160" s="35"/>
      <x:c r="W1160" s="35"/>
      <x:c r="X1160" s="35"/>
      <x:c r="Y1160" s="35"/>
      <x:c r="Z1160" s="35"/>
      <x:c r="AA1160" s="35"/>
    </x:row>
    <x:row r="1161">
      <x:c r="A1161" s="136" t="str">
        <x:v>DrillCamp | Skirmish | South Woodlot</x:v>
      </x:c>
      <x:c r="B1161" s="136" t="str">
        <x:v>Spawn | CSA Spawnpoint_SW_Base_CSA_2ndMS1 [map-59/001]</x:v>
      </x:c>
      <x:c r="C1161" s="136" t="str">
        <x:v>spawn</x:v>
      </x:c>
      <x:c r="D1161" s="136" t="str">
        <x:v>CSA</x:v>
      </x:c>
      <x:c r="E1161" s="136" t="str">
        <x:v>Spawnpoint_SW_Base_CSA_2ndMS1</x:v>
      </x:c>
      <x:c r="F1161" s="137" t="n">
        <x:v>1614.785888671875</x:v>
      </x:c>
      <x:c r="G1161" s="137" t="n">
        <x:v>1803.6788330078125</x:v>
      </x:c>
      <x:c r="H1161" s="137" t="n">
        <x:v>54.68474197387695</x:v>
      </x:c>
      <x:c r="I1161" s="137" t="n">
        <x:v>748.8614493991861</x:v>
      </x:c>
      <x:c r="J1161" s="137" t="n">
        <x:v>1772.0206794931187</x:v>
      </x:c>
      <x:c r="K1161" s="136" t="str">
        <x:v>map-59</x:v>
      </x:c>
      <x:c r="L1161" s="136" t="str">
        <x:v>DrillCamp | Skirmish | South Woodlot||Spawn | CSA Spawnpoint_SW_Base_CSA_2ndMS1 [map-59/001]</x:v>
      </x:c>
      <x:c r="M1161" s="35"/>
      <x:c r="N1161" s="35"/>
      <x:c r="O1161" s="35"/>
      <x:c r="P1161" s="35"/>
      <x:c r="Q1161" s="35"/>
      <x:c r="R1161" s="35"/>
      <x:c r="S1161" s="35"/>
      <x:c r="T1161" s="35"/>
      <x:c r="U1161" s="35"/>
      <x:c r="V1161" s="35"/>
      <x:c r="W1161" s="35"/>
      <x:c r="X1161" s="35"/>
      <x:c r="Y1161" s="35"/>
      <x:c r="Z1161" s="35"/>
      <x:c r="AA1161" s="35"/>
    </x:row>
    <x:row r="1162">
      <x:c r="A1162" s="136" t="str">
        <x:v>DrillCamp | Skirmish | South Woodlot</x:v>
      </x:c>
      <x:c r="B1162" s="136" t="str">
        <x:v>Objective | Skirmish_6_VictorySequence [map-59/002]</x:v>
      </x:c>
      <x:c r="C1162" s="136" t="str">
        <x:v>objective</x:v>
      </x:c>
      <x:c r="D1162" s="136" t="str"/>
      <x:c r="E1162" s="136" t="str">
        <x:v>Skirmish_6_VictorySequence</x:v>
      </x:c>
      <x:c r="F1162" s="137" t="n">
        <x:v>1717.8995361328125</x:v>
      </x:c>
      <x:c r="G1162" s="137" t="n">
        <x:v>2265.11083984375</x:v>
      </x:c>
      <x:c r="H1162" s="137" t="n">
        <x:v>49.70502471923828</x:v>
      </x:c>
      <x:c r="I1162" s="137" t="n">
        <x:v>937.9531149504174</x:v>
      </x:c>
      <x:c r="J1162" s="137" t="n">
        <x:v>939.7435284478308</x:v>
      </x:c>
      <x:c r="K1162" s="136" t="str">
        <x:v>map-59</x:v>
      </x:c>
      <x:c r="L1162" s="136" t="str">
        <x:v>DrillCamp | Skirmish | South Woodlot||Objective | Skirmish_6_VictorySequence [map-59/002]</x:v>
      </x:c>
      <x:c r="M1162" s="35"/>
      <x:c r="N1162" s="35"/>
      <x:c r="O1162" s="35"/>
      <x:c r="P1162" s="35"/>
      <x:c r="Q1162" s="35"/>
      <x:c r="R1162" s="35"/>
      <x:c r="S1162" s="35"/>
      <x:c r="T1162" s="35"/>
      <x:c r="U1162" s="35"/>
      <x:c r="V1162" s="35"/>
      <x:c r="W1162" s="35"/>
      <x:c r="X1162" s="35"/>
      <x:c r="Y1162" s="35"/>
      <x:c r="Z1162" s="35"/>
      <x:c r="AA1162" s="35"/>
    </x:row>
    <x:row r="1163">
      <x:c r="A1163" s="136" t="str">
        <x:v>DrillCamp | Skirmish | South Woodlot</x:v>
      </x:c>
      <x:c r="B1163" s="136" t="str">
        <x:v>Spawn | USA Spawnpoint_SW_Base_USA_20thNY2 [map-59/003]</x:v>
      </x:c>
      <x:c r="C1163" s="136" t="str">
        <x:v>spawn</x:v>
      </x:c>
      <x:c r="D1163" s="136" t="str">
        <x:v>USA</x:v>
      </x:c>
      <x:c r="E1163" s="136" t="str">
        <x:v>Spawnpoint_SW_Base_USA_20thNY2</x:v>
      </x:c>
      <x:c r="F1163" s="137" t="n">
        <x:v>1861.5965576171875</x:v>
      </x:c>
      <x:c r="G1163" s="137" t="n">
        <x:v>2574.07080078125</x:v>
      </x:c>
      <x:c r="H1163" s="137" t="n">
        <x:v>44.8270378112793</x:v>
      </x:c>
      <x:c r="I1163" s="137" t="n">
        <x:v>1199.8669051693678</x:v>
      </x:c>
      <x:c r="J1163" s="137" t="n">
        <x:v>382.7160637759686</x:v>
      </x:c>
      <x:c r="K1163" s="136" t="str">
        <x:v>map-59</x:v>
      </x:c>
      <x:c r="L1163" s="136" t="str">
        <x:v>DrillCamp | Skirmish | South Woodlot||Spawn | USA Spawnpoint_SW_Base_USA_20thNY2 [map-59/003]</x:v>
      </x:c>
      <x:c r="M1163" s="35"/>
      <x:c r="N1163" s="35"/>
      <x:c r="O1163" s="35"/>
      <x:c r="P1163" s="35"/>
      <x:c r="Q1163" s="35"/>
      <x:c r="R1163" s="35"/>
      <x:c r="S1163" s="35"/>
      <x:c r="T1163" s="35"/>
      <x:c r="U1163" s="35"/>
      <x:c r="V1163" s="35"/>
      <x:c r="W1163" s="35"/>
      <x:c r="X1163" s="35"/>
      <x:c r="Y1163" s="35"/>
      <x:c r="Z1163" s="35"/>
      <x:c r="AA1163" s="35"/>
    </x:row>
    <x:row r="1164">
      <x:c r="A1164" s="136" t="str">
        <x:v>DrillCamp | Skirmish | South Woodlot</x:v>
      </x:c>
      <x:c r="B1164" s="136" t="str">
        <x:v>Spawn | USA Spawnpoint_SW_Base_USA_20thNY1 [map-59/004]</x:v>
      </x:c>
      <x:c r="C1164" s="136" t="str">
        <x:v>spawn</x:v>
      </x:c>
      <x:c r="D1164" s="136" t="str">
        <x:v>USA</x:v>
      </x:c>
      <x:c r="E1164" s="136" t="str">
        <x:v>Spawnpoint_SW_Base_USA_20thNY1</x:v>
      </x:c>
      <x:c r="F1164" s="137" t="n">
        <x:v>1850.7933349609375</x:v>
      </x:c>
      <x:c r="G1164" s="137" t="n">
        <x:v>2554.987548828125</x:v>
      </x:c>
      <x:c r="H1164" s="137" t="n">
        <x:v>44.8373908996582</x:v>
      </x:c>
      <x:c r="I1164" s="137" t="n">
        <x:v>1180.195933654003</x:v>
      </x:c>
      <x:c r="J1164" s="137" t="n">
        <x:v>417.1153219781712</x:v>
      </x:c>
      <x:c r="K1164" s="136" t="str">
        <x:v>map-59</x:v>
      </x:c>
      <x:c r="L1164" s="136" t="str">
        <x:v>DrillCamp | Skirmish | South Woodlot||Spawn | USA Spawnpoint_SW_Base_USA_20thNY1 [map-59/004]</x:v>
      </x:c>
      <x:c r="M1164" s="35"/>
      <x:c r="N1164" s="35"/>
      <x:c r="O1164" s="35"/>
      <x:c r="P1164" s="35"/>
      <x:c r="Q1164" s="35"/>
      <x:c r="R1164" s="35"/>
      <x:c r="S1164" s="35"/>
      <x:c r="T1164" s="35"/>
      <x:c r="U1164" s="35"/>
      <x:c r="V1164" s="35"/>
      <x:c r="W1164" s="35"/>
      <x:c r="X1164" s="35"/>
      <x:c r="Y1164" s="35"/>
      <x:c r="Z1164" s="35"/>
      <x:c r="AA1164" s="35"/>
    </x:row>
    <x:row r="1165">
      <x:c r="A1165" s="136" t="str">
        <x:v>DrillCamp | Skirmish | South Woodlot</x:v>
      </x:c>
      <x:c r="B1165" s="136" t="str">
        <x:v>Spawn | USA Spawnpoint_SW_Base_USA_14thIN1 [map-59/005]</x:v>
      </x:c>
      <x:c r="C1165" s="136" t="str">
        <x:v>spawn</x:v>
      </x:c>
      <x:c r="D1165" s="136" t="str">
        <x:v>USA</x:v>
      </x:c>
      <x:c r="E1165" s="136" t="str">
        <x:v>Spawnpoint_SW_Base_USA_14thIN1</x:v>
      </x:c>
      <x:c r="F1165" s="137" t="n">
        <x:v>1864.05810546875</x:v>
      </x:c>
      <x:c r="G1165" s="137" t="n">
        <x:v>2548.2451171875</x:v>
      </x:c>
      <x:c r="H1165" s="137" t="n">
        <x:v>45.08008575439453</x:v>
      </x:c>
      <x:c r="I1165" s="137" t="n">
        <x:v>1204.204451232106</x:v>
      </x:c>
      <x:c r="J1165" s="137" t="n">
        <x:v>429.3237070040045</x:v>
      </x:c>
      <x:c r="K1165" s="136" t="str">
        <x:v>map-59</x:v>
      </x:c>
      <x:c r="L1165" s="136" t="str">
        <x:v>DrillCamp | Skirmish | South Woodlot||Spawn | USA Spawnpoint_SW_Base_USA_14thIN1 [map-59/005]</x:v>
      </x:c>
      <x:c r="M1165" s="35"/>
      <x:c r="N1165" s="35"/>
      <x:c r="O1165" s="35"/>
      <x:c r="P1165" s="35"/>
      <x:c r="Q1165" s="35"/>
      <x:c r="R1165" s="35"/>
      <x:c r="S1165" s="35"/>
      <x:c r="T1165" s="35"/>
      <x:c r="U1165" s="35"/>
      <x:c r="V1165" s="35"/>
      <x:c r="W1165" s="35"/>
      <x:c r="X1165" s="35"/>
      <x:c r="Y1165" s="35"/>
      <x:c r="Z1165" s="35"/>
      <x:c r="AA1165" s="35"/>
    </x:row>
    <x:row r="1166">
      <x:c r="A1166" s="136" t="str">
        <x:v>DrillCamp | Skirmish | South Woodlot</x:v>
      </x:c>
      <x:c r="B1166" s="136" t="str">
        <x:v>Spawn | USA Spawnpoint_SW_Defend_USA_20thNY1 [map-59/006]</x:v>
      </x:c>
      <x:c r="C1166" s="136" t="str">
        <x:v>spawn</x:v>
      </x:c>
      <x:c r="D1166" s="136" t="str">
        <x:v>USA</x:v>
      </x:c>
      <x:c r="E1166" s="136" t="str">
        <x:v>Spawnpoint_SW_Defend_USA_20thNY1</x:v>
      </x:c>
      <x:c r="F1166" s="137" t="n">
        <x:v>1685.638671875</x:v>
      </x:c>
      <x:c r="G1166" s="137" t="n">
        <x:v>2310.850341796875</x:v>
      </x:c>
      <x:c r="H1166" s="137" t="n">
        <x:v>50.28097152709961</x:v>
      </x:c>
      <x:c r="I1166" s="137" t="n">
        <x:v>879.7032527455821</x:v>
      </x:c>
      <x:c r="J1166" s="137" t="n">
        <x:v>857.108286489723</x:v>
      </x:c>
      <x:c r="K1166" s="136" t="str">
        <x:v>map-59</x:v>
      </x:c>
      <x:c r="L1166" s="136" t="str">
        <x:v>DrillCamp | Skirmish | South Woodlot||Spawn | USA Spawnpoint_SW_Defend_USA_20thNY1 [map-59/006]</x:v>
      </x:c>
      <x:c r="M1166" s="35"/>
      <x:c r="N1166" s="35"/>
      <x:c r="O1166" s="35"/>
      <x:c r="P1166" s="35"/>
      <x:c r="Q1166" s="35"/>
      <x:c r="R1166" s="35"/>
      <x:c r="S1166" s="35"/>
      <x:c r="T1166" s="35"/>
      <x:c r="U1166" s="35"/>
      <x:c r="V1166" s="35"/>
      <x:c r="W1166" s="35"/>
      <x:c r="X1166" s="35"/>
      <x:c r="Y1166" s="35"/>
      <x:c r="Z1166" s="35"/>
      <x:c r="AA1166" s="35"/>
    </x:row>
    <x:row r="1167">
      <x:c r="A1167" s="136" t="str">
        <x:v>DrillCamp | Skirmish | South Woodlot</x:v>
      </x:c>
      <x:c r="B1167" s="136" t="str">
        <x:v>Spawn | USA Spawnpoint_SW_Defend_USA_14thIN2 [map-59/007]</x:v>
      </x:c>
      <x:c r="C1167" s="136" t="str">
        <x:v>spawn</x:v>
      </x:c>
      <x:c r="D1167" s="136" t="str">
        <x:v>USA</x:v>
      </x:c>
      <x:c r="E1167" s="136" t="str">
        <x:v>Spawnpoint_SW_Defend_USA_14thIN2</x:v>
      </x:c>
      <x:c r="F1167" s="137" t="n">
        <x:v>1714.1192626953125</x:v>
      </x:c>
      <x:c r="G1167" s="137" t="n">
        <x:v>2282.60498046875</x:v>
      </x:c>
      <x:c r="H1167" s="137" t="n">
        <x:v>51.10147476196289</x:v>
      </x:c>
      <x:c r="I1167" s="137" t="n">
        <x:v>931.1856241043384</x:v>
      </x:c>
      <x:c r="J1167" s="137" t="n">
        <x:v>908.1650835503912</x:v>
      </x:c>
      <x:c r="K1167" s="136" t="str">
        <x:v>map-59</x:v>
      </x:c>
      <x:c r="L1167" s="136" t="str">
        <x:v>DrillCamp | Skirmish | South Woodlot||Spawn | USA Spawnpoint_SW_Defend_USA_14thIN2 [map-59/007]</x:v>
      </x:c>
      <x:c r="M1167" s="35"/>
      <x:c r="N1167" s="35"/>
      <x:c r="O1167" s="35"/>
      <x:c r="P1167" s="35"/>
      <x:c r="Q1167" s="35"/>
      <x:c r="R1167" s="35"/>
      <x:c r="S1167" s="35"/>
      <x:c r="T1167" s="35"/>
      <x:c r="U1167" s="35"/>
      <x:c r="V1167" s="35"/>
      <x:c r="W1167" s="35"/>
      <x:c r="X1167" s="35"/>
      <x:c r="Y1167" s="35"/>
      <x:c r="Z1167" s="35"/>
      <x:c r="AA1167" s="35"/>
    </x:row>
    <x:row r="1168">
      <x:c r="A1168" s="136" t="str">
        <x:v>DrillCamp | Skirmish | South Woodlot</x:v>
      </x:c>
      <x:c r="B1168" s="136" t="str">
        <x:v>Spawn | USA Spawnpoint_SW_Base_USA_14thIN2 [map-59/008]</x:v>
      </x:c>
      <x:c r="C1168" s="136" t="str">
        <x:v>spawn</x:v>
      </x:c>
      <x:c r="D1168" s="136" t="str">
        <x:v>USA</x:v>
      </x:c>
      <x:c r="E1168" s="136" t="str">
        <x:v>Spawnpoint_SW_Base_USA_14thIN2</x:v>
      </x:c>
      <x:c r="F1168" s="137" t="n">
        <x:v>1873.909423828125</x:v>
      </x:c>
      <x:c r="G1168" s="137" t="n">
        <x:v>2565.8310546875</x:v>
      </x:c>
      <x:c r="H1168" s="137" t="n">
        <x:v>44.84455871582031</x:v>
      </x:c>
      <x:c r="I1168" s="137" t="n">
        <x:v>1222.1430367903795</x:v>
      </x:c>
      <x:c r="J1168" s="137" t="n">
        <x:v>397.6231582542055</x:v>
      </x:c>
      <x:c r="K1168" s="136" t="str">
        <x:v>map-59</x:v>
      </x:c>
      <x:c r="L1168" s="136" t="str">
        <x:v>DrillCamp | Skirmish | South Woodlot||Spawn | USA Spawnpoint_SW_Base_USA_14thIN2 [map-59/008]</x:v>
      </x:c>
      <x:c r="M1168" s="35"/>
      <x:c r="N1168" s="35"/>
      <x:c r="O1168" s="35"/>
      <x:c r="P1168" s="35"/>
      <x:c r="Q1168" s="35"/>
      <x:c r="R1168" s="35"/>
      <x:c r="S1168" s="35"/>
      <x:c r="T1168" s="35"/>
      <x:c r="U1168" s="35"/>
      <x:c r="V1168" s="35"/>
      <x:c r="W1168" s="35"/>
      <x:c r="X1168" s="35"/>
      <x:c r="Y1168" s="35"/>
      <x:c r="Z1168" s="35"/>
      <x:c r="AA1168" s="35"/>
    </x:row>
    <x:row r="1169">
      <x:c r="A1169" s="136" t="str">
        <x:v>DrillCamp | Skirmish | South Woodlot</x:v>
      </x:c>
      <x:c r="B1169" s="136" t="str">
        <x:v>Spawn | CSA Spawnpoint_SW_Base_CSA_18thMS2 [map-59/009]</x:v>
      </x:c>
      <x:c r="C1169" s="136" t="str">
        <x:v>spawn</x:v>
      </x:c>
      <x:c r="D1169" s="136" t="str">
        <x:v>CSA</x:v>
      </x:c>
      <x:c r="E1169" s="136" t="str">
        <x:v>Spawnpoint_SW_Base_CSA_18thMS2</x:v>
      </x:c>
      <x:c r="F1169" s="137" t="n">
        <x:v>1631.32763671875</x:v>
      </x:c>
      <x:c r="G1169" s="137" t="n">
        <x:v>1826.3756103515625</x:v>
      </x:c>
      <x:c r="H1169" s="137" t="n">
        <x:v>54.66594696044922</x:v>
      </x:c>
      <x:c r="I1169" s="137" t="n">
        <x:v>778.9501251051735</x:v>
      </x:c>
      <x:c r="J1169" s="137" t="n">
        <x:v>1731.1195141552707</x:v>
      </x:c>
      <x:c r="K1169" s="136" t="str">
        <x:v>map-59</x:v>
      </x:c>
      <x:c r="L1169" s="136" t="str">
        <x:v>DrillCamp | Skirmish | South Woodlot||Spawn | CSA Spawnpoint_SW_Base_CSA_18thMS2 [map-59/009]</x:v>
      </x:c>
      <x:c r="M1169" s="35"/>
      <x:c r="N1169" s="35"/>
      <x:c r="O1169" s="35"/>
      <x:c r="P1169" s="35"/>
      <x:c r="Q1169" s="35"/>
      <x:c r="R1169" s="35"/>
      <x:c r="S1169" s="35"/>
      <x:c r="T1169" s="35"/>
      <x:c r="U1169" s="35"/>
      <x:c r="V1169" s="35"/>
      <x:c r="W1169" s="35"/>
      <x:c r="X1169" s="35"/>
      <x:c r="Y1169" s="35"/>
      <x:c r="Z1169" s="35"/>
      <x:c r="AA1169" s="35"/>
    </x:row>
    <x:row r="1170">
      <x:c r="A1170" s="136" t="str">
        <x:v>DrillCamp | Skirmish | South Woodlot</x:v>
      </x:c>
      <x:c r="B1170" s="136" t="str">
        <x:v>Spawn | CSA Spawnpoint_SW_Base_CSA_2ndMS2 [map-59/010]</x:v>
      </x:c>
      <x:c r="C1170" s="136" t="str">
        <x:v>spawn</x:v>
      </x:c>
      <x:c r="D1170" s="136" t="str">
        <x:v>CSA</x:v>
      </x:c>
      <x:c r="E1170" s="136" t="str">
        <x:v>Spawnpoint_SW_Base_CSA_2ndMS2</x:v>
      </x:c>
      <x:c r="F1170" s="137" t="n">
        <x:v>1600.68310546875</x:v>
      </x:c>
      <x:c r="G1170" s="137" t="n">
        <x:v>1784.2110595703125</x:v>
      </x:c>
      <x:c r="H1170" s="137" t="n">
        <x:v>53.73064041137695</x:v>
      </x:c>
      <x:c r="I1170" s="137" t="n">
        <x:v>723.2085753334712</x:v>
      </x:c>
      <x:c r="J1170" s="137" t="n">
        <x:v>1807.1032295020832</x:v>
      </x:c>
      <x:c r="K1170" s="136" t="str">
        <x:v>map-59</x:v>
      </x:c>
      <x:c r="L1170" s="136" t="str">
        <x:v>DrillCamp | Skirmish | South Woodlot||Spawn | CSA Spawnpoint_SW_Base_CSA_2ndMS2 [map-59/010]</x:v>
      </x:c>
      <x:c r="M1170" s="35"/>
      <x:c r="N1170" s="35"/>
      <x:c r="O1170" s="35"/>
      <x:c r="P1170" s="35"/>
      <x:c r="Q1170" s="35"/>
      <x:c r="R1170" s="35"/>
      <x:c r="S1170" s="35"/>
      <x:c r="T1170" s="35"/>
      <x:c r="U1170" s="35"/>
      <x:c r="V1170" s="35"/>
      <x:c r="W1170" s="35"/>
      <x:c r="X1170" s="35"/>
      <x:c r="Y1170" s="35"/>
      <x:c r="Z1170" s="35"/>
      <x:c r="AA1170" s="35"/>
    </x:row>
    <x:row r="1171">
      <x:c r="A1171" s="136" t="str">
        <x:v>DrillCamp | Skirmish | South Woodlot</x:v>
      </x:c>
      <x:c r="B1171" s="136" t="str">
        <x:v>Spawn | USA Spawnpoint_SW_Defend_USA_14thIN1 [map-59/011]</x:v>
      </x:c>
      <x:c r="C1171" s="136" t="str">
        <x:v>spawn</x:v>
      </x:c>
      <x:c r="D1171" s="136" t="str">
        <x:v>USA</x:v>
      </x:c>
      <x:c r="E1171" s="136" t="str">
        <x:v>Spawnpoint_SW_Defend_USA_14thIN1</x:v>
      </x:c>
      <x:c r="F1171" s="137" t="n">
        <x:v>1717.314208984375</x:v>
      </x:c>
      <x:c r="G1171" s="137" t="n">
        <x:v>2297.8955078125</x:v>
      </x:c>
      <x:c r="H1171" s="137" t="n">
        <x:v>52.25006103515625</x:v>
      </x:c>
      <x:c r="I1171" s="137" t="n">
        <x:v>937.0493320226033</x:v>
      </x:c>
      <x:c r="J1171" s="137" t="n">
        <x:v>880.5851077124644</x:v>
      </x:c>
      <x:c r="K1171" s="136" t="str">
        <x:v>map-59</x:v>
      </x:c>
      <x:c r="L1171" s="136" t="str">
        <x:v>DrillCamp | Skirmish | South Woodlot||Spawn | USA Spawnpoint_SW_Defend_USA_14thIN1 [map-59/011]</x:v>
      </x:c>
      <x:c r="M1171" s="35"/>
      <x:c r="N1171" s="35"/>
      <x:c r="O1171" s="35"/>
      <x:c r="P1171" s="35"/>
      <x:c r="Q1171" s="35"/>
      <x:c r="R1171" s="35"/>
      <x:c r="S1171" s="35"/>
      <x:c r="T1171" s="35"/>
      <x:c r="U1171" s="35"/>
      <x:c r="V1171" s="35"/>
      <x:c r="W1171" s="35"/>
      <x:c r="X1171" s="35"/>
      <x:c r="Y1171" s="35"/>
      <x:c r="Z1171" s="35"/>
      <x:c r="AA1171" s="35"/>
    </x:row>
    <x:row r="1172">
      <x:c r="A1172" s="136" t="str">
        <x:v>DrillCamp | Skirmish | South Woodlot</x:v>
      </x:c>
      <x:c r="B1172" s="136" t="str">
        <x:v>Spawn | USA Spawnpoint_SW_Defend_USA_20thNY2 [map-59/012]</x:v>
      </x:c>
      <x:c r="C1172" s="136" t="str">
        <x:v>spawn</x:v>
      </x:c>
      <x:c r="D1172" s="136" t="str">
        <x:v>USA</x:v>
      </x:c>
      <x:c r="E1172" s="136" t="str">
        <x:v>Spawnpoint_SW_Defend_USA_20thNY2</x:v>
      </x:c>
      <x:c r="F1172" s="137" t="n">
        <x:v>1692.4197998046875</x:v>
      </x:c>
      <x:c r="G1172" s="137" t="n">
        <x:v>2295.47802734375</x:v>
      </x:c>
      <x:c r="H1172" s="137" t="n">
        <x:v>52.215152740478516</x:v>
      </x:c>
      <x:c r="I1172" s="137" t="n">
        <x:v>891.9195994377708</x:v>
      </x:c>
      <x:c r="J1172" s="137" t="n">
        <x:v>884.867698530835</x:v>
      </x:c>
      <x:c r="K1172" s="136" t="str">
        <x:v>map-59</x:v>
      </x:c>
      <x:c r="L1172" s="136" t="str">
        <x:v>DrillCamp | Skirmish | South Woodlot||Spawn | USA Spawnpoint_SW_Defend_USA_20thNY2 [map-59/012]</x:v>
      </x:c>
      <x:c r="M1172" s="35"/>
      <x:c r="N1172" s="35"/>
      <x:c r="O1172" s="35"/>
      <x:c r="P1172" s="35"/>
      <x:c r="Q1172" s="35"/>
      <x:c r="R1172" s="35"/>
      <x:c r="S1172" s="35"/>
      <x:c r="T1172" s="35"/>
      <x:c r="U1172" s="35"/>
      <x:c r="V1172" s="35"/>
      <x:c r="W1172" s="35"/>
      <x:c r="X1172" s="35"/>
      <x:c r="Y1172" s="35"/>
      <x:c r="Z1172" s="35"/>
      <x:c r="AA1172" s="35"/>
    </x:row>
    <x:row r="1173">
      <x:c r="A1173" s="136" t="str">
        <x:v>DrillCamp | Skirmish | South Woodlot</x:v>
      </x:c>
      <x:c r="B1173" s="136" t="str">
        <x:v>Spawn | CSA Spawnpoint_SW_Base_CSA_18thMS1 [map-59/013]</x:v>
      </x:c>
      <x:c r="C1173" s="136" t="str">
        <x:v>spawn</x:v>
      </x:c>
      <x:c r="D1173" s="136" t="str">
        <x:v>CSA</x:v>
      </x:c>
      <x:c r="E1173" s="136" t="str">
        <x:v>Spawnpoint_SW_Base_CSA_18thMS1</x:v>
      </x:c>
      <x:c r="F1173" s="137" t="n">
        <x:v>1644.6641845703125</x:v>
      </x:c>
      <x:c r="G1173" s="137" t="n">
        <x:v>1843.8990478515625</x:v>
      </x:c>
      <x:c r="H1173" s="137" t="n">
        <x:v>54.688934326171875</x:v>
      </x:c>
      <x:c r="I1173" s="137" t="n">
        <x:v>803.2049746373309</x:v>
      </x:c>
      <x:c r="J1173" s="137" t="n">
        <x:v>1699.5428707106844</x:v>
      </x:c>
      <x:c r="K1173" s="136" t="str">
        <x:v>map-59</x:v>
      </x:c>
      <x:c r="L1173" s="136" t="str">
        <x:v>DrillCamp | Skirmish | South Woodlot||Spawn | CSA Spawnpoint_SW_Base_CSA_18thMS1 [map-59/013]</x:v>
      </x:c>
      <x:c r="M1173" s="35"/>
      <x:c r="N1173" s="35"/>
      <x:c r="O1173" s="35"/>
      <x:c r="P1173" s="35"/>
      <x:c r="Q1173" s="35"/>
      <x:c r="R1173" s="35"/>
      <x:c r="S1173" s="35"/>
      <x:c r="T1173" s="35"/>
      <x:c r="U1173" s="35"/>
      <x:c r="V1173" s="35"/>
      <x:c r="W1173" s="35"/>
      <x:c r="X1173" s="35"/>
      <x:c r="Y1173" s="35"/>
      <x:c r="Z1173" s="35"/>
      <x:c r="AA1173" s="35"/>
    </x:row>
    <x:row r="1174">
      <x:c r="A1174" s="136" t="str">
        <x:v>DrillCamp | Skirmish | Flemming's Meadow</x:v>
      </x:c>
      <x:c r="B1174" s="136" t="str">
        <x:v>Artillery | CSA Spawnpoint_FM_CSA_Arty_Courtney_Forward [map-60/001]</x:v>
      </x:c>
      <x:c r="C1174" s="136" t="str">
        <x:v>battery</x:v>
      </x:c>
      <x:c r="D1174" s="136" t="str">
        <x:v>CSA</x:v>
      </x:c>
      <x:c r="E1174" s="136" t="str">
        <x:v>Spawnpoint_FM_CSA_Arty_Courtney_Forward</x:v>
      </x:c>
      <x:c r="F1174" s="137" t="n">
        <x:v>1436.20263671875</x:v>
      </x:c>
      <x:c r="G1174" s="137" t="n">
        <x:v>2945.001708984375</x:v>
      </x:c>
      <x:c r="H1174" s="137" t="n">
        <x:v>57.8485221862793</x:v>
      </x:c>
      <x:c r="I1174" s="137" t="n">
        <x:v>1398.779735051828</x:v>
      </x:c>
      <x:c r="J1174" s="137" t="n">
        <x:v>896.8805438982065</x:v>
      </x:c>
      <x:c r="K1174" s="136" t="str">
        <x:v>map-60</x:v>
      </x:c>
      <x:c r="L1174" s="136" t="str">
        <x:v>DrillCamp | Skirmish | Flemming's Meadow||Artillery | CSA Spawnpoint_FM_CSA_Arty_Courtney_Forward [map-60/001]</x:v>
      </x:c>
      <x:c r="M1174" s="35"/>
      <x:c r="N1174" s="35"/>
      <x:c r="O1174" s="35"/>
      <x:c r="P1174" s="35"/>
      <x:c r="Q1174" s="35"/>
      <x:c r="R1174" s="35"/>
      <x:c r="S1174" s="35"/>
      <x:c r="T1174" s="35"/>
      <x:c r="U1174" s="35"/>
      <x:c r="V1174" s="35"/>
      <x:c r="W1174" s="35"/>
      <x:c r="X1174" s="35"/>
      <x:c r="Y1174" s="35"/>
      <x:c r="Z1174" s="35"/>
      <x:c r="AA1174" s="35"/>
    </x:row>
    <x:row r="1175">
      <x:c r="A1175" s="136" t="str">
        <x:v>DrillCamp | Skirmish | Flemming's Meadow</x:v>
      </x:c>
      <x:c r="B1175" s="136" t="str">
        <x:v>Artillery | USA Spawnpoint_FM_USA_Arty_Base [map-60/002]</x:v>
      </x:c>
      <x:c r="C1175" s="136" t="str">
        <x:v>battery</x:v>
      </x:c>
      <x:c r="D1175" s="136" t="str">
        <x:v>USA</x:v>
      </x:c>
      <x:c r="E1175" s="136" t="str">
        <x:v>Spawnpoint_FM_USA_Arty_Base</x:v>
      </x:c>
      <x:c r="F1175" s="137" t="n">
        <x:v>952.0142822265625</x:v>
      </x:c>
      <x:c r="G1175" s="137" t="n">
        <x:v>2750.7294921875</x:v>
      </x:c>
      <x:c r="H1175" s="137" t="n">
        <x:v>58.649200439453125</x:v>
      </x:c>
      <x:c r="I1175" s="137" t="n">
        <x:v>525.1077090142245</x:v>
      </x:c>
      <x:c r="J1175" s="137" t="n">
        <x:v>1244.966798027385</x:v>
      </x:c>
      <x:c r="K1175" s="136" t="str">
        <x:v>map-60</x:v>
      </x:c>
      <x:c r="L1175" s="136" t="str">
        <x:v>DrillCamp | Skirmish | Flemming's Meadow||Artillery | USA Spawnpoint_FM_USA_Arty_Base [map-60/002]</x:v>
      </x:c>
      <x:c r="M1175" s="35"/>
      <x:c r="N1175" s="35"/>
      <x:c r="O1175" s="35"/>
      <x:c r="P1175" s="35"/>
      <x:c r="Q1175" s="35"/>
      <x:c r="R1175" s="35"/>
      <x:c r="S1175" s="35"/>
      <x:c r="T1175" s="35"/>
      <x:c r="U1175" s="35"/>
      <x:c r="V1175" s="35"/>
      <x:c r="W1175" s="35"/>
      <x:c r="X1175" s="35"/>
      <x:c r="Y1175" s="35"/>
      <x:c r="Z1175" s="35"/>
      <x:c r="AA1175" s="35"/>
    </x:row>
    <x:row r="1176">
      <x:c r="A1176" s="136" t="str">
        <x:v>DrillCamp | Skirmish | Flemming's Meadow</x:v>
      </x:c>
      <x:c r="B1176" s="136" t="str">
        <x:v>Artillery | USA Spawnpoint_FM_USA_Arty_Edgell_Forward [map-60/003]</x:v>
      </x:c>
      <x:c r="C1176" s="136" t="str">
        <x:v>battery</x:v>
      </x:c>
      <x:c r="D1176" s="136" t="str">
        <x:v>USA</x:v>
      </x:c>
      <x:c r="E1176" s="136" t="str">
        <x:v>Spawnpoint_FM_USA_Arty_Edgell_Forward</x:v>
      </x:c>
      <x:c r="F1176" s="137" t="n">
        <x:v>1167.2066650390625</x:v>
      </x:c>
      <x:c r="G1176" s="137" t="n">
        <x:v>2752.242919921875</x:v>
      </x:c>
      <x:c r="H1176" s="137" t="n">
        <x:v>58.43003845214844</x:v>
      </x:c>
      <x:c r="I1176" s="137" t="n">
        <x:v>913.4019819668179</x:v>
      </x:c>
      <x:c r="J1176" s="137" t="n">
        <x:v>1242.9255749572637</x:v>
      </x:c>
      <x:c r="K1176" s="136" t="str">
        <x:v>map-60</x:v>
      </x:c>
      <x:c r="L1176" s="136" t="str">
        <x:v>DrillCamp | Skirmish | Flemming's Meadow||Artillery | USA Spawnpoint_FM_USA_Arty_Edgell_Forward [map-60/003]</x:v>
      </x:c>
      <x:c r="M1176" s="35"/>
      <x:c r="N1176" s="35"/>
      <x:c r="O1176" s="35"/>
      <x:c r="P1176" s="35"/>
      <x:c r="Q1176" s="35"/>
      <x:c r="R1176" s="35"/>
      <x:c r="S1176" s="35"/>
      <x:c r="T1176" s="35"/>
      <x:c r="U1176" s="35"/>
      <x:c r="V1176" s="35"/>
      <x:c r="W1176" s="35"/>
      <x:c r="X1176" s="35"/>
      <x:c r="Y1176" s="35"/>
      <x:c r="Z1176" s="35"/>
      <x:c r="AA1176" s="35"/>
    </x:row>
    <x:row r="1177">
      <x:c r="A1177" s="136" t="str">
        <x:v>DrillCamp | Skirmish | Flemming's Meadow</x:v>
      </x:c>
      <x:c r="B1177" s="136" t="str">
        <x:v>Spawn | CSA Spawnpoint_FM_Defend_CSA_30thVA2 [map-60/004]</x:v>
      </x:c>
      <x:c r="C1177" s="136" t="str">
        <x:v>spawn</x:v>
      </x:c>
      <x:c r="D1177" s="136" t="str">
        <x:v>CSA</x:v>
      </x:c>
      <x:c r="E1177" s="136" t="str">
        <x:v>Spawnpoint_FM_Defend_CSA_30thVA2</x:v>
      </x:c>
      <x:c r="F1177" s="137" t="n">
        <x:v>1441.0018310546875</x:v>
      </x:c>
      <x:c r="G1177" s="137" t="n">
        <x:v>2915.11767578125</x:v>
      </x:c>
      <x:c r="H1177" s="137" t="n">
        <x:v>58.566219329833984</x:v>
      </x:c>
      <x:c r="I1177" s="137" t="n">
        <x:v>1407.4394266778777</x:v>
      </x:c>
      <x:c r="J1177" s="137" t="n">
        <x:v>950.676518792294</x:v>
      </x:c>
      <x:c r="K1177" s="136" t="str">
        <x:v>map-60</x:v>
      </x:c>
      <x:c r="L1177" s="136" t="str">
        <x:v>DrillCamp | Skirmish | Flemming's Meadow||Spawn | CSA Spawnpoint_FM_Defend_CSA_30thVA2 [map-60/004]</x:v>
      </x:c>
      <x:c r="M1177" s="35"/>
      <x:c r="N1177" s="35"/>
      <x:c r="O1177" s="35"/>
      <x:c r="P1177" s="35"/>
      <x:c r="Q1177" s="35"/>
      <x:c r="R1177" s="35"/>
      <x:c r="S1177" s="35"/>
      <x:c r="T1177" s="35"/>
      <x:c r="U1177" s="35"/>
      <x:c r="V1177" s="35"/>
      <x:c r="W1177" s="35"/>
      <x:c r="X1177" s="35"/>
      <x:c r="Y1177" s="35"/>
      <x:c r="Z1177" s="35"/>
      <x:c r="AA1177" s="35"/>
    </x:row>
    <x:row r="1178">
      <x:c r="A1178" s="136" t="str">
        <x:v>DrillCamp | Skirmish | Flemming's Meadow</x:v>
      </x:c>
      <x:c r="B1178" s="136" t="str">
        <x:v>Spawn | USA Spawnpoint_FM_Base_USA_15thMA2 [map-60/005]</x:v>
      </x:c>
      <x:c r="C1178" s="136" t="str">
        <x:v>spawn</x:v>
      </x:c>
      <x:c r="D1178" s="136" t="str">
        <x:v>USA</x:v>
      </x:c>
      <x:c r="E1178" s="136" t="str">
        <x:v>Spawnpoint_FM_Base_USA_15thMA2</x:v>
      </x:c>
      <x:c r="F1178" s="137" t="n">
        <x:v>972.0033569335938</x:v>
      </x:c>
      <x:c r="G1178" s="137" t="n">
        <x:v>2732.649658203125</x:v>
      </x:c>
      <x:c r="H1178" s="137" t="n">
        <x:v>58.37001419067383</x:v>
      </x:c>
      <x:c r="I1178" s="137" t="n">
        <x:v>561.1761010684387</x:v>
      </x:c>
      <x:c r="J1178" s="137" t="n">
        <x:v>1277.5675333354322</x:v>
      </x:c>
      <x:c r="K1178" s="136" t="str">
        <x:v>map-60</x:v>
      </x:c>
      <x:c r="L1178" s="136" t="str">
        <x:v>DrillCamp | Skirmish | Flemming's Meadow||Spawn | USA Spawnpoint_FM_Base_USA_15thMA2 [map-60/005]</x:v>
      </x:c>
      <x:c r="M1178" s="35"/>
      <x:c r="N1178" s="35"/>
      <x:c r="O1178" s="35"/>
      <x:c r="P1178" s="35"/>
      <x:c r="Q1178" s="35"/>
      <x:c r="R1178" s="35"/>
      <x:c r="S1178" s="35"/>
      <x:c r="T1178" s="35"/>
      <x:c r="U1178" s="35"/>
      <x:c r="V1178" s="35"/>
      <x:c r="W1178" s="35"/>
      <x:c r="X1178" s="35"/>
      <x:c r="Y1178" s="35"/>
      <x:c r="Z1178" s="35"/>
      <x:c r="AA1178" s="35"/>
    </x:row>
    <x:row r="1179">
      <x:c r="A1179" s="136" t="str">
        <x:v>DrillCamp | Skirmish | Flemming's Meadow</x:v>
      </x:c>
      <x:c r="B1179" s="136" t="str">
        <x:v>Artillery | CSA Spawnpoint_FM_CSA_Arty_DAquin_Forward [map-60/006]</x:v>
      </x:c>
      <x:c r="C1179" s="136" t="str">
        <x:v>battery</x:v>
      </x:c>
      <x:c r="D1179" s="136" t="str">
        <x:v>CSA</x:v>
      </x:c>
      <x:c r="E1179" s="136" t="str">
        <x:v>Spawnpoint_FM_CSA_Arty_DAquin_Forward</x:v>
      </x:c>
      <x:c r="F1179" s="137" t="n">
        <x:v>1524.4268798828125</x:v>
      </x:c>
      <x:c r="G1179" s="137" t="n">
        <x:v>2802.243408203125</x:v>
      </x:c>
      <x:c r="H1179" s="137" t="n">
        <x:v>53.43600082397461</x:v>
      </x:c>
      <x:c r="I1179" s="137" t="n">
        <x:v>1557.9720257289148</x:v>
      </x:c>
      <x:c r="J1179" s="137" t="n">
        <x:v>1154.075082282836</x:v>
      </x:c>
      <x:c r="K1179" s="136" t="str">
        <x:v>map-60</x:v>
      </x:c>
      <x:c r="L1179" s="136" t="str">
        <x:v>DrillCamp | Skirmish | Flemming's Meadow||Artillery | CSA Spawnpoint_FM_CSA_Arty_DAquin_Forward [map-60/006]</x:v>
      </x:c>
      <x:c r="M1179" s="35"/>
      <x:c r="N1179" s="35"/>
      <x:c r="O1179" s="35"/>
      <x:c r="P1179" s="35"/>
      <x:c r="Q1179" s="35"/>
      <x:c r="R1179" s="35"/>
      <x:c r="S1179" s="35"/>
      <x:c r="T1179" s="35"/>
      <x:c r="U1179" s="35"/>
      <x:c r="V1179" s="35"/>
      <x:c r="W1179" s="35"/>
      <x:c r="X1179" s="35"/>
      <x:c r="Y1179" s="35"/>
      <x:c r="Z1179" s="35"/>
      <x:c r="AA1179" s="35"/>
    </x:row>
    <x:row r="1180">
      <x:c r="A1180" s="136" t="str">
        <x:v>DrillCamp | Skirmish | Flemming's Meadow</x:v>
      </x:c>
      <x:c r="B1180" s="136" t="str">
        <x:v>Spawn | USA Spawnpoint_FM_Base_USA_2ndWI2 [map-60/007]</x:v>
      </x:c>
      <x:c r="C1180" s="136" t="str">
        <x:v>spawn</x:v>
      </x:c>
      <x:c r="D1180" s="136" t="str">
        <x:v>USA</x:v>
      </x:c>
      <x:c r="E1180" s="136" t="str">
        <x:v>Spawnpoint_FM_Base_USA_2ndWI2</x:v>
      </x:c>
      <x:c r="F1180" s="137" t="n">
        <x:v>973.0510864257812</x:v>
      </x:c>
      <x:c r="G1180" s="137" t="n">
        <x:v>2723.423095703125</x:v>
      </x:c>
      <x:c r="H1180" s="137" t="n">
        <x:v>58.07926559448242</x:v>
      </x:c>
      <x:c r="I1180" s="137" t="n">
        <x:v>563.0666297019471</x:v>
      </x:c>
      <x:c r="J1180" s="137" t="n">
        <x:v>1294.1754253146394</x:v>
      </x:c>
      <x:c r="K1180" s="136" t="str">
        <x:v>map-60</x:v>
      </x:c>
      <x:c r="L1180" s="136" t="str">
        <x:v>DrillCamp | Skirmish | Flemming's Meadow||Spawn | USA Spawnpoint_FM_Base_USA_2ndWI2 [map-60/007]</x:v>
      </x:c>
      <x:c r="M1180" s="35"/>
      <x:c r="N1180" s="35"/>
      <x:c r="O1180" s="35"/>
      <x:c r="P1180" s="35"/>
      <x:c r="Q1180" s="35"/>
      <x:c r="R1180" s="35"/>
      <x:c r="S1180" s="35"/>
      <x:c r="T1180" s="35"/>
      <x:c r="U1180" s="35"/>
      <x:c r="V1180" s="35"/>
      <x:c r="W1180" s="35"/>
      <x:c r="X1180" s="35"/>
      <x:c r="Y1180" s="35"/>
      <x:c r="Z1180" s="35"/>
      <x:c r="AA1180" s="35"/>
    </x:row>
    <x:row r="1181">
      <x:c r="A1181" s="136" t="str">
        <x:v>DrillCamp | Skirmish | Flemming's Meadow</x:v>
      </x:c>
      <x:c r="B1181" s="136" t="str">
        <x:v>Spawn | CSA Spawnpoint_FM_Defend_CSA_Jeff [map-60/008]</x:v>
      </x:c>
      <x:c r="C1181" s="136" t="str">
        <x:v>spawn</x:v>
      </x:c>
      <x:c r="D1181" s="136" t="str">
        <x:v>CSA</x:v>
      </x:c>
      <x:c r="E1181" s="136" t="str">
        <x:v>Spawnpoint_FM_Defend_CSA_Jeff</x:v>
      </x:c>
      <x:c r="F1181" s="137" t="n">
        <x:v>1433.8773193359375</x:v>
      </x:c>
      <x:c r="G1181" s="137" t="n">
        <x:v>2902.25439453125</x:v>
      </x:c>
      <x:c r="H1181" s="137" t="n">
        <x:v>59.28672790527344</x:v>
      </x:c>
      <x:c r="I1181" s="137" t="n">
        <x:v>1394.5839200757473</x:v>
      </x:c>
      <x:c r="J1181" s="137" t="n">
        <x:v>973.8033105529632</x:v>
      </x:c>
      <x:c r="K1181" s="136" t="str">
        <x:v>map-60</x:v>
      </x:c>
      <x:c r="L1181" s="136" t="str">
        <x:v>DrillCamp | Skirmish | Flemming's Meadow||Spawn | CSA Spawnpoint_FM_Defend_CSA_Jeff [map-60/008]</x:v>
      </x:c>
      <x:c r="M1181" s="35"/>
      <x:c r="N1181" s="35"/>
      <x:c r="O1181" s="35"/>
      <x:c r="P1181" s="35"/>
      <x:c r="Q1181" s="35"/>
      <x:c r="R1181" s="35"/>
      <x:c r="S1181" s="35"/>
      <x:c r="T1181" s="35"/>
      <x:c r="U1181" s="35"/>
      <x:c r="V1181" s="35"/>
      <x:c r="W1181" s="35"/>
      <x:c r="X1181" s="35"/>
      <x:c r="Y1181" s="35"/>
      <x:c r="Z1181" s="35"/>
      <x:c r="AA1181" s="35"/>
    </x:row>
    <x:row r="1182">
      <x:c r="A1182" s="136" t="str">
        <x:v>DrillCamp | Skirmish | Flemming's Meadow</x:v>
      </x:c>
      <x:c r="B1182" s="136" t="str">
        <x:v>Spawn | USA Spawnpoint_FM_Base_USA_6thPA [map-60/009]</x:v>
      </x:c>
      <x:c r="C1182" s="136" t="str">
        <x:v>spawn</x:v>
      </x:c>
      <x:c r="D1182" s="136" t="str">
        <x:v>USA</x:v>
      </x:c>
      <x:c r="E1182" s="136" t="str">
        <x:v>Spawnpoint_FM_Base_USA_6thPA</x:v>
      </x:c>
      <x:c r="F1182" s="137" t="n">
        <x:v>966.2118530273438</x:v>
      </x:c>
      <x:c r="G1182" s="137" t="n">
        <x:v>2752.432373046875</x:v>
      </x:c>
      <x:c r="H1182" s="137" t="n">
        <x:v>58.984230041503906</x:v>
      </x:c>
      <x:c r="I1182" s="137" t="n">
        <x:v>550.7258808088355</x:v>
      </x:c>
      <x:c r="J1182" s="137" t="n">
        <x:v>1241.9472341559126</x:v>
      </x:c>
      <x:c r="K1182" s="136" t="str">
        <x:v>map-60</x:v>
      </x:c>
      <x:c r="L1182" s="136" t="str">
        <x:v>DrillCamp | Skirmish | Flemming's Meadow||Spawn | USA Spawnpoint_FM_Base_USA_6thPA [map-60/009]</x:v>
      </x:c>
      <x:c r="M1182" s="35"/>
      <x:c r="N1182" s="35"/>
      <x:c r="O1182" s="35"/>
      <x:c r="P1182" s="35"/>
      <x:c r="Q1182" s="35"/>
      <x:c r="R1182" s="35"/>
      <x:c r="S1182" s="35"/>
      <x:c r="T1182" s="35"/>
      <x:c r="U1182" s="35"/>
      <x:c r="V1182" s="35"/>
      <x:c r="W1182" s="35"/>
      <x:c r="X1182" s="35"/>
      <x:c r="Y1182" s="35"/>
      <x:c r="Z1182" s="35"/>
      <x:c r="AA1182" s="35"/>
    </x:row>
    <x:row r="1183">
      <x:c r="A1183" s="136" t="str">
        <x:v>DrillCamp | Skirmish | Flemming's Meadow</x:v>
      </x:c>
      <x:c r="B1183" s="136" t="str">
        <x:v>Spawn | CSA Spawnpoint_FM_Defend_CSA_4thAL2 [map-60/010]</x:v>
      </x:c>
      <x:c r="C1183" s="136" t="str">
        <x:v>spawn</x:v>
      </x:c>
      <x:c r="D1183" s="136" t="str">
        <x:v>CSA</x:v>
      </x:c>
      <x:c r="E1183" s="136" t="str">
        <x:v>Spawnpoint_FM_Defend_CSA_4thAL2</x:v>
      </x:c>
      <x:c r="F1183" s="137" t="n">
        <x:v>1426.8463134765625</x:v>
      </x:c>
      <x:c r="G1183" s="137" t="n">
        <x:v>2888.379638671875</x:v>
      </x:c>
      <x:c r="H1183" s="137" t="n">
        <x:v>59.3283576965332</x:v>
      </x:c>
      <x:c r="I1183" s="137" t="n">
        <x:v>1381.8971359405011</x:v>
      </x:c>
      <x:c r="J1183" s="137" t="n">
        <x:v>998.750697609437</x:v>
      </x:c>
      <x:c r="K1183" s="136" t="str">
        <x:v>map-60</x:v>
      </x:c>
      <x:c r="L1183" s="136" t="str">
        <x:v>DrillCamp | Skirmish | Flemming's Meadow||Spawn | CSA Spawnpoint_FM_Defend_CSA_4thAL2 [map-60/010]</x:v>
      </x:c>
      <x:c r="M1183" s="35"/>
      <x:c r="N1183" s="35"/>
      <x:c r="O1183" s="35"/>
      <x:c r="P1183" s="35"/>
      <x:c r="Q1183" s="35"/>
      <x:c r="R1183" s="35"/>
      <x:c r="S1183" s="35"/>
      <x:c r="T1183" s="35"/>
      <x:c r="U1183" s="35"/>
      <x:c r="V1183" s="35"/>
      <x:c r="W1183" s="35"/>
      <x:c r="X1183" s="35"/>
      <x:c r="Y1183" s="35"/>
      <x:c r="Z1183" s="35"/>
      <x:c r="AA1183" s="35"/>
    </x:row>
    <x:row r="1184">
      <x:c r="A1184" s="136" t="str">
        <x:v>DrillCamp | Skirmish | Flemming's Meadow</x:v>
      </x:c>
      <x:c r="B1184" s="136" t="str">
        <x:v>Spawn | CSA Spawnpoint_FM_Base_CSA_30thVA1 [map-60/011]</x:v>
      </x:c>
      <x:c r="C1184" s="136" t="str">
        <x:v>spawn</x:v>
      </x:c>
      <x:c r="D1184" s="136" t="str">
        <x:v>CSA</x:v>
      </x:c>
      <x:c r="E1184" s="136" t="str">
        <x:v>Spawnpoint_FM_Base_CSA_30thVA1</x:v>
      </x:c>
      <x:c r="F1184" s="137" t="n">
        <x:v>1676.686767578125</x:v>
      </x:c>
      <x:c r="G1184" s="137" t="n">
        <x:v>2890.281982421875</x:v>
      </x:c>
      <x:c r="H1184" s="137" t="n">
        <x:v>49.257965087890625</x:v>
      </x:c>
      <x:c r="I1184" s="137" t="n">
        <x:v>1832.7105718604867</x:v>
      </x:c>
      <x:c r="J1184" s="137" t="n">
        <x:v>996.1194378620843</x:v>
      </x:c>
      <x:c r="K1184" s="136" t="str">
        <x:v>map-60</x:v>
      </x:c>
      <x:c r="L1184" s="136" t="str">
        <x:v>DrillCamp | Skirmish | Flemming's Meadow||Spawn | CSA Spawnpoint_FM_Base_CSA_30thVA1 [map-60/011]</x:v>
      </x:c>
      <x:c r="M1184" s="35"/>
      <x:c r="N1184" s="35"/>
      <x:c r="O1184" s="35"/>
      <x:c r="P1184" s="35"/>
      <x:c r="Q1184" s="35"/>
      <x:c r="R1184" s="35"/>
      <x:c r="S1184" s="35"/>
      <x:c r="T1184" s="35"/>
      <x:c r="U1184" s="35"/>
      <x:c r="V1184" s="35"/>
      <x:c r="W1184" s="35"/>
      <x:c r="X1184" s="35"/>
      <x:c r="Y1184" s="35"/>
      <x:c r="Z1184" s="35"/>
      <x:c r="AA1184" s="35"/>
    </x:row>
    <x:row r="1185">
      <x:c r="A1185" s="136" t="str">
        <x:v>DrillCamp | Skirmish | Flemming's Meadow</x:v>
      </x:c>
      <x:c r="B1185" s="136" t="str">
        <x:v>Spawn | USA Spawnpoint_FM_Base_USA_15thMA1 [map-60/012]</x:v>
      </x:c>
      <x:c r="C1185" s="136" t="str">
        <x:v>spawn</x:v>
      </x:c>
      <x:c r="D1185" s="136" t="str">
        <x:v>USA</x:v>
      </x:c>
      <x:c r="E1185" s="136" t="str">
        <x:v>Spawnpoint_FM_Base_USA_15thMA1</x:v>
      </x:c>
      <x:c r="F1185" s="137" t="n">
        <x:v>990.3661499023438</x:v>
      </x:c>
      <x:c r="G1185" s="137" t="n">
        <x:v>2733.69921875</x:v>
      </x:c>
      <x:c r="H1185" s="137" t="n">
        <x:v>59.03401565551758</x:v>
      </x:c>
      <x:c r="I1185" s="137" t="n">
        <x:v>594.3100217583377</x:v>
      </x:c>
      <x:c r="J1185" s="137" t="n">
        <x:v>1275.736925080227</x:v>
      </x:c>
      <x:c r="K1185" s="136" t="str">
        <x:v>map-60</x:v>
      </x:c>
      <x:c r="L1185" s="136" t="str">
        <x:v>DrillCamp | Skirmish | Flemming's Meadow||Spawn | USA Spawnpoint_FM_Base_USA_15thMA1 [map-60/012]</x:v>
      </x:c>
      <x:c r="M1185" s="35"/>
      <x:c r="N1185" s="35"/>
      <x:c r="O1185" s="35"/>
      <x:c r="P1185" s="35"/>
      <x:c r="Q1185" s="35"/>
      <x:c r="R1185" s="35"/>
      <x:c r="S1185" s="35"/>
      <x:c r="T1185" s="35"/>
      <x:c r="U1185" s="35"/>
      <x:c r="V1185" s="35"/>
      <x:c r="W1185" s="35"/>
      <x:c r="X1185" s="35"/>
      <x:c r="Y1185" s="35"/>
      <x:c r="Z1185" s="35"/>
      <x:c r="AA1185" s="35"/>
    </x:row>
    <x:row r="1186">
      <x:c r="A1186" s="136" t="str">
        <x:v>DrillCamp | Skirmish | Flemming's Meadow</x:v>
      </x:c>
      <x:c r="B1186" s="136" t="str">
        <x:v>Artillery | CSA Spawnpoint_FM_CSA_Arty_Base [map-60/013]</x:v>
      </x:c>
      <x:c r="C1186" s="136" t="str">
        <x:v>battery</x:v>
      </x:c>
      <x:c r="D1186" s="136" t="str">
        <x:v>CSA</x:v>
      </x:c>
      <x:c r="E1186" s="136" t="str">
        <x:v>Spawnpoint_FM_CSA_Arty_Base</x:v>
      </x:c>
      <x:c r="F1186" s="137" t="n">
        <x:v>1690.8565673828125</x:v>
      </x:c>
      <x:c r="G1186" s="137" t="n">
        <x:v>2804.810302734375</x:v>
      </x:c>
      <x:c r="H1186" s="137" t="n">
        <x:v>51.198177337646484</x:v>
      </x:c>
      <x:c r="I1186" s="137" t="n">
        <x:v>1858.2786335229619</x:v>
      </x:c>
      <x:c r="J1186" s="137" t="n">
        <x:v>1149.9833537273742</x:v>
      </x:c>
      <x:c r="K1186" s="136" t="str">
        <x:v>map-60</x:v>
      </x:c>
      <x:c r="L1186" s="136" t="str">
        <x:v>DrillCamp | Skirmish | Flemming's Meadow||Artillery | CSA Spawnpoint_FM_CSA_Arty_Base [map-60/013]</x:v>
      </x:c>
      <x:c r="M1186" s="35"/>
      <x:c r="N1186" s="35"/>
      <x:c r="O1186" s="35"/>
      <x:c r="P1186" s="35"/>
      <x:c r="Q1186" s="35"/>
      <x:c r="R1186" s="35"/>
      <x:c r="S1186" s="35"/>
      <x:c r="T1186" s="35"/>
      <x:c r="U1186" s="35"/>
      <x:c r="V1186" s="35"/>
      <x:c r="W1186" s="35"/>
      <x:c r="X1186" s="35"/>
      <x:c r="Y1186" s="35"/>
      <x:c r="Z1186" s="35"/>
      <x:c r="AA1186" s="35"/>
    </x:row>
    <x:row r="1187">
      <x:c r="A1187" s="136" t="str">
        <x:v>DrillCamp | Skirmish | Flemming's Meadow</x:v>
      </x:c>
      <x:c r="B1187" s="136" t="str">
        <x:v>Spawn | USA Spawnpoint_FM_Base_USA_2ndWI1 [map-60/014]</x:v>
      </x:c>
      <x:c r="C1187" s="136" t="str">
        <x:v>spawn</x:v>
      </x:c>
      <x:c r="D1187" s="136" t="str">
        <x:v>USA</x:v>
      </x:c>
      <x:c r="E1187" s="136" t="str">
        <x:v>Spawnpoint_FM_Base_USA_2ndWI1</x:v>
      </x:c>
      <x:c r="F1187" s="137" t="n">
        <x:v>991.2887573242188</x:v>
      </x:c>
      <x:c r="G1187" s="137" t="n">
        <x:v>2724.46533203125</x:v>
      </x:c>
      <x:c r="H1187" s="137" t="n">
        <x:v>58.9459228515625</x:v>
      </x:c>
      <x:c r="I1187" s="137" t="n">
        <x:v>595.9747794668378</x:v>
      </x:c>
      <x:c r="J1187" s="137" t="n">
        <x:v>1292.3576012935237</x:v>
      </x:c>
      <x:c r="K1187" s="136" t="str">
        <x:v>map-60</x:v>
      </x:c>
      <x:c r="L1187" s="136" t="str">
        <x:v>DrillCamp | Skirmish | Flemming's Meadow||Spawn | USA Spawnpoint_FM_Base_USA_2ndWI1 [map-60/014]</x:v>
      </x:c>
      <x:c r="M1187" s="35"/>
      <x:c r="N1187" s="35"/>
      <x:c r="O1187" s="35"/>
      <x:c r="P1187" s="35"/>
      <x:c r="Q1187" s="35"/>
      <x:c r="R1187" s="35"/>
      <x:c r="S1187" s="35"/>
      <x:c r="T1187" s="35"/>
      <x:c r="U1187" s="35"/>
      <x:c r="V1187" s="35"/>
      <x:c r="W1187" s="35"/>
      <x:c r="X1187" s="35"/>
      <x:c r="Y1187" s="35"/>
      <x:c r="Z1187" s="35"/>
      <x:c r="AA1187" s="35"/>
    </x:row>
    <x:row r="1188">
      <x:c r="A1188" s="136" t="str">
        <x:v>DrillCamp | Skirmish | Flemming's Meadow</x:v>
      </x:c>
      <x:c r="B1188" s="136" t="str">
        <x:v>Spawn | CSA Spawnpoint_FM_Base_CSA_4thAL2 [map-60/015]</x:v>
      </x:c>
      <x:c r="C1188" s="136" t="str">
        <x:v>spawn</x:v>
      </x:c>
      <x:c r="D1188" s="136" t="str">
        <x:v>CSA</x:v>
      </x:c>
      <x:c r="E1188" s="136" t="str">
        <x:v>Spawnpoint_FM_Base_CSA_4thAL2</x:v>
      </x:c>
      <x:c r="F1188" s="137" t="n">
        <x:v>1672.505859375</x:v>
      </x:c>
      <x:c r="G1188" s="137" t="n">
        <x:v>2807.895751953125</x:v>
      </x:c>
      <x:c r="H1188" s="137" t="n">
        <x:v>51.72519302368164</x:v>
      </x:c>
      <x:c r="I1188" s="137" t="n">
        <x:v>1825.1665190004537</x:v>
      </x:c>
      <x:c r="J1188" s="137" t="n">
        <x:v>1144.372436151905</x:v>
      </x:c>
      <x:c r="K1188" s="136" t="str">
        <x:v>map-60</x:v>
      </x:c>
      <x:c r="L1188" s="136" t="str">
        <x:v>DrillCamp | Skirmish | Flemming's Meadow||Spawn | CSA Spawnpoint_FM_Base_CSA_4thAL2 [map-60/015]</x:v>
      </x:c>
      <x:c r="M1188" s="35"/>
      <x:c r="N1188" s="35"/>
      <x:c r="O1188" s="35"/>
      <x:c r="P1188" s="35"/>
      <x:c r="Q1188" s="35"/>
      <x:c r="R1188" s="35"/>
      <x:c r="S1188" s="35"/>
      <x:c r="T1188" s="35"/>
      <x:c r="U1188" s="35"/>
      <x:c r="V1188" s="35"/>
      <x:c r="W1188" s="35"/>
      <x:c r="X1188" s="35"/>
      <x:c r="Y1188" s="35"/>
      <x:c r="Z1188" s="35"/>
      <x:c r="AA1188" s="35"/>
    </x:row>
    <x:row r="1189">
      <x:c r="A1189" s="136" t="str">
        <x:v>DrillCamp | Skirmish | Flemming's Meadow</x:v>
      </x:c>
      <x:c r="B1189" s="136" t="str">
        <x:v>Artillery | USA Spawnpoint_FM_USA_Arty_Campbell_Forward [map-60/016]</x:v>
      </x:c>
      <x:c r="C1189" s="136" t="str">
        <x:v>battery</x:v>
      </x:c>
      <x:c r="D1189" s="136" t="str">
        <x:v>USA</x:v>
      </x:c>
      <x:c r="E1189" s="136" t="str">
        <x:v>Spawnpoint_FM_USA_Arty_Campbell_Forward</x:v>
      </x:c>
      <x:c r="F1189" s="137" t="n">
        <x:v>1174.5623779296875</x:v>
      </x:c>
      <x:c r="G1189" s="137" t="n">
        <x:v>2960.813232421875</x:v>
      </x:c>
      <x:c r="H1189" s="137" t="n">
        <x:v>65.36161041259766</x:v>
      </x:c>
      <x:c r="I1189" s="137" t="n">
        <x:v>926.6746691855001</x:v>
      </x:c>
      <x:c r="J1189" s="137" t="n">
        <x:v>867.5956496290636</x:v>
      </x:c>
      <x:c r="K1189" s="136" t="str">
        <x:v>map-60</x:v>
      </x:c>
      <x:c r="L1189" s="136" t="str">
        <x:v>DrillCamp | Skirmish | Flemming's Meadow||Artillery | USA Spawnpoint_FM_USA_Arty_Campbell_Forward [map-60/016]</x:v>
      </x:c>
      <x:c r="M1189" s="35"/>
      <x:c r="N1189" s="35"/>
      <x:c r="O1189" s="35"/>
      <x:c r="P1189" s="35"/>
      <x:c r="Q1189" s="35"/>
      <x:c r="R1189" s="35"/>
      <x:c r="S1189" s="35"/>
      <x:c r="T1189" s="35"/>
      <x:c r="U1189" s="35"/>
      <x:c r="V1189" s="35"/>
      <x:c r="W1189" s="35"/>
      <x:c r="X1189" s="35"/>
      <x:c r="Y1189" s="35"/>
      <x:c r="Z1189" s="35"/>
      <x:c r="AA1189" s="35"/>
    </x:row>
    <x:row r="1190">
      <x:c r="A1190" s="136" t="str">
        <x:v>DrillCamp | Skirmish | Flemming's Meadow</x:v>
      </x:c>
      <x:c r="B1190" s="136" t="str">
        <x:v>Spawn | CSA Spawnpoint_FM_Base_CSA_4thAL1 [map-60/017]</x:v>
      </x:c>
      <x:c r="C1190" s="136" t="str">
        <x:v>spawn</x:v>
      </x:c>
      <x:c r="D1190" s="136" t="str">
        <x:v>CSA</x:v>
      </x:c>
      <x:c r="E1190" s="136" t="str">
        <x:v>Spawnpoint_FM_Base_CSA_4thAL1</x:v>
      </x:c>
      <x:c r="F1190" s="137" t="n">
        <x:v>1686.310546875</x:v>
      </x:c>
      <x:c r="G1190" s="137" t="n">
        <x:v>2829.528076171875</x:v>
      </x:c>
      <x:c r="H1190" s="137" t="n">
        <x:v>51.30134201049805</x:v>
      </x:c>
      <x:c r="I1190" s="137" t="n">
        <x:v>1850.0757700905385</x:v>
      </x:c>
      <x:c r="J1190" s="137" t="n">
        <x:v>1105.4856333723383</x:v>
      </x:c>
      <x:c r="K1190" s="136" t="str">
        <x:v>map-60</x:v>
      </x:c>
      <x:c r="L1190" s="136" t="str">
        <x:v>DrillCamp | Skirmish | Flemming's Meadow||Spawn | CSA Spawnpoint_FM_Base_CSA_4thAL1 [map-60/017]</x:v>
      </x:c>
      <x:c r="M1190" s="35"/>
      <x:c r="N1190" s="35"/>
      <x:c r="O1190" s="35"/>
      <x:c r="P1190" s="35"/>
      <x:c r="Q1190" s="35"/>
      <x:c r="R1190" s="35"/>
      <x:c r="S1190" s="35"/>
      <x:c r="T1190" s="35"/>
      <x:c r="U1190" s="35"/>
      <x:c r="V1190" s="35"/>
      <x:c r="W1190" s="35"/>
      <x:c r="X1190" s="35"/>
      <x:c r="Y1190" s="35"/>
      <x:c r="Z1190" s="35"/>
      <x:c r="AA1190" s="35"/>
    </x:row>
    <x:row r="1191">
      <x:c r="A1191" s="136" t="str">
        <x:v>DrillCamp | Skirmish | Flemming's Meadow</x:v>
      </x:c>
      <x:c r="B1191" s="136" t="str">
        <x:v>Spawn | CSA Spawnpoint_FM_Defend_CSA_4thAL1 [map-60/018]</x:v>
      </x:c>
      <x:c r="C1191" s="136" t="str">
        <x:v>spawn</x:v>
      </x:c>
      <x:c r="D1191" s="136" t="str">
        <x:v>CSA</x:v>
      </x:c>
      <x:c r="E1191" s="136" t="str">
        <x:v>Spawnpoint_FM_Defend_CSA_4thAL1</x:v>
      </x:c>
      <x:c r="F1191" s="137" t="n">
        <x:v>1442.1221923828125</x:v>
      </x:c>
      <x:c r="G1191" s="137" t="n">
        <x:v>2889.248291015625</x:v>
      </x:c>
      <x:c r="H1191" s="137" t="n">
        <x:v>59.35050582885742</x:v>
      </x:c>
      <x:c r="I1191" s="137" t="n">
        <x:v>1409.4610125800493</x:v>
      </x:c>
      <x:c r="J1191" s="137" t="n">
        <x:v>997.2358713559242</x:v>
      </x:c>
      <x:c r="K1191" s="136" t="str">
        <x:v>map-60</x:v>
      </x:c>
      <x:c r="L1191" s="136" t="str">
        <x:v>DrillCamp | Skirmish | Flemming's Meadow||Spawn | CSA Spawnpoint_FM_Defend_CSA_4thAL1 [map-60/018]</x:v>
      </x:c>
      <x:c r="M1191" s="35"/>
      <x:c r="N1191" s="35"/>
      <x:c r="O1191" s="35"/>
      <x:c r="P1191" s="35"/>
      <x:c r="Q1191" s="35"/>
      <x:c r="R1191" s="35"/>
      <x:c r="S1191" s="35"/>
      <x:c r="T1191" s="35"/>
      <x:c r="U1191" s="35"/>
      <x:c r="V1191" s="35"/>
      <x:c r="W1191" s="35"/>
      <x:c r="X1191" s="35"/>
      <x:c r="Y1191" s="35"/>
      <x:c r="Z1191" s="35"/>
      <x:c r="AA1191" s="35"/>
    </x:row>
    <x:row r="1192">
      <x:c r="A1192" s="136" t="str">
        <x:v>DrillCamp | Skirmish | Flemming's Meadow</x:v>
      </x:c>
      <x:c r="B1192" s="136" t="str">
        <x:v>Spawn | CSA Spawnpoint_FM_Defend_CSA_30thVA1 [map-60/019]</x:v>
      </x:c>
      <x:c r="C1192" s="136" t="str">
        <x:v>spawn</x:v>
      </x:c>
      <x:c r="D1192" s="136" t="str">
        <x:v>CSA</x:v>
      </x:c>
      <x:c r="E1192" s="136" t="str">
        <x:v>Spawnpoint_FM_Defend_CSA_30thVA1</x:v>
      </x:c>
      <x:c r="F1192" s="137" t="n">
        <x:v>1425.61376953125</x:v>
      </x:c>
      <x:c r="G1192" s="137" t="n">
        <x:v>2915.758544921875</x:v>
      </x:c>
      <x:c r="H1192" s="137" t="n">
        <x:v>59.4030876159668</x:v>
      </x:c>
      <x:c r="I1192" s="137" t="n">
        <x:v>1379.6731271309318</x:v>
      </x:c>
      <x:c r="J1192" s="137" t="n">
        <x:v>949.4743812071516</x:v>
      </x:c>
      <x:c r="K1192" s="136" t="str">
        <x:v>map-60</x:v>
      </x:c>
      <x:c r="L1192" s="136" t="str">
        <x:v>DrillCamp | Skirmish | Flemming's Meadow||Spawn | CSA Spawnpoint_FM_Defend_CSA_30thVA1 [map-60/019]</x:v>
      </x:c>
      <x:c r="M1192" s="35"/>
      <x:c r="N1192" s="35"/>
      <x:c r="O1192" s="35"/>
      <x:c r="P1192" s="35"/>
      <x:c r="Q1192" s="35"/>
      <x:c r="R1192" s="35"/>
      <x:c r="S1192" s="35"/>
      <x:c r="T1192" s="35"/>
      <x:c r="U1192" s="35"/>
      <x:c r="V1192" s="35"/>
      <x:c r="W1192" s="35"/>
      <x:c r="X1192" s="35"/>
      <x:c r="Y1192" s="35"/>
      <x:c r="Z1192" s="35"/>
      <x:c r="AA1192" s="35"/>
    </x:row>
    <x:row r="1193">
      <x:c r="A1193" s="136" t="str">
        <x:v>DrillCamp | Skirmish | Flemming's Meadow</x:v>
      </x:c>
      <x:c r="B1193" s="136" t="str">
        <x:v>Objective | Skirmish_7_VictorySequence [map-60/020]</x:v>
      </x:c>
      <x:c r="C1193" s="136" t="str">
        <x:v>objective</x:v>
      </x:c>
      <x:c r="D1193" s="136" t="str"/>
      <x:c r="E1193" s="136" t="str">
        <x:v>Skirmish_7_VictorySequence</x:v>
      </x:c>
      <x:c r="F1193" s="137" t="n">
        <x:v>1430.5380859375</x:v>
      </x:c>
      <x:c r="G1193" s="137" t="n">
        <x:v>2903.15234375</x:v>
      </x:c>
      <x:c r="H1193" s="137" t="n">
        <x:v>59.29999923706055</x:v>
      </x:c>
      <x:c r="I1193" s="137" t="n">
        <x:v>1388.5585896819896</x:v>
      </x:c>
      <x:c r="J1193" s="137" t="n">
        <x:v>972.1767282539446</x:v>
      </x:c>
      <x:c r="K1193" s="136" t="str">
        <x:v>map-60</x:v>
      </x:c>
      <x:c r="L1193" s="136" t="str">
        <x:v>DrillCamp | Skirmish | Flemming's Meadow||Objective | Skirmish_7_VictorySequence [map-60/020]</x:v>
      </x:c>
      <x:c r="M1193" s="35"/>
      <x:c r="N1193" s="35"/>
      <x:c r="O1193" s="35"/>
      <x:c r="P1193" s="35"/>
      <x:c r="Q1193" s="35"/>
      <x:c r="R1193" s="35"/>
      <x:c r="S1193" s="35"/>
      <x:c r="T1193" s="35"/>
      <x:c r="U1193" s="35"/>
      <x:c r="V1193" s="35"/>
      <x:c r="W1193" s="35"/>
      <x:c r="X1193" s="35"/>
      <x:c r="Y1193" s="35"/>
      <x:c r="Z1193" s="35"/>
      <x:c r="AA1193" s="35"/>
    </x:row>
    <x:row r="1194">
      <x:c r="A1194" s="136" t="str">
        <x:v>DrillCamp | Skirmish | Flemming's Meadow</x:v>
      </x:c>
      <x:c r="B1194" s="136" t="str">
        <x:v>Spawn | CSA Spawnpoint_FM_Base_CSA_30thVA2 [map-60/021]</x:v>
      </x:c>
      <x:c r="C1194" s="136" t="str">
        <x:v>spawn</x:v>
      </x:c>
      <x:c r="D1194" s="136" t="str">
        <x:v>CSA</x:v>
      </x:c>
      <x:c r="E1194" s="136" t="str">
        <x:v>Spawnpoint_FM_Base_CSA_30thVA2</x:v>
      </x:c>
      <x:c r="F1194" s="137" t="n">
        <x:v>1686.4407958984375</x:v>
      </x:c>
      <x:c r="G1194" s="137" t="n">
        <x:v>2907.066650390625</x:v>
      </x:c>
      <x:c r="H1194" s="137" t="n">
        <x:v>48.04255676269531</x:v>
      </x:c>
      <x:c r="I1194" s="137" t="n">
        <x:v>1850.3107921168641</x:v>
      </x:c>
      <x:c r="J1194" s="137" t="n">
        <x:v>965.9438670286837</x:v>
      </x:c>
      <x:c r="K1194" s="136" t="str">
        <x:v>map-60</x:v>
      </x:c>
      <x:c r="L1194" s="136" t="str">
        <x:v>DrillCamp | Skirmish | Flemming's Meadow||Spawn | CSA Spawnpoint_FM_Base_CSA_30thVA2 [map-60/021]</x:v>
      </x:c>
      <x:c r="M1194" s="35"/>
      <x:c r="N1194" s="35"/>
      <x:c r="O1194" s="35"/>
      <x:c r="P1194" s="35"/>
      <x:c r="Q1194" s="35"/>
      <x:c r="R1194" s="35"/>
      <x:c r="S1194" s="35"/>
      <x:c r="T1194" s="35"/>
      <x:c r="U1194" s="35"/>
      <x:c r="V1194" s="35"/>
      <x:c r="W1194" s="35"/>
      <x:c r="X1194" s="35"/>
      <x:c r="Y1194" s="35"/>
      <x:c r="Z1194" s="35"/>
      <x:c r="AA1194" s="35"/>
    </x:row>
    <x:row r="1195">
      <x:c r="A1195" s="136" t="str">
        <x:v>DrillCamp | Skirmish | Flemming's Meadow</x:v>
      </x:c>
      <x:c r="B1195" s="136" t="str">
        <x:v>Spawn | CSA Spawnpoint_FM_Base_CSA_Jeff [map-60/022]</x:v>
      </x:c>
      <x:c r="C1195" s="136" t="str">
        <x:v>spawn</x:v>
      </x:c>
      <x:c r="D1195" s="136" t="str">
        <x:v>CSA</x:v>
      </x:c>
      <x:c r="E1195" s="136" t="str">
        <x:v>Spawnpoint_FM_Base_CSA_Jeff</x:v>
      </x:c>
      <x:c r="F1195" s="137" t="n">
        <x:v>1695.548583984375</x:v>
      </x:c>
      <x:c r="G1195" s="137" t="n">
        <x:v>2853.501220703125</x:v>
      </x:c>
      <x:c r="H1195" s="137" t="n">
        <x:v>50.046138763427734</x:v>
      </x:c>
      <x:c r="I1195" s="137" t="n">
        <x:v>1866.744933078614</x:v>
      </x:c>
      <x:c r="J1195" s="137" t="n">
        <x:v>1062.371695116414</x:v>
      </x:c>
      <x:c r="K1195" s="136" t="str">
        <x:v>map-60</x:v>
      </x:c>
      <x:c r="L1195" s="136" t="str">
        <x:v>DrillCamp | Skirmish | Flemming's Meadow||Spawn | CSA Spawnpoint_FM_Base_CSA_Jeff [map-60/022]</x:v>
      </x:c>
      <x:c r="M1195" s="35"/>
      <x:c r="N1195" s="35"/>
      <x:c r="O1195" s="35"/>
      <x:c r="P1195" s="35"/>
      <x:c r="Q1195" s="35"/>
      <x:c r="R1195" s="35"/>
      <x:c r="S1195" s="35"/>
      <x:c r="T1195" s="35"/>
      <x:c r="U1195" s="35"/>
      <x:c r="V1195" s="35"/>
      <x:c r="W1195" s="35"/>
      <x:c r="X1195" s="35"/>
      <x:c r="Y1195" s="35"/>
      <x:c r="Z1195" s="35"/>
      <x:c r="AA1195" s="35"/>
    </x:row>
    <x:row r="1196">
      <x:c r="A1196" s="136" t="str">
        <x:v>DrillCamp | Skirmish | Flemming's Meadow</x:v>
      </x:c>
      <x:c r="B1196" s="136" t="str">
        <x:v>Gun | 12-pounder Napoleon (USA) · Entity-1350 [map-60/023]</x:v>
      </x:c>
      <x:c r="C1196" s="136" t="str">
        <x:v>gun_spawn</x:v>
      </x:c>
      <x:c r="D1196" s="136" t="str"/>
      <x:c r="E1196" s="136" t="str">
        <x:v>12-pounder Napoleon (USA) · Entity-1350</x:v>
      </x:c>
      <x:c r="F1196" s="137" t="n">
        <x:v>1193.982666015625</x:v>
      </x:c>
      <x:c r="G1196" s="137" t="n">
        <x:v>2738.107177734375</x:v>
      </x:c>
      <x:c r="H1196" s="137" t="n">
        <x:v>57.652305603027344</x:v>
      </x:c>
      <x:c r="I1196" s="137" t="n">
        <x:v>961.7167396542742</x:v>
      </x:c>
      <x:c r="J1196" s="137" t="n">
        <x:v>1268.4498539485094</x:v>
      </x:c>
      <x:c r="K1196" s="136" t="str">
        <x:v>map-60</x:v>
      </x:c>
      <x:c r="L1196" s="136" t="str">
        <x:v>DrillCamp | Skirmish | Flemming's Meadow||Gun | 12-pounder Napoleon (USA) · Entity-1350 [map-60/023]</x:v>
      </x:c>
      <x:c r="M1196" s="35"/>
      <x:c r="N1196" s="35"/>
      <x:c r="O1196" s="35"/>
      <x:c r="P1196" s="35"/>
      <x:c r="Q1196" s="35"/>
      <x:c r="R1196" s="35"/>
      <x:c r="S1196" s="35"/>
      <x:c r="T1196" s="35"/>
      <x:c r="U1196" s="35"/>
      <x:c r="V1196" s="35"/>
      <x:c r="W1196" s="35"/>
      <x:c r="X1196" s="35"/>
      <x:c r="Y1196" s="35"/>
      <x:c r="Z1196" s="35"/>
      <x:c r="AA1196" s="35"/>
    </x:row>
    <x:row r="1197">
      <x:c r="A1197" s="136" t="str">
        <x:v>DrillCamp | Skirmish | Flemming's Meadow</x:v>
      </x:c>
      <x:c r="B1197" s="136" t="str">
        <x:v>Gun | 3-inch Ordnance · Entity-1358 [map-60/024]</x:v>
      </x:c>
      <x:c r="C1197" s="136" t="str">
        <x:v>gun_spawn</x:v>
      </x:c>
      <x:c r="D1197" s="136" t="str"/>
      <x:c r="E1197" s="136" t="str">
        <x:v>3-inch Ordnance · Entity-1358</x:v>
      </x:c>
      <x:c r="F1197" s="137" t="n">
        <x:v>1212.4256591796875</x:v>
      </x:c>
      <x:c r="G1197" s="137" t="n">
        <x:v>2966.04541015625</x:v>
      </x:c>
      <x:c r="H1197" s="137" t="n">
        <x:v>65.236083984375</x:v>
      </x:c>
      <x:c r="I1197" s="137" t="n">
        <x:v>994.9953740004955</x:v>
      </x:c>
      <x:c r="J1197" s="137" t="n">
        <x:v>858.2996402530974</x:v>
      </x:c>
      <x:c r="K1197" s="136" t="str">
        <x:v>map-60</x:v>
      </x:c>
      <x:c r="L1197" s="136" t="str">
        <x:v>DrillCamp | Skirmish | Flemming's Meadow||Gun | 3-inch Ordnance · Entity-1358 [map-60/024]</x:v>
      </x:c>
      <x:c r="M1197" s="35"/>
      <x:c r="N1197" s="35"/>
      <x:c r="O1197" s="35"/>
      <x:c r="P1197" s="35"/>
      <x:c r="Q1197" s="35"/>
      <x:c r="R1197" s="35"/>
      <x:c r="S1197" s="35"/>
      <x:c r="T1197" s="35"/>
      <x:c r="U1197" s="35"/>
      <x:c r="V1197" s="35"/>
      <x:c r="W1197" s="35"/>
      <x:c r="X1197" s="35"/>
      <x:c r="Y1197" s="35"/>
      <x:c r="Z1197" s="35"/>
      <x:c r="AA1197" s="35"/>
    </x:row>
    <x:row r="1198">
      <x:c r="A1198" s="136" t="str">
        <x:v>DrillCamp | Skirmish | Flemming's Meadow</x:v>
      </x:c>
      <x:c r="B1198" s="136" t="str">
        <x:v>Gun | 10-pounder Parrott · Entity-1346 [map-60/025]</x:v>
      </x:c>
      <x:c r="C1198" s="136" t="str">
        <x:v>gun_spawn</x:v>
      </x:c>
      <x:c r="D1198" s="136" t="str"/>
      <x:c r="E1198" s="136" t="str">
        <x:v>10-pounder Parrott · Entity-1346</x:v>
      </x:c>
      <x:c r="F1198" s="137" t="n">
        <x:v>1177.094970703125</x:v>
      </x:c>
      <x:c r="G1198" s="137" t="n">
        <x:v>2778.256591796875</x:v>
      </x:c>
      <x:c r="H1198" s="137" t="n">
        <x:v>59.79219055175781</x:v>
      </x:c>
      <x:c r="I1198" s="137" t="n">
        <x:v>931.2444929719849</x:v>
      </x:c>
      <x:c r="J1198" s="137" t="n">
        <x:v>1196.141466834094</x:v>
      </x:c>
      <x:c r="K1198" s="136" t="str">
        <x:v>map-60</x:v>
      </x:c>
      <x:c r="L1198" s="136" t="str">
        <x:v>DrillCamp | Skirmish | Flemming's Meadow||Gun | 10-pounder Parrott · Entity-1346 [map-60/025]</x:v>
      </x:c>
      <x:c r="M1198" s="35"/>
      <x:c r="N1198" s="35"/>
      <x:c r="O1198" s="35"/>
      <x:c r="P1198" s="35"/>
      <x:c r="Q1198" s="35"/>
      <x:c r="R1198" s="35"/>
      <x:c r="S1198" s="35"/>
      <x:c r="T1198" s="35"/>
      <x:c r="U1198" s="35"/>
      <x:c r="V1198" s="35"/>
      <x:c r="W1198" s="35"/>
      <x:c r="X1198" s="35"/>
      <x:c r="Y1198" s="35"/>
      <x:c r="Z1198" s="35"/>
      <x:c r="AA1198" s="35"/>
    </x:row>
    <x:row r="1199">
      <x:c r="A1199" s="136" t="str">
        <x:v>DrillCamp | Skirmish | Flemming's Meadow</x:v>
      </x:c>
      <x:c r="B1199" s="136" t="str">
        <x:v>Gun | 12-pounder Napoleon (USA) · Entity-1349 [map-60/026]</x:v>
      </x:c>
      <x:c r="C1199" s="136" t="str">
        <x:v>gun_spawn</x:v>
      </x:c>
      <x:c r="D1199" s="136" t="str"/>
      <x:c r="E1199" s="136" t="str">
        <x:v>12-pounder Napoleon (USA) · Entity-1349</x:v>
      </x:c>
      <x:c r="F1199" s="137" t="n">
        <x:v>1186.5992431640625</x:v>
      </x:c>
      <x:c r="G1199" s="137" t="n">
        <x:v>2755.800537109375</x:v>
      </x:c>
      <x:c r="H1199" s="137" t="n">
        <x:v>58.46568298339844</x:v>
      </x:c>
      <x:c r="I1199" s="137" t="n">
        <x:v>948.3940524356144</x:v>
      </x:c>
      <x:c r="J1199" s="137" t="n">
        <x:v>1236.584611950772</x:v>
      </x:c>
      <x:c r="K1199" s="136" t="str">
        <x:v>map-60</x:v>
      </x:c>
      <x:c r="L1199" s="136" t="str">
        <x:v>DrillCamp | Skirmish | Flemming's Meadow||Gun | 12-pounder Napoleon (USA) · Entity-1349 [map-60/026]</x:v>
      </x:c>
      <x:c r="M1199" s="35"/>
      <x:c r="N1199" s="35"/>
      <x:c r="O1199" s="35"/>
      <x:c r="P1199" s="35"/>
      <x:c r="Q1199" s="35"/>
      <x:c r="R1199" s="35"/>
      <x:c r="S1199" s="35"/>
      <x:c r="T1199" s="35"/>
      <x:c r="U1199" s="35"/>
      <x:c r="V1199" s="35"/>
      <x:c r="W1199" s="35"/>
      <x:c r="X1199" s="35"/>
      <x:c r="Y1199" s="35"/>
      <x:c r="Z1199" s="35"/>
      <x:c r="AA1199" s="35"/>
    </x:row>
    <x:row r="1200">
      <x:c r="A1200" s="136" t="str">
        <x:v>DrillCamp | Skirmish | Flemming's Meadow</x:v>
      </x:c>
      <x:c r="B1200" s="136" t="str">
        <x:v>Gun | 12-pounder Napoleon (USA) · Entity-1359 [map-60/027]</x:v>
      </x:c>
      <x:c r="C1200" s="136" t="str">
        <x:v>gun_spawn</x:v>
      </x:c>
      <x:c r="D1200" s="136" t="str"/>
      <x:c r="E1200" s="136" t="str">
        <x:v>12-pounder Napoleon (USA) · Entity-1359</x:v>
      </x:c>
      <x:c r="F1200" s="137" t="n">
        <x:v>1213.0159912109375</x:v>
      </x:c>
      <x:c r="G1200" s="137" t="n">
        <x:v>2957.888671875</x:v>
      </x:c>
      <x:c r="H1200" s="137" t="n">
        <x:v>65.22354888916016</x:v>
      </x:c>
      <x:c r="I1200" s="137" t="n">
        <x:v>996.0605722379006</x:v>
      </x:c>
      <x:c r="J1200" s="137" t="n">
        <x:v>872.9807741814079</x:v>
      </x:c>
      <x:c r="K1200" s="136" t="str">
        <x:v>map-60</x:v>
      </x:c>
      <x:c r="L1200" s="136" t="str">
        <x:v>DrillCamp | Skirmish | Flemming's Meadow||Gun | 12-pounder Napoleon (USA) · Entity-1359 [map-60/027]</x:v>
      </x:c>
      <x:c r="M1200" s="35"/>
      <x:c r="N1200" s="35"/>
      <x:c r="O1200" s="35"/>
      <x:c r="P1200" s="35"/>
      <x:c r="Q1200" s="35"/>
      <x:c r="R1200" s="35"/>
      <x:c r="S1200" s="35"/>
      <x:c r="T1200" s="35"/>
      <x:c r="U1200" s="35"/>
      <x:c r="V1200" s="35"/>
      <x:c r="W1200" s="35"/>
      <x:c r="X1200" s="35"/>
      <x:c r="Y1200" s="35"/>
      <x:c r="Z1200" s="35"/>
      <x:c r="AA1200" s="35"/>
    </x:row>
    <x:row r="1201">
      <x:c r="A1201" s="136" t="str">
        <x:v>DrillCamp | Skirmish | Flemming's Meadow</x:v>
      </x:c>
      <x:c r="B1201" s="136" t="str">
        <x:v>Gun | 12-pounder Napoleon (CSA) · Entity-1379 [map-60/028]</x:v>
      </x:c>
      <x:c r="C1201" s="136" t="str">
        <x:v>gun_spawn</x:v>
      </x:c>
      <x:c r="D1201" s="136" t="str"/>
      <x:c r="E1201" s="136" t="str">
        <x:v>12-pounder Napoleon (CSA) · Entity-1379</x:v>
      </x:c>
      <x:c r="F1201" s="137" t="n">
        <x:v>1401.61328125</x:v>
      </x:c>
      <x:c r="G1201" s="137" t="n">
        <x:v>2933.47998046875</x:v>
      </x:c>
      <x:c r="H1201" s="137" t="n">
        <x:v>58.61255645751953</x:v>
      </x:c>
      <x:c r="I1201" s="137" t="n">
        <x:v>1336.366519220952</x:v>
      </x:c>
      <x:c r="J1201" s="137" t="n">
        <x:v>917.5059161770904</x:v>
      </x:c>
      <x:c r="K1201" s="136" t="str">
        <x:v>map-60</x:v>
      </x:c>
      <x:c r="L1201" s="136" t="str">
        <x:v>DrillCamp | Skirmish | Flemming's Meadow||Gun | 12-pounder Napoleon (CSA) · Entity-1379 [map-60/028]</x:v>
      </x:c>
      <x:c r="M1201" s="35"/>
      <x:c r="N1201" s="35"/>
      <x:c r="O1201" s="35"/>
      <x:c r="P1201" s="35"/>
      <x:c r="Q1201" s="35"/>
      <x:c r="R1201" s="35"/>
      <x:c r="S1201" s="35"/>
      <x:c r="T1201" s="35"/>
      <x:c r="U1201" s="35"/>
      <x:c r="V1201" s="35"/>
      <x:c r="W1201" s="35"/>
      <x:c r="X1201" s="35"/>
      <x:c r="Y1201" s="35"/>
      <x:c r="Z1201" s="35"/>
      <x:c r="AA1201" s="35"/>
    </x:row>
    <x:row r="1202">
      <x:c r="A1202" s="136" t="str">
        <x:v>DrillCamp | Skirmish | Flemming's Meadow</x:v>
      </x:c>
      <x:c r="B1202" s="136" t="str">
        <x:v>Gun | 12-pounder Napoleon (CSA) · Entity-1365 [map-60/029]</x:v>
      </x:c>
      <x:c r="C1202" s="136" t="str">
        <x:v>gun_spawn</x:v>
      </x:c>
      <x:c r="D1202" s="136" t="str"/>
      <x:c r="E1202" s="136" t="str">
        <x:v>12-pounder Napoleon (CSA) · Entity-1365</x:v>
      </x:c>
      <x:c r="F1202" s="137" t="n">
        <x:v>1484.4925537109375</x:v>
      </x:c>
      <x:c r="G1202" s="137" t="n">
        <x:v>2805.36572265625</x:v>
      </x:c>
      <x:c r="H1202" s="137" t="n">
        <x:v>54.946807861328125</x:v>
      </x:c>
      <x:c r="I1202" s="137" t="n">
        <x:v>1485.914316510319</x:v>
      </x:c>
      <x:c r="J1202" s="137" t="n">
        <x:v>1148.3293745934393</x:v>
      </x:c>
      <x:c r="K1202" s="136" t="str">
        <x:v>map-60</x:v>
      </x:c>
      <x:c r="L1202" s="136" t="str">
        <x:v>DrillCamp | Skirmish | Flemming's Meadow||Gun | 12-pounder Napoleon (CSA) · Entity-1365 [map-60/029]</x:v>
      </x:c>
      <x:c r="M1202" s="35"/>
      <x:c r="N1202" s="35"/>
      <x:c r="O1202" s="35"/>
      <x:c r="P1202" s="35"/>
      <x:c r="Q1202" s="35"/>
      <x:c r="R1202" s="35"/>
      <x:c r="S1202" s="35"/>
      <x:c r="T1202" s="35"/>
      <x:c r="U1202" s="35"/>
      <x:c r="V1202" s="35"/>
      <x:c r="W1202" s="35"/>
      <x:c r="X1202" s="35"/>
      <x:c r="Y1202" s="35"/>
      <x:c r="Z1202" s="35"/>
      <x:c r="AA1202" s="35"/>
    </x:row>
    <x:row r="1203">
      <x:c r="A1203" s="136" t="str">
        <x:v>DrillCamp | Skirmish | Flemming's Meadow</x:v>
      </x:c>
      <x:c r="B1203" s="136" t="str">
        <x:v>Gun | 3-inch Ordnance · Entity-1357 [map-60/030]</x:v>
      </x:c>
      <x:c r="C1203" s="136" t="str">
        <x:v>gun_spawn</x:v>
      </x:c>
      <x:c r="D1203" s="136" t="str"/>
      <x:c r="E1203" s="136" t="str">
        <x:v>3-inch Ordnance · Entity-1357</x:v>
      </x:c>
      <x:c r="F1203" s="137" t="n">
        <x:v>1211.9775390625</x:v>
      </x:c>
      <x:c r="G1203" s="137" t="n">
        <x:v>2973.4384765625</x:v>
      </x:c>
      <x:c r="H1203" s="137" t="n">
        <x:v>65.24170684814453</x:v>
      </x:c>
      <x:c r="I1203" s="137" t="n">
        <x:v>994.1867836924903</x:v>
      </x:c>
      <x:c r="J1203" s="137" t="n">
        <x:v>844.99329825537</x:v>
      </x:c>
      <x:c r="K1203" s="136" t="str">
        <x:v>map-60</x:v>
      </x:c>
      <x:c r="L1203" s="136" t="str">
        <x:v>DrillCamp | Skirmish | Flemming's Meadow||Gun | 3-inch Ordnance · Entity-1357 [map-60/030]</x:v>
      </x:c>
      <x:c r="M1203" s="35"/>
      <x:c r="N1203" s="35"/>
      <x:c r="O1203" s="35"/>
      <x:c r="P1203" s="35"/>
      <x:c r="Q1203" s="35"/>
      <x:c r="R1203" s="35"/>
      <x:c r="S1203" s="35"/>
      <x:c r="T1203" s="35"/>
      <x:c r="U1203" s="35"/>
      <x:c r="V1203" s="35"/>
      <x:c r="W1203" s="35"/>
      <x:c r="X1203" s="35"/>
      <x:c r="Y1203" s="35"/>
      <x:c r="Z1203" s="35"/>
      <x:c r="AA1203" s="35"/>
    </x:row>
    <x:row r="1204">
      <x:c r="A1204" s="136" t="str">
        <x:v>DrillCamp | Skirmish | Flemming's Meadow</x:v>
      </x:c>
      <x:c r="B1204" s="136" t="str">
        <x:v>Gun | 10-pounder Parrott · Entity-1345 [map-60/031]</x:v>
      </x:c>
      <x:c r="C1204" s="136" t="str">
        <x:v>gun_spawn</x:v>
      </x:c>
      <x:c r="D1204" s="136" t="str"/>
      <x:c r="E1204" s="136" t="str">
        <x:v>10-pounder Parrott · Entity-1345</x:v>
      </x:c>
      <x:c r="F1204" s="137" t="n">
        <x:v>1180.434814453125</x:v>
      </x:c>
      <x:c r="G1204" s="137" t="n">
        <x:v>2770.09619140625</x:v>
      </x:c>
      <x:c r="H1204" s="137" t="n">
        <x:v>58.88148880004883</x:v>
      </x:c>
      <x:c r="I1204" s="137" t="n">
        <x:v>937.2709246873281</x:v>
      </x:c>
      <x:c r="J1204" s="137" t="n">
        <x:v>1210.8379104828712</x:v>
      </x:c>
      <x:c r="K1204" s="136" t="str">
        <x:v>map-60</x:v>
      </x:c>
      <x:c r="L1204" s="136" t="str">
        <x:v>DrillCamp | Skirmish | Flemming's Meadow||Gun | 10-pounder Parrott · Entity-1345 [map-60/031]</x:v>
      </x:c>
      <x:c r="M1204" s="35"/>
      <x:c r="N1204" s="35"/>
      <x:c r="O1204" s="35"/>
      <x:c r="P1204" s="35"/>
      <x:c r="Q1204" s="35"/>
      <x:c r="R1204" s="35"/>
      <x:c r="S1204" s="35"/>
      <x:c r="T1204" s="35"/>
      <x:c r="U1204" s="35"/>
      <x:c r="V1204" s="35"/>
      <x:c r="W1204" s="35"/>
      <x:c r="X1204" s="35"/>
      <x:c r="Y1204" s="35"/>
      <x:c r="Z1204" s="35"/>
      <x:c r="AA1204" s="35"/>
    </x:row>
    <x:row r="1205">
      <x:c r="A1205" s="136" t="str">
        <x:v>DrillCamp | Skirmish | Flemming's Meadow</x:v>
      </x:c>
      <x:c r="B1205" s="136" t="str">
        <x:v>Gun | 12-pounder Napoleon (CSA) · Entity-1372 [map-60/032]</x:v>
      </x:c>
      <x:c r="C1205" s="136" t="str">
        <x:v>gun_spawn</x:v>
      </x:c>
      <x:c r="D1205" s="136" t="str"/>
      <x:c r="E1205" s="136" t="str">
        <x:v>12-pounder Napoleon (CSA) · Entity-1372</x:v>
      </x:c>
      <x:c r="F1205" s="137" t="n">
        <x:v>1396.36376953125</x:v>
      </x:c>
      <x:c r="G1205" s="137" t="n">
        <x:v>2963.025634765625</x:v>
      </x:c>
      <x:c r="H1205" s="137" t="n">
        <x:v>58.72877502441406</x:v>
      </x:c>
      <x:c r="I1205" s="137" t="n">
        <x:v>1326.8942725291895</x:v>
      </x:c>
      <x:c r="J1205" s="137" t="n">
        <x:v>864.3174763368893</x:v>
      </x:c>
      <x:c r="K1205" s="136" t="str">
        <x:v>map-60</x:v>
      </x:c>
      <x:c r="L1205" s="136" t="str">
        <x:v>DrillCamp | Skirmish | Flemming's Meadow||Gun | 12-pounder Napoleon (CSA) · Entity-1372 [map-60/032]</x:v>
      </x:c>
      <x:c r="M1205" s="35"/>
      <x:c r="N1205" s="35"/>
      <x:c r="O1205" s="35"/>
      <x:c r="P1205" s="35"/>
      <x:c r="Q1205" s="35"/>
      <x:c r="R1205" s="35"/>
      <x:c r="S1205" s="35"/>
      <x:c r="T1205" s="35"/>
      <x:c r="U1205" s="35"/>
      <x:c r="V1205" s="35"/>
      <x:c r="W1205" s="35"/>
      <x:c r="X1205" s="35"/>
      <x:c r="Y1205" s="35"/>
      <x:c r="Z1205" s="35"/>
      <x:c r="AA1205" s="35"/>
    </x:row>
    <x:row r="1206">
      <x:c r="A1206" s="136" t="str">
        <x:v>DrillCamp | Skirmish | Flemming's Meadow</x:v>
      </x:c>
      <x:c r="B1206" s="136" t="str">
        <x:v>Gun | 3-inch Ordnance · Entity-1380 [map-60/033]</x:v>
      </x:c>
      <x:c r="C1206" s="136" t="str">
        <x:v>gun_spawn</x:v>
      </x:c>
      <x:c r="D1206" s="136" t="str"/>
      <x:c r="E1206" s="136" t="str">
        <x:v>3-inch Ordnance · Entity-1380</x:v>
      </x:c>
      <x:c r="F1206" s="137" t="n">
        <x:v>1403.2060546875</x:v>
      </x:c>
      <x:c r="G1206" s="137" t="n">
        <x:v>2926.638427734375</x:v>
      </x:c>
      <x:c r="H1206" s="137" t="n">
        <x:v>58.59579849243164</x:v>
      </x:c>
      <x:c r="I1206" s="137" t="n">
        <x:v>1339.2405280302282</x:v>
      </x:c>
      <x:c r="J1206" s="137" t="n">
        <x:v>929.8233573258501</x:v>
      </x:c>
      <x:c r="K1206" s="136" t="str">
        <x:v>map-60</x:v>
      </x:c>
      <x:c r="L1206" s="136" t="str">
        <x:v>DrillCamp | Skirmish | Flemming's Meadow||Gun | 3-inch Ordnance · Entity-1380 [map-60/033]</x:v>
      </x:c>
      <x:c r="M1206" s="35"/>
      <x:c r="N1206" s="35"/>
      <x:c r="O1206" s="35"/>
      <x:c r="P1206" s="35"/>
      <x:c r="Q1206" s="35"/>
      <x:c r="R1206" s="35"/>
      <x:c r="S1206" s="35"/>
      <x:c r="T1206" s="35"/>
      <x:c r="U1206" s="35"/>
      <x:c r="V1206" s="35"/>
      <x:c r="W1206" s="35"/>
      <x:c r="X1206" s="35"/>
      <x:c r="Y1206" s="35"/>
      <x:c r="Z1206" s="35"/>
      <x:c r="AA1206" s="35"/>
    </x:row>
    <x:row r="1207">
      <x:c r="A1207" s="136" t="str">
        <x:v>DrillCamp | Skirmish | Flemming's Meadow</x:v>
      </x:c>
      <x:c r="B1207" s="136" t="str">
        <x:v>Gun | 3-inch Ordnance · Entity-1364 [map-60/034]</x:v>
      </x:c>
      <x:c r="C1207" s="136" t="str">
        <x:v>gun_spawn</x:v>
      </x:c>
      <x:c r="D1207" s="136" t="str"/>
      <x:c r="E1207" s="136" t="str">
        <x:v>3-inch Ordnance · Entity-1364</x:v>
      </x:c>
      <x:c r="F1207" s="137" t="n">
        <x:v>1483.73974609375</x:v>
      </x:c>
      <x:c r="G1207" s="137" t="n">
        <x:v>2798.381591796875</x:v>
      </x:c>
      <x:c r="H1207" s="137" t="n">
        <x:v>55.05133819580078</x:v>
      </x:c>
      <x:c r="I1207" s="137" t="n">
        <x:v>1484.5559464668788</x:v>
      </x:c>
      <x:c r="J1207" s="137" t="n">
        <x:v>1160.895967980234</x:v>
      </x:c>
      <x:c r="K1207" s="136" t="str">
        <x:v>map-60</x:v>
      </x:c>
      <x:c r="L1207" s="136" t="str">
        <x:v>DrillCamp | Skirmish | Flemming's Meadow||Gun | 3-inch Ordnance · Entity-1364 [map-60/034]</x:v>
      </x:c>
      <x:c r="M1207" s="35"/>
      <x:c r="N1207" s="35"/>
      <x:c r="O1207" s="35"/>
      <x:c r="P1207" s="35"/>
      <x:c r="Q1207" s="35"/>
      <x:c r="R1207" s="35"/>
      <x:c r="S1207" s="35"/>
      <x:c r="T1207" s="35"/>
      <x:c r="U1207" s="35"/>
      <x:c r="V1207" s="35"/>
      <x:c r="W1207" s="35"/>
      <x:c r="X1207" s="35"/>
      <x:c r="Y1207" s="35"/>
      <x:c r="Z1207" s="35"/>
      <x:c r="AA1207" s="35"/>
    </x:row>
    <x:row r="1208">
      <x:c r="A1208" s="136" t="str">
        <x:v>DrillCamp | Skirmish | Flemming's Meadow</x:v>
      </x:c>
      <x:c r="B1208" s="136" t="str">
        <x:v>Gun | 12-pounder Napoleon (CSA) · Entity-1363 [map-60/035]</x:v>
      </x:c>
      <x:c r="C1208" s="136" t="str">
        <x:v>gun_spawn</x:v>
      </x:c>
      <x:c r="D1208" s="136" t="str"/>
      <x:c r="E1208" s="136" t="str">
        <x:v>12-pounder Napoleon (CSA) · Entity-1363</x:v>
      </x:c>
      <x:c r="F1208" s="137" t="n">
        <x:v>1485.7899169921875</x:v>
      </x:c>
      <x:c r="G1208" s="137" t="n">
        <x:v>2812.997314453125</x:v>
      </x:c>
      <x:c r="H1208" s="137" t="n">
        <x:v>54.78418731689453</x:v>
      </x:c>
      <x:c r="I1208" s="137" t="n">
        <x:v>1488.2552856722587</x:v>
      </x:c>
      <x:c r="J1208" s="137" t="n">
        <x:v>1134.5993059834807</x:v>
      </x:c>
      <x:c r="K1208" s="136" t="str">
        <x:v>map-60</x:v>
      </x:c>
      <x:c r="L1208" s="136" t="str">
        <x:v>DrillCamp | Skirmish | Flemming's Meadow||Gun | 12-pounder Napoleon (CSA) · Entity-1363 [map-60/035]</x:v>
      </x:c>
      <x:c r="M1208" s="35"/>
      <x:c r="N1208" s="35"/>
      <x:c r="O1208" s="35"/>
      <x:c r="P1208" s="35"/>
      <x:c r="Q1208" s="35"/>
      <x:c r="R1208" s="35"/>
      <x:c r="S1208" s="35"/>
      <x:c r="T1208" s="35"/>
      <x:c r="U1208" s="35"/>
      <x:c r="V1208" s="35"/>
      <x:c r="W1208" s="35"/>
      <x:c r="X1208" s="35"/>
      <x:c r="Y1208" s="35"/>
      <x:c r="Z1208" s="35"/>
      <x:c r="AA1208" s="35"/>
    </x:row>
    <x:row r="1209">
      <x:c r="A1209" s="136" t="str">
        <x:v>DrillCamp | Skirmish | Flemming's Meadow</x:v>
      </x:c>
      <x:c r="B1209" s="136" t="str">
        <x:v>Gun | 10-pounder Parrott · Entity-1347 [map-60/036]</x:v>
      </x:c>
      <x:c r="C1209" s="136" t="str">
        <x:v>gun_spawn</x:v>
      </x:c>
      <x:c r="D1209" s="136" t="str"/>
      <x:c r="E1209" s="136" t="str">
        <x:v>10-pounder Parrott · Entity-1347</x:v>
      </x:c>
      <x:c r="F1209" s="137" t="n">
        <x:v>1183.3250732421875</x:v>
      </x:c>
      <x:c r="G1209" s="137" t="n">
        <x:v>2763.282958984375</x:v>
      </x:c>
      <x:c r="H1209" s="137" t="n">
        <x:v>58.68307113647461</x:v>
      </x:c>
      <x:c r="I1209" s="137" t="n">
        <x:v>942.486122922861</x:v>
      </x:c>
      <x:c r="J1209" s="137" t="n">
        <x:v>1223.1084995898095</x:v>
      </x:c>
      <x:c r="K1209" s="136" t="str">
        <x:v>map-60</x:v>
      </x:c>
      <x:c r="L1209" s="136" t="str">
        <x:v>DrillCamp | Skirmish | Flemming's Meadow||Gun | 10-pounder Parrott · Entity-1347 [map-60/036]</x:v>
      </x:c>
      <x:c r="M1209" s="35"/>
      <x:c r="N1209" s="35"/>
      <x:c r="O1209" s="35"/>
      <x:c r="P1209" s="35"/>
      <x:c r="Q1209" s="35"/>
      <x:c r="R1209" s="35"/>
      <x:c r="S1209" s="35"/>
      <x:c r="T1209" s="35"/>
      <x:c r="U1209" s="35"/>
      <x:c r="V1209" s="35"/>
      <x:c r="W1209" s="35"/>
      <x:c r="X1209" s="35"/>
      <x:c r="Y1209" s="35"/>
      <x:c r="Z1209" s="35"/>
      <x:c r="AA1209" s="35"/>
    </x:row>
    <x:row r="1210">
      <x:c r="A1210" s="136" t="str">
        <x:v>DrillCamp | Skirmish | Flemming's Meadow</x:v>
      </x:c>
      <x:c r="B1210" s="136" t="str">
        <x:v>Gun | 12-pounder Napoleon (CSA) · Entity-1378 [map-60/037]</x:v>
      </x:c>
      <x:c r="C1210" s="136" t="str">
        <x:v>gun_spawn</x:v>
      </x:c>
      <x:c r="D1210" s="136" t="str"/>
      <x:c r="E1210" s="136" t="str">
        <x:v>12-pounder Napoleon (CSA) · Entity-1378</x:v>
      </x:c>
      <x:c r="F1210" s="137" t="n">
        <x:v>1400.3211669921875</x:v>
      </x:c>
      <x:c r="G1210" s="137" t="n">
        <x:v>2941.112548828125</x:v>
      </x:c>
      <x:c r="H1210" s="137" t="n">
        <x:v>58.77811050415039</x:v>
      </x:c>
      <x:c r="I1210" s="137" t="n">
        <x:v>1334.0350214246469</x:v>
      </x:c>
      <x:c r="J1210" s="137" t="n">
        <x:v>903.7658783851087</x:v>
      </x:c>
      <x:c r="K1210" s="136" t="str">
        <x:v>map-60</x:v>
      </x:c>
      <x:c r="L1210" s="136" t="str">
        <x:v>DrillCamp | Skirmish | Flemming's Meadow||Gun | 12-pounder Napoleon (CSA) · Entity-1378 [map-60/037]</x:v>
      </x:c>
      <x:c r="M1210" s="35"/>
      <x:c r="N1210" s="35"/>
      <x:c r="O1210" s="35"/>
      <x:c r="P1210" s="35"/>
      <x:c r="Q1210" s="35"/>
      <x:c r="R1210" s="35"/>
      <x:c r="S1210" s="35"/>
      <x:c r="T1210" s="35"/>
      <x:c r="U1210" s="35"/>
      <x:c r="V1210" s="35"/>
      <x:c r="W1210" s="35"/>
      <x:c r="X1210" s="35"/>
      <x:c r="Y1210" s="35"/>
      <x:c r="Z1210" s="35"/>
      <x:c r="AA1210" s="35"/>
    </x:row>
    <x:row r="1211">
      <x:c r="A1211" s="136" t="str">
        <x:v>DrillCamp | Skirmish | Flemming's Meadow</x:v>
      </x:c>
      <x:c r="B1211" s="136" t="str">
        <x:v>Gun | 3-inch Ordnance · Entity-1374 [map-60/038]</x:v>
      </x:c>
      <x:c r="C1211" s="136" t="str">
        <x:v>gun_spawn</x:v>
      </x:c>
      <x:c r="D1211" s="136" t="str"/>
      <x:c r="E1211" s="136" t="str">
        <x:v>3-inch Ordnance · Entity-1374</x:v>
      </x:c>
      <x:c r="F1211" s="137" t="n">
        <x:v>1399.24853515625</x:v>
      </x:c>
      <x:c r="G1211" s="137" t="n">
        <x:v>2948.551513671875</x:v>
      </x:c>
      <x:c r="H1211" s="137" t="n">
        <x:v>58.814178466796875</x:v>
      </x:c>
      <x:c r="I1211" s="137" t="n">
        <x:v>1332.0995588704538</x:v>
      </x:c>
      <x:c r="J1211" s="137" t="n">
        <x:v>890.374954890523</x:v>
      </x:c>
      <x:c r="K1211" s="136" t="str">
        <x:v>map-60</x:v>
      </x:c>
      <x:c r="L1211" s="136" t="str">
        <x:v>DrillCamp | Skirmish | Flemming's Meadow||Gun | 3-inch Ordnance · Entity-1374 [map-60/038]</x:v>
      </x:c>
      <x:c r="M1211" s="35"/>
      <x:c r="N1211" s="35"/>
      <x:c r="O1211" s="35"/>
      <x:c r="P1211" s="35"/>
      <x:c r="Q1211" s="35"/>
      <x:c r="R1211" s="35"/>
      <x:c r="S1211" s="35"/>
      <x:c r="T1211" s="35"/>
      <x:c r="U1211" s="35"/>
      <x:c r="V1211" s="35"/>
      <x:c r="W1211" s="35"/>
      <x:c r="X1211" s="35"/>
      <x:c r="Y1211" s="35"/>
      <x:c r="Z1211" s="35"/>
      <x:c r="AA1211" s="35"/>
    </x:row>
    <x:row r="1212">
      <x:c r="A1212" s="136" t="str">
        <x:v>DrillCamp | Skirmish | Flemming's Meadow</x:v>
      </x:c>
      <x:c r="B1212" s="136" t="str">
        <x:v>Gun | 12-pounder Napoleon (CSA) · Entity-1373 [map-60/039]</x:v>
      </x:c>
      <x:c r="C1212" s="136" t="str">
        <x:v>gun_spawn</x:v>
      </x:c>
      <x:c r="D1212" s="136" t="str"/>
      <x:c r="E1212" s="136" t="str">
        <x:v>12-pounder Napoleon (CSA) · Entity-1373</x:v>
      </x:c>
      <x:c r="F1212" s="137" t="n">
        <x:v>1397.6558837890625</x:v>
      </x:c>
      <x:c r="G1212" s="137" t="n">
        <x:v>2955.392822265625</x:v>
      </x:c>
      <x:c r="H1212" s="137" t="n">
        <x:v>58.82114791870117</x:v>
      </x:c>
      <x:c r="I1212" s="137" t="n">
        <x:v>1329.2257703254948</x:v>
      </x:c>
      <x:c r="J1212" s="137" t="n">
        <x:v>878.0579534961821</x:v>
      </x:c>
      <x:c r="K1212" s="136" t="str">
        <x:v>map-60</x:v>
      </x:c>
      <x:c r="L1212" s="136" t="str">
        <x:v>DrillCamp | Skirmish | Flemming's Meadow||Gun | 12-pounder Napoleon (CSA) · Entity-1373 [map-60/039]</x:v>
      </x:c>
      <x:c r="M1212" s="35"/>
      <x:c r="N1212" s="35"/>
      <x:c r="O1212" s="35"/>
      <x:c r="P1212" s="35"/>
      <x:c r="Q1212" s="35"/>
      <x:c r="R1212" s="35"/>
      <x:c r="S1212" s="35"/>
      <x:c r="T1212" s="35"/>
      <x:c r="U1212" s="35"/>
      <x:c r="V1212" s="35"/>
      <x:c r="W1212" s="35"/>
      <x:c r="X1212" s="35"/>
      <x:c r="Y1212" s="35"/>
      <x:c r="Z1212" s="35"/>
      <x:c r="AA1212" s="35"/>
    </x:row>
    <x:row r="1213">
      <x:c r="A1213" s="136" t="str">
        <x:v>DrillCamp | Skirmish | Flemming's Meadow</x:v>
      </x:c>
      <x:c r="B1213" s="136" t="str">
        <x:v>Gun | 12-pounder Napoleon (USA) · Entity-1348 [map-60/040]</x:v>
      </x:c>
      <x:c r="C1213" s="136" t="str">
        <x:v>gun_spawn</x:v>
      </x:c>
      <x:c r="D1213" s="136" t="str"/>
      <x:c r="E1213" s="136" t="str">
        <x:v>12-pounder Napoleon (USA) · Entity-1348</x:v>
      </x:c>
      <x:c r="F1213" s="137" t="n">
        <x:v>1190.4063720703125</x:v>
      </x:c>
      <x:c r="G1213" s="137" t="n">
        <x:v>2747.0859375</x:v>
      </x:c>
      <x:c r="H1213" s="137" t="n">
        <x:v>57.78180694580078</x:v>
      </x:c>
      <x:c r="I1213" s="137" t="n">
        <x:v>955.2636559567445</x:v>
      </x:c>
      <x:c r="J1213" s="137" t="n">
        <x:v>1252.2799012443395</x:v>
      </x:c>
      <x:c r="K1213" s="136" t="str">
        <x:v>map-60</x:v>
      </x:c>
      <x:c r="L1213" s="136" t="str">
        <x:v>DrillCamp | Skirmish | Flemming's Meadow||Gun | 12-pounder Napoleon (USA) · Entity-1348 [map-60/040]</x:v>
      </x:c>
      <x:c r="M1213" s="35"/>
      <x:c r="N1213" s="35"/>
      <x:c r="O1213" s="35"/>
      <x:c r="P1213" s="35"/>
      <x:c r="Q1213" s="35"/>
      <x:c r="R1213" s="35"/>
      <x:c r="S1213" s="35"/>
      <x:c r="T1213" s="35"/>
      <x:c r="U1213" s="35"/>
      <x:c r="V1213" s="35"/>
      <x:c r="W1213" s="35"/>
      <x:c r="X1213" s="35"/>
      <x:c r="Y1213" s="35"/>
      <x:c r="Z1213" s="35"/>
      <x:c r="AA1213" s="35"/>
    </x:row>
    <x:row r="1214">
      <x:c r="A1214" s="136" t="str">
        <x:v>DrillCamp | Skirmish | Wagon Road</x:v>
      </x:c>
      <x:c r="B1214" s="136" t="str">
        <x:v>Spawn | CSA Spawnpoint_WR_Base_CSA_6thGA1 [map-61/001]</x:v>
      </x:c>
      <x:c r="C1214" s="136" t="str">
        <x:v>spawn</x:v>
      </x:c>
      <x:c r="D1214" s="136" t="str">
        <x:v>CSA</x:v>
      </x:c>
      <x:c r="E1214" s="136" t="str">
        <x:v>Spawnpoint_WR_Base_CSA_6thGA1</x:v>
      </x:c>
      <x:c r="F1214" s="137" t="n">
        <x:v>646.9434814453125</x:v>
      </x:c>
      <x:c r="G1214" s="137" t="n">
        <x:v>3168.81982421875</x:v>
      </x:c>
      <x:c r="H1214" s="137" t="n">
        <x:v>76.4110336303711</x:v>
      </x:c>
      <x:c r="I1214" s="137" t="n">
        <x:v>238.57058981589432</x:v>
      </x:c>
      <x:c r="J1214" s="137" t="n">
        <x:v>1222.9850077139888</x:v>
      </x:c>
      <x:c r="K1214" s="136" t="str">
        <x:v>map-61</x:v>
      </x:c>
      <x:c r="L1214" s="136" t="str">
        <x:v>DrillCamp | Skirmish | Wagon Road||Spawn | CSA Spawnpoint_WR_Base_CSA_6thGA1 [map-61/001]</x:v>
      </x:c>
      <x:c r="M1214" s="35"/>
      <x:c r="N1214" s="35"/>
      <x:c r="O1214" s="35"/>
      <x:c r="P1214" s="35"/>
      <x:c r="Q1214" s="35"/>
      <x:c r="R1214" s="35"/>
      <x:c r="S1214" s="35"/>
      <x:c r="T1214" s="35"/>
      <x:c r="U1214" s="35"/>
      <x:c r="V1214" s="35"/>
      <x:c r="W1214" s="35"/>
      <x:c r="X1214" s="35"/>
      <x:c r="Y1214" s="35"/>
      <x:c r="Z1214" s="35"/>
      <x:c r="AA1214" s="35"/>
    </x:row>
    <x:row r="1215">
      <x:c r="A1215" s="136" t="str">
        <x:v>DrillCamp | Skirmish | Wagon Road</x:v>
      </x:c>
      <x:c r="B1215" s="136" t="str">
        <x:v>Artillery | CSA Spawnpoint_WR_CSA_Arty_Lane_Forward [map-61/002]</x:v>
      </x:c>
      <x:c r="C1215" s="136" t="str">
        <x:v>battery</x:v>
      </x:c>
      <x:c r="D1215" s="136" t="str">
        <x:v>CSA</x:v>
      </x:c>
      <x:c r="E1215" s="136" t="str">
        <x:v>Spawnpoint_WR_CSA_Arty_Lane_Forward</x:v>
      </x:c>
      <x:c r="F1215" s="137" t="n">
        <x:v>849.4688110351562</x:v>
      </x:c>
      <x:c r="G1215" s="137" t="n">
        <x:v>3102.30615234375</x:v>
      </x:c>
      <x:c r="H1215" s="137" t="n">
        <x:v>84.0830078125</x:v>
      </x:c>
      <x:c r="I1215" s="137" t="n">
        <x:v>604.1096468816748</x:v>
      </x:c>
      <x:c r="J1215" s="137" t="n">
        <x:v>1343.108464395641</x:v>
      </x:c>
      <x:c r="K1215" s="136" t="str">
        <x:v>map-61</x:v>
      </x:c>
      <x:c r="L1215" s="136" t="str">
        <x:v>DrillCamp | Skirmish | Wagon Road||Artillery | CSA Spawnpoint_WR_CSA_Arty_Lane_Forward [map-61/002]</x:v>
      </x:c>
      <x:c r="M1215" s="35"/>
      <x:c r="N1215" s="35"/>
      <x:c r="O1215" s="35"/>
      <x:c r="P1215" s="35"/>
      <x:c r="Q1215" s="35"/>
      <x:c r="R1215" s="35"/>
      <x:c r="S1215" s="35"/>
      <x:c r="T1215" s="35"/>
      <x:c r="U1215" s="35"/>
      <x:c r="V1215" s="35"/>
      <x:c r="W1215" s="35"/>
      <x:c r="X1215" s="35"/>
      <x:c r="Y1215" s="35"/>
      <x:c r="Z1215" s="35"/>
      <x:c r="AA1215" s="35"/>
    </x:row>
    <x:row r="1216">
      <x:c r="A1216" s="136" t="str">
        <x:v>DrillCamp | Skirmish | Wagon Road</x:v>
      </x:c>
      <x:c r="B1216" s="136" t="str">
        <x:v>Artillery | USA Spawnpoint_WR_USA_Arty_Potts_Forward [map-61/003]</x:v>
      </x:c>
      <x:c r="C1216" s="136" t="str">
        <x:v>battery</x:v>
      </x:c>
      <x:c r="D1216" s="136" t="str">
        <x:v>USA</x:v>
      </x:c>
      <x:c r="E1216" s="136" t="str">
        <x:v>Spawnpoint_WR_USA_Arty_Potts_Forward</x:v>
      </x:c>
      <x:c r="F1216" s="137" t="n">
        <x:v>1213.598876953125</x:v>
      </x:c>
      <x:c r="G1216" s="137" t="n">
        <x:v>3164.015625</x:v>
      </x:c>
      <x:c r="H1216" s="137" t="n">
        <x:v>60.792701721191406</x:v>
      </x:c>
      <x:c r="I1216" s="137" t="n">
        <x:v>1260.177064699117</x:v>
      </x:c>
      <x:c r="J1216" s="137" t="n">
        <x:v>1231.6613745491875</x:v>
      </x:c>
      <x:c r="K1216" s="136" t="str">
        <x:v>map-61</x:v>
      </x:c>
      <x:c r="L1216" s="136" t="str">
        <x:v>DrillCamp | Skirmish | Wagon Road||Artillery | USA Spawnpoint_WR_USA_Arty_Potts_Forward [map-61/003]</x:v>
      </x:c>
      <x:c r="M1216" s="35"/>
      <x:c r="N1216" s="35"/>
      <x:c r="O1216" s="35"/>
      <x:c r="P1216" s="35"/>
      <x:c r="Q1216" s="35"/>
      <x:c r="R1216" s="35"/>
      <x:c r="S1216" s="35"/>
      <x:c r="T1216" s="35"/>
      <x:c r="U1216" s="35"/>
      <x:c r="V1216" s="35"/>
      <x:c r="W1216" s="35"/>
      <x:c r="X1216" s="35"/>
      <x:c r="Y1216" s="35"/>
      <x:c r="Z1216" s="35"/>
      <x:c r="AA1216" s="35"/>
    </x:row>
    <x:row r="1217">
      <x:c r="A1217" s="136" t="str">
        <x:v>DrillCamp | Skirmish | Wagon Road</x:v>
      </x:c>
      <x:c r="B1217" s="136" t="str">
        <x:v>Spawn | USA Spawnpoint_WR_Base_USA_12thNY2 [map-61/004]</x:v>
      </x:c>
      <x:c r="C1217" s="136" t="str">
        <x:v>spawn</x:v>
      </x:c>
      <x:c r="D1217" s="136" t="str">
        <x:v>USA</x:v>
      </x:c>
      <x:c r="E1217" s="136" t="str">
        <x:v>Spawnpoint_WR_Base_USA_12thNY2</x:v>
      </x:c>
      <x:c r="F1217" s="137" t="n">
        <x:v>1430.335205078125</x:v>
      </x:c>
      <x:c r="G1217" s="137" t="n">
        <x:v>3325.045166015625</x:v>
      </x:c>
      <x:c r="H1217" s="137" t="n">
        <x:v>62.513484954833984</x:v>
      </x:c>
      <x:c r="I1217" s="137" t="n">
        <x:v>1649.8889703934615</x:v>
      </x:c>
      <x:c r="J1217" s="137" t="n">
        <x:v>940.8425917430134</x:v>
      </x:c>
      <x:c r="K1217" s="136" t="str">
        <x:v>map-61</x:v>
      </x:c>
      <x:c r="L1217" s="136" t="str">
        <x:v>DrillCamp | Skirmish | Wagon Road||Spawn | USA Spawnpoint_WR_Base_USA_12thNY2 [map-61/004]</x:v>
      </x:c>
      <x:c r="M1217" s="35"/>
      <x:c r="N1217" s="35"/>
      <x:c r="O1217" s="35"/>
      <x:c r="P1217" s="35"/>
      <x:c r="Q1217" s="35"/>
      <x:c r="R1217" s="35"/>
      <x:c r="S1217" s="35"/>
      <x:c r="T1217" s="35"/>
      <x:c r="U1217" s="35"/>
      <x:c r="V1217" s="35"/>
      <x:c r="W1217" s="35"/>
      <x:c r="X1217" s="35"/>
      <x:c r="Y1217" s="35"/>
      <x:c r="Z1217" s="35"/>
      <x:c r="AA1217" s="35"/>
    </x:row>
    <x:row r="1218">
      <x:c r="A1218" s="136" t="str">
        <x:v>DrillCamp | Skirmish | Wagon Road</x:v>
      </x:c>
      <x:c r="B1218" s="136" t="str">
        <x:v>Spawn | USA Spawnpoint_WR_Base_USA_4thPA [map-61/005]</x:v>
      </x:c>
      <x:c r="C1218" s="136" t="str">
        <x:v>spawn</x:v>
      </x:c>
      <x:c r="D1218" s="136" t="str">
        <x:v>USA</x:v>
      </x:c>
      <x:c r="E1218" s="136" t="str">
        <x:v>Spawnpoint_WR_Base_USA_4thPA</x:v>
      </x:c>
      <x:c r="F1218" s="137" t="n">
        <x:v>1428.7474365234375</x:v>
      </x:c>
      <x:c r="G1218" s="137" t="n">
        <x:v>3346.5419921875</x:v>
      </x:c>
      <x:c r="H1218" s="137" t="n">
        <x:v>62.534332275390625</x:v>
      </x:c>
      <x:c r="I1218" s="137" t="n">
        <x:v>1646.8898130265432</x:v>
      </x:c>
      <x:c r="J1218" s="137" t="n">
        <x:v>902.0193995382117</x:v>
      </x:c>
      <x:c r="K1218" s="136" t="str">
        <x:v>map-61</x:v>
      </x:c>
      <x:c r="L1218" s="136" t="str">
        <x:v>DrillCamp | Skirmish | Wagon Road||Spawn | USA Spawnpoint_WR_Base_USA_4thPA [map-61/005]</x:v>
      </x:c>
      <x:c r="M1218" s="35"/>
      <x:c r="N1218" s="35"/>
      <x:c r="O1218" s="35"/>
      <x:c r="P1218" s="35"/>
      <x:c r="Q1218" s="35"/>
      <x:c r="R1218" s="35"/>
      <x:c r="S1218" s="35"/>
      <x:c r="T1218" s="35"/>
      <x:c r="U1218" s="35"/>
      <x:c r="V1218" s="35"/>
      <x:c r="W1218" s="35"/>
      <x:c r="X1218" s="35"/>
      <x:c r="Y1218" s="35"/>
      <x:c r="Z1218" s="35"/>
      <x:c r="AA1218" s="35"/>
    </x:row>
    <x:row r="1219">
      <x:c r="A1219" s="136" t="str">
        <x:v>DrillCamp | Skirmish | Wagon Road</x:v>
      </x:c>
      <x:c r="B1219" s="136" t="str">
        <x:v>Spawn | USA Spawnpoint_WR_Base_USA_12thOH1 [map-61/006]</x:v>
      </x:c>
      <x:c r="C1219" s="136" t="str">
        <x:v>spawn</x:v>
      </x:c>
      <x:c r="D1219" s="136" t="str">
        <x:v>USA</x:v>
      </x:c>
      <x:c r="E1219" s="136" t="str">
        <x:v>Spawnpoint_WR_Base_USA_12thOH1</x:v>
      </x:c>
      <x:c r="F1219" s="137" t="n">
        <x:v>1411.823486328125</x:v>
      </x:c>
      <x:c r="G1219" s="137" t="n">
        <x:v>3314.28125</x:v>
      </x:c>
      <x:c r="H1219" s="137" t="n">
        <x:v>62.38115692138672</x:v>
      </x:c>
      <x:c r="I1219" s="137" t="n">
        <x:v>1616.5841802326822</x:v>
      </x:c>
      <x:c r="J1219" s="137" t="n">
        <x:v>960.2821860817205</x:v>
      </x:c>
      <x:c r="K1219" s="136" t="str">
        <x:v>map-61</x:v>
      </x:c>
      <x:c r="L1219" s="136" t="str">
        <x:v>DrillCamp | Skirmish | Wagon Road||Spawn | USA Spawnpoint_WR_Base_USA_12thOH1 [map-61/006]</x:v>
      </x:c>
      <x:c r="M1219" s="35"/>
      <x:c r="N1219" s="35"/>
      <x:c r="O1219" s="35"/>
      <x:c r="P1219" s="35"/>
      <x:c r="Q1219" s="35"/>
      <x:c r="R1219" s="35"/>
      <x:c r="S1219" s="35"/>
      <x:c r="T1219" s="35"/>
      <x:c r="U1219" s="35"/>
      <x:c r="V1219" s="35"/>
      <x:c r="W1219" s="35"/>
      <x:c r="X1219" s="35"/>
      <x:c r="Y1219" s="35"/>
      <x:c r="Z1219" s="35"/>
      <x:c r="AA1219" s="35"/>
    </x:row>
    <x:row r="1220">
      <x:c r="A1220" s="136" t="str">
        <x:v>DrillCamp | Skirmish | Wagon Road</x:v>
      </x:c>
      <x:c r="B1220" s="136" t="str">
        <x:v>Spawn | CSA Spawnpoint_WR_Defend_CSA_6thAL2 [map-61/007]</x:v>
      </x:c>
      <x:c r="C1220" s="136" t="str">
        <x:v>spawn</x:v>
      </x:c>
      <x:c r="D1220" s="136" t="str">
        <x:v>CSA</x:v>
      </x:c>
      <x:c r="E1220" s="136" t="str">
        <x:v>Spawnpoint_WR_Defend_CSA_6thAL2</x:v>
      </x:c>
      <x:c r="F1220" s="137" t="n">
        <x:v>903.98193359375</x:v>
      </x:c>
      <x:c r="G1220" s="137" t="n">
        <x:v>3212.86962890625</x:v>
      </x:c>
      <x:c r="H1220" s="137" t="n">
        <x:v>70.63542175292969</x:v>
      </x:c>
      <x:c r="I1220" s="137" t="n">
        <x:v>701.6837366756997</x:v>
      </x:c>
      <x:c r="J1220" s="137" t="n">
        <x:v>1143.4312158987004</x:v>
      </x:c>
      <x:c r="K1220" s="136" t="str">
        <x:v>map-61</x:v>
      </x:c>
      <x:c r="L1220" s="136" t="str">
        <x:v>DrillCamp | Skirmish | Wagon Road||Spawn | CSA Spawnpoint_WR_Defend_CSA_6thAL2 [map-61/007]</x:v>
      </x:c>
      <x:c r="M1220" s="35"/>
      <x:c r="N1220" s="35"/>
      <x:c r="O1220" s="35"/>
      <x:c r="P1220" s="35"/>
      <x:c r="Q1220" s="35"/>
      <x:c r="R1220" s="35"/>
      <x:c r="S1220" s="35"/>
      <x:c r="T1220" s="35"/>
      <x:c r="U1220" s="35"/>
      <x:c r="V1220" s="35"/>
      <x:c r="W1220" s="35"/>
      <x:c r="X1220" s="35"/>
      <x:c r="Y1220" s="35"/>
      <x:c r="Z1220" s="35"/>
      <x:c r="AA1220" s="35"/>
    </x:row>
    <x:row r="1221">
      <x:c r="A1221" s="136" t="str">
        <x:v>DrillCamp | Skirmish | Wagon Road</x:v>
      </x:c>
      <x:c r="B1221" s="136" t="str">
        <x:v>Artillery | CSA Spawnpoint_WR_CSA_Arty_Base [map-61/008]</x:v>
      </x:c>
      <x:c r="C1221" s="136" t="str">
        <x:v>battery</x:v>
      </x:c>
      <x:c r="D1221" s="136" t="str">
        <x:v>CSA</x:v>
      </x:c>
      <x:c r="E1221" s="136" t="str">
        <x:v>Spawnpoint_WR_CSA_Arty_Base</x:v>
      </x:c>
      <x:c r="F1221" s="137" t="n">
        <x:v>630.6481323242188</x:v>
      </x:c>
      <x:c r="G1221" s="137" t="n">
        <x:v>3203.266845703125</x:v>
      </x:c>
      <x:c r="H1221" s="137" t="n">
        <x:v>76.97611236572266</x:v>
      </x:c>
      <x:c r="I1221" s="137" t="n">
        <x:v>208.97400548759023</x:v>
      </x:c>
      <x:c r="J1221" s="137" t="n">
        <x:v>1160.7738084756327</x:v>
      </x:c>
      <x:c r="K1221" s="136" t="str">
        <x:v>map-61</x:v>
      </x:c>
      <x:c r="L1221" s="136" t="str">
        <x:v>DrillCamp | Skirmish | Wagon Road||Artillery | CSA Spawnpoint_WR_CSA_Arty_Base [map-61/008]</x:v>
      </x:c>
      <x:c r="M1221" s="35"/>
      <x:c r="N1221" s="35"/>
      <x:c r="O1221" s="35"/>
      <x:c r="P1221" s="35"/>
      <x:c r="Q1221" s="35"/>
      <x:c r="R1221" s="35"/>
      <x:c r="S1221" s="35"/>
      <x:c r="T1221" s="35"/>
      <x:c r="U1221" s="35"/>
      <x:c r="V1221" s="35"/>
      <x:c r="W1221" s="35"/>
      <x:c r="X1221" s="35"/>
      <x:c r="Y1221" s="35"/>
      <x:c r="Z1221" s="35"/>
      <x:c r="AA1221" s="35"/>
    </x:row>
    <x:row r="1222">
      <x:c r="A1222" s="136" t="str">
        <x:v>DrillCamp | Skirmish | Wagon Road</x:v>
      </x:c>
      <x:c r="B1222" s="136" t="str">
        <x:v>Spawn | CSA Spawnpoint_WR_Defend_CSA_1stVA [map-61/009]</x:v>
      </x:c>
      <x:c r="C1222" s="136" t="str">
        <x:v>spawn</x:v>
      </x:c>
      <x:c r="D1222" s="136" t="str">
        <x:v>CSA</x:v>
      </x:c>
      <x:c r="E1222" s="136" t="str">
        <x:v>Spawnpoint_WR_Defend_CSA_1stVA</x:v>
      </x:c>
      <x:c r="F1222" s="137" t="n">
        <x:v>907.7239379882812</x:v>
      </x:c>
      <x:c r="G1222" s="137" t="n">
        <x:v>3228.85302734375</x:v>
      </x:c>
      <x:c r="H1222" s="137" t="n">
        <x:v>69.75687408447266</x:v>
      </x:c>
      <x:c r="I1222" s="137" t="n">
        <x:v>708.328244734949</x:v>
      </x:c>
      <x:c r="J1222" s="137" t="n">
        <x:v>1114.565254725472</x:v>
      </x:c>
      <x:c r="K1222" s="136" t="str">
        <x:v>map-61</x:v>
      </x:c>
      <x:c r="L1222" s="136" t="str">
        <x:v>DrillCamp | Skirmish | Wagon Road||Spawn | CSA Spawnpoint_WR_Defend_CSA_1stVA [map-61/009]</x:v>
      </x:c>
      <x:c r="M1222" s="35"/>
      <x:c r="N1222" s="35"/>
      <x:c r="O1222" s="35"/>
      <x:c r="P1222" s="35"/>
      <x:c r="Q1222" s="35"/>
      <x:c r="R1222" s="35"/>
      <x:c r="S1222" s="35"/>
      <x:c r="T1222" s="35"/>
      <x:c r="U1222" s="35"/>
      <x:c r="V1222" s="35"/>
      <x:c r="W1222" s="35"/>
      <x:c r="X1222" s="35"/>
      <x:c r="Y1222" s="35"/>
      <x:c r="Z1222" s="35"/>
      <x:c r="AA1222" s="35"/>
    </x:row>
    <x:row r="1223">
      <x:c r="A1223" s="136" t="str">
        <x:v>DrillCamp | Skirmish | Wagon Road</x:v>
      </x:c>
      <x:c r="B1223" s="136" t="str">
        <x:v>Artillery | USA Spawnpoint_WR_USA_Arty_Base [map-61/010]</x:v>
      </x:c>
      <x:c r="C1223" s="136" t="str">
        <x:v>battery</x:v>
      </x:c>
      <x:c r="D1223" s="136" t="str">
        <x:v>USA</x:v>
      </x:c>
      <x:c r="E1223" s="136" t="str">
        <x:v>Spawnpoint_WR_USA_Arty_Base</x:v>
      </x:c>
      <x:c r="F1223" s="137" t="n">
        <x:v>1445.7529296875</x:v>
      </x:c>
      <x:c r="G1223" s="137" t="n">
        <x:v>3320.674072265625</x:v>
      </x:c>
      <x:c r="H1223" s="137" t="n">
        <x:v>61.932411193847656</x:v>
      </x:c>
      <x:c r="I1223" s="137" t="n">
        <x:v>1677.7121013085566</x:v>
      </x:c>
      <x:c r="J1223" s="137" t="n">
        <x:v>948.7367716300648</x:v>
      </x:c>
      <x:c r="K1223" s="136" t="str">
        <x:v>map-61</x:v>
      </x:c>
      <x:c r="L1223" s="136" t="str">
        <x:v>DrillCamp | Skirmish | Wagon Road||Artillery | USA Spawnpoint_WR_USA_Arty_Base [map-61/010]</x:v>
      </x:c>
      <x:c r="M1223" s="35"/>
      <x:c r="N1223" s="35"/>
      <x:c r="O1223" s="35"/>
      <x:c r="P1223" s="35"/>
      <x:c r="Q1223" s="35"/>
      <x:c r="R1223" s="35"/>
      <x:c r="S1223" s="35"/>
      <x:c r="T1223" s="35"/>
      <x:c r="U1223" s="35"/>
      <x:c r="V1223" s="35"/>
      <x:c r="W1223" s="35"/>
      <x:c r="X1223" s="35"/>
      <x:c r="Y1223" s="35"/>
      <x:c r="Z1223" s="35"/>
      <x:c r="AA1223" s="35"/>
    </x:row>
    <x:row r="1224">
      <x:c r="A1224" s="136" t="str">
        <x:v>DrillCamp | Skirmish | Wagon Road</x:v>
      </x:c>
      <x:c r="B1224" s="136" t="str">
        <x:v>Spawn | CSA Spawnpoint_WR_Base_CSA_6thAL2 [map-61/011]</x:v>
      </x:c>
      <x:c r="C1224" s="136" t="str">
        <x:v>spawn</x:v>
      </x:c>
      <x:c r="D1224" s="136" t="str">
        <x:v>CSA</x:v>
      </x:c>
      <x:c r="E1224" s="136" t="str">
        <x:v>Spawnpoint_WR_Base_CSA_6thAL2</x:v>
      </x:c>
      <x:c r="F1224" s="137" t="n">
        <x:v>650.534423828125</x:v>
      </x:c>
      <x:c r="G1224" s="137" t="n">
        <x:v>3219.084228515625</x:v>
      </x:c>
      <x:c r="H1224" s="137" t="n">
        <x:v>77.90231323242188</x:v>
      </x:c>
      <x:c r="I1224" s="137" t="n">
        <x:v>244.7247629258285</x:v>
      </x:c>
      <x:c r="J1224" s="137" t="n">
        <x:v>1132.2076709352905</x:v>
      </x:c>
      <x:c r="K1224" s="136" t="str">
        <x:v>map-61</x:v>
      </x:c>
      <x:c r="L1224" s="136" t="str">
        <x:v>DrillCamp | Skirmish | Wagon Road||Spawn | CSA Spawnpoint_WR_Base_CSA_6thAL2 [map-61/011]</x:v>
      </x:c>
      <x:c r="M1224" s="35"/>
      <x:c r="N1224" s="35"/>
      <x:c r="O1224" s="35"/>
      <x:c r="P1224" s="35"/>
      <x:c r="Q1224" s="35"/>
      <x:c r="R1224" s="35"/>
      <x:c r="S1224" s="35"/>
      <x:c r="T1224" s="35"/>
      <x:c r="U1224" s="35"/>
      <x:c r="V1224" s="35"/>
      <x:c r="W1224" s="35"/>
      <x:c r="X1224" s="35"/>
      <x:c r="Y1224" s="35"/>
      <x:c r="Z1224" s="35"/>
      <x:c r="AA1224" s="35"/>
    </x:row>
    <x:row r="1225">
      <x:c r="A1225" s="136" t="str">
        <x:v>DrillCamp | Skirmish | Wagon Road</x:v>
      </x:c>
      <x:c r="B1225" s="136" t="str">
        <x:v>Objective | Skirmish_8_VictorySequence [map-61/012]</x:v>
      </x:c>
      <x:c r="C1225" s="136" t="str">
        <x:v>objective</x:v>
      </x:c>
      <x:c r="D1225" s="136" t="str"/>
      <x:c r="E1225" s="136" t="str">
        <x:v>Skirmish_8_VictorySequence</x:v>
      </x:c>
      <x:c r="F1225" s="137" t="n">
        <x:v>909.6680297851562</x:v>
      </x:c>
      <x:c r="G1225" s="137" t="n">
        <x:v>3229.79345703125</x:v>
      </x:c>
      <x:c r="H1225" s="137" t="n">
        <x:v>69.7269287109375</x:v>
      </x:c>
      <x:c r="I1225" s="137" t="n">
        <x:v>711.8271059578473</x:v>
      </x:c>
      <x:c r="J1225" s="137" t="n">
        <x:v>1112.8668420285928</x:v>
      </x:c>
      <x:c r="K1225" s="136" t="str">
        <x:v>map-61</x:v>
      </x:c>
      <x:c r="L1225" s="136" t="str">
        <x:v>DrillCamp | Skirmish | Wagon Road||Objective | Skirmish_8_VictorySequence [map-61/012]</x:v>
      </x:c>
      <x:c r="M1225" s="35"/>
      <x:c r="N1225" s="35"/>
      <x:c r="O1225" s="35"/>
      <x:c r="P1225" s="35"/>
      <x:c r="Q1225" s="35"/>
      <x:c r="R1225" s="35"/>
      <x:c r="S1225" s="35"/>
      <x:c r="T1225" s="35"/>
      <x:c r="U1225" s="35"/>
      <x:c r="V1225" s="35"/>
      <x:c r="W1225" s="35"/>
      <x:c r="X1225" s="35"/>
      <x:c r="Y1225" s="35"/>
      <x:c r="Z1225" s="35"/>
      <x:c r="AA1225" s="35"/>
    </x:row>
    <x:row r="1226">
      <x:c r="A1226" s="136" t="str">
        <x:v>DrillCamp | Skirmish | Wagon Road</x:v>
      </x:c>
      <x:c r="B1226" s="136" t="str">
        <x:v>Spawn | CSA Spawnpoint_WR_Base_CSA_1stVA [map-61/013]</x:v>
      </x:c>
      <x:c r="C1226" s="136" t="str">
        <x:v>spawn</x:v>
      </x:c>
      <x:c r="D1226" s="136" t="str">
        <x:v>CSA</x:v>
      </x:c>
      <x:c r="E1226" s="136" t="str">
        <x:v>Spawnpoint_WR_Base_CSA_1stVA</x:v>
      </x:c>
      <x:c r="F1226" s="137" t="n">
        <x:v>631.2376098632812</x:v>
      </x:c>
      <x:c r="G1226" s="137" t="n">
        <x:v>3222.33251953125</x:v>
      </x:c>
      <x:c r="H1226" s="137" t="n">
        <x:v>77.809326171875</x:v>
      </x:c>
      <x:c r="I1226" s="137" t="n">
        <x:v>209.91548422121193</x:v>
      </x:c>
      <x:c r="J1226" s="137" t="n">
        <x:v>1126.3412688241856</x:v>
      </x:c>
      <x:c r="K1226" s="136" t="str">
        <x:v>map-61</x:v>
      </x:c>
      <x:c r="L1226" s="136" t="str">
        <x:v>DrillCamp | Skirmish | Wagon Road||Spawn | CSA Spawnpoint_WR_Base_CSA_1stVA [map-61/013]</x:v>
      </x:c>
      <x:c r="M1226" s="35"/>
      <x:c r="N1226" s="35"/>
      <x:c r="O1226" s="35"/>
      <x:c r="P1226" s="35"/>
      <x:c r="Q1226" s="35"/>
      <x:c r="R1226" s="35"/>
      <x:c r="S1226" s="35"/>
      <x:c r="T1226" s="35"/>
      <x:c r="U1226" s="35"/>
      <x:c r="V1226" s="35"/>
      <x:c r="W1226" s="35"/>
      <x:c r="X1226" s="35"/>
      <x:c r="Y1226" s="35"/>
      <x:c r="Z1226" s="35"/>
      <x:c r="AA1226" s="35"/>
    </x:row>
    <x:row r="1227">
      <x:c r="A1227" s="136" t="str">
        <x:v>DrillCamp | Skirmish | Wagon Road</x:v>
      </x:c>
      <x:c r="B1227" s="136" t="str">
        <x:v>Spawn | CSA Spawnpoint_WR_Base_CSA_6thAL1 [map-61/014]</x:v>
      </x:c>
      <x:c r="C1227" s="136" t="str">
        <x:v>spawn</x:v>
      </x:c>
      <x:c r="D1227" s="136" t="str">
        <x:v>CSA</x:v>
      </x:c>
      <x:c r="E1227" s="136" t="str">
        <x:v>Spawnpoint_WR_Base_CSA_6thAL1</x:v>
      </x:c>
      <x:c r="F1227" s="137" t="n">
        <x:v>650.791259765625</x:v>
      </x:c>
      <x:c r="G1227" s="137" t="n">
        <x:v>3204.808349609375</x:v>
      </x:c>
      <x:c r="H1227" s="137" t="n">
        <x:v>77.40715026855469</x:v>
      </x:c>
      <x:c r="I1227" s="137" t="n">
        <x:v>245.27857344317206</x:v>
      </x:c>
      <x:c r="J1227" s="137" t="n">
        <x:v>1157.9898578608627</x:v>
      </x:c>
      <x:c r="K1227" s="136" t="str">
        <x:v>map-61</x:v>
      </x:c>
      <x:c r="L1227" s="136" t="str">
        <x:v>DrillCamp | Skirmish | Wagon Road||Spawn | CSA Spawnpoint_WR_Base_CSA_6thAL1 [map-61/014]</x:v>
      </x:c>
      <x:c r="M1227" s="35"/>
      <x:c r="N1227" s="35"/>
      <x:c r="O1227" s="35"/>
      <x:c r="P1227" s="35"/>
      <x:c r="Q1227" s="35"/>
      <x:c r="R1227" s="35"/>
      <x:c r="S1227" s="35"/>
      <x:c r="T1227" s="35"/>
      <x:c r="U1227" s="35"/>
      <x:c r="V1227" s="35"/>
      <x:c r="W1227" s="35"/>
      <x:c r="X1227" s="35"/>
      <x:c r="Y1227" s="35"/>
      <x:c r="Z1227" s="35"/>
      <x:c r="AA1227" s="35"/>
    </x:row>
    <x:row r="1228">
      <x:c r="A1228" s="136" t="str">
        <x:v>DrillCamp | Skirmish | Wagon Road</x:v>
      </x:c>
      <x:c r="B1228" s="136" t="str">
        <x:v>Spawn | CSA Spawnpoint_WR_Defend_CSA_6thGA1 [map-61/015]</x:v>
      </x:c>
      <x:c r="C1228" s="136" t="str">
        <x:v>spawn</x:v>
      </x:c>
      <x:c r="D1228" s="136" t="str">
        <x:v>CSA</x:v>
      </x:c>
      <x:c r="E1228" s="136" t="str">
        <x:v>Spawnpoint_WR_Defend_CSA_6thGA1</x:v>
      </x:c>
      <x:c r="F1228" s="137" t="n">
        <x:v>916.144775390625</x:v>
      </x:c>
      <x:c r="G1228" s="137" t="n">
        <x:v>3243.280029296875</x:v>
      </x:c>
      <x:c r="H1228" s="137" t="n">
        <x:v>69.02317810058594</x:v>
      </x:c>
      <x:c r="I1228" s="137" t="n">
        <x:v>723.4177293665865</x:v>
      </x:c>
      <x:c r="J1228" s="137" t="n">
        <x:v>1088.5101401105517</x:v>
      </x:c>
      <x:c r="K1228" s="136" t="str">
        <x:v>map-61</x:v>
      </x:c>
      <x:c r="L1228" s="136" t="str">
        <x:v>DrillCamp | Skirmish | Wagon Road||Spawn | CSA Spawnpoint_WR_Defend_CSA_6thGA1 [map-61/015]</x:v>
      </x:c>
      <x:c r="M1228" s="35"/>
      <x:c r="N1228" s="35"/>
      <x:c r="O1228" s="35"/>
      <x:c r="P1228" s="35"/>
      <x:c r="Q1228" s="35"/>
      <x:c r="R1228" s="35"/>
      <x:c r="S1228" s="35"/>
      <x:c r="T1228" s="35"/>
      <x:c r="U1228" s="35"/>
      <x:c r="V1228" s="35"/>
      <x:c r="W1228" s="35"/>
      <x:c r="X1228" s="35"/>
      <x:c r="Y1228" s="35"/>
      <x:c r="Z1228" s="35"/>
      <x:c r="AA1228" s="35"/>
    </x:row>
    <x:row r="1229">
      <x:c r="A1229" s="136" t="str">
        <x:v>DrillCamp | Skirmish | Wagon Road</x:v>
      </x:c>
      <x:c r="B1229" s="136" t="str">
        <x:v>Spawn | USA Spawnpoint_WR_Base_USA_12thNY1 [map-61/016]</x:v>
      </x:c>
      <x:c r="C1229" s="136" t="str">
        <x:v>spawn</x:v>
      </x:c>
      <x:c r="D1229" s="136" t="str">
        <x:v>USA</x:v>
      </x:c>
      <x:c r="E1229" s="136" t="str">
        <x:v>Spawnpoint_WR_Base_USA_12thNY1</x:v>
      </x:c>
      <x:c r="F1229" s="137" t="n">
        <x:v>1410.761474609375</x:v>
      </x:c>
      <x:c r="G1229" s="137" t="n">
        <x:v>3323.493896484375</x:v>
      </x:c>
      <x:c r="H1229" s="137" t="n">
        <x:v>62.40007400512695</x:v>
      </x:c>
      <x:c r="I1229" s="137" t="n">
        <x:v>1614.610983024796</x:v>
      </x:c>
      <x:c r="J1229" s="137" t="n">
        <x:v>943.6441790420708</x:v>
      </x:c>
      <x:c r="K1229" s="136" t="str">
        <x:v>map-61</x:v>
      </x:c>
      <x:c r="L1229" s="136" t="str">
        <x:v>DrillCamp | Skirmish | Wagon Road||Spawn | USA Spawnpoint_WR_Base_USA_12thNY1 [map-61/016]</x:v>
      </x:c>
      <x:c r="M1229" s="35"/>
      <x:c r="N1229" s="35"/>
      <x:c r="O1229" s="35"/>
      <x:c r="P1229" s="35"/>
      <x:c r="Q1229" s="35"/>
      <x:c r="R1229" s="35"/>
      <x:c r="S1229" s="35"/>
      <x:c r="T1229" s="35"/>
      <x:c r="U1229" s="35"/>
      <x:c r="V1229" s="35"/>
      <x:c r="W1229" s="35"/>
      <x:c r="X1229" s="35"/>
      <x:c r="Y1229" s="35"/>
      <x:c r="Z1229" s="35"/>
      <x:c r="AA1229" s="35"/>
    </x:row>
    <x:row r="1230">
      <x:c r="A1230" s="136" t="str">
        <x:v>DrillCamp | Skirmish | Wagon Road</x:v>
      </x:c>
      <x:c r="B1230" s="136" t="str">
        <x:v>Spawn | CSA Spawnpoint_WR_Base_CSA_6thGA2 [map-61/017]</x:v>
      </x:c>
      <x:c r="C1230" s="136" t="str">
        <x:v>spawn</x:v>
      </x:c>
      <x:c r="D1230" s="136" t="str">
        <x:v>CSA</x:v>
      </x:c>
      <x:c r="E1230" s="136" t="str">
        <x:v>Spawnpoint_WR_Base_CSA_6thGA2</x:v>
      </x:c>
      <x:c r="F1230" s="137" t="n">
        <x:v>650.3571166992188</x:v>
      </x:c>
      <x:c r="G1230" s="137" t="n">
        <x:v>3184.647705078125</x:v>
      </x:c>
      <x:c r="H1230" s="137" t="n">
        <x:v>76.60807037353516</x:v>
      </x:c>
      <x:c r="I1230" s="137" t="n">
        <x:v>244.62409739696494</x:v>
      </x:c>
      <x:c r="J1230" s="137" t="n">
        <x:v>1194.3999107380375</x:v>
      </x:c>
      <x:c r="K1230" s="136" t="str">
        <x:v>map-61</x:v>
      </x:c>
      <x:c r="L1230" s="136" t="str">
        <x:v>DrillCamp | Skirmish | Wagon Road||Spawn | CSA Spawnpoint_WR_Base_CSA_6thGA2 [map-61/017]</x:v>
      </x:c>
      <x:c r="M1230" s="35"/>
      <x:c r="N1230" s="35"/>
      <x:c r="O1230" s="35"/>
      <x:c r="P1230" s="35"/>
      <x:c r="Q1230" s="35"/>
      <x:c r="R1230" s="35"/>
      <x:c r="S1230" s="35"/>
      <x:c r="T1230" s="35"/>
      <x:c r="U1230" s="35"/>
      <x:c r="V1230" s="35"/>
      <x:c r="W1230" s="35"/>
      <x:c r="X1230" s="35"/>
      <x:c r="Y1230" s="35"/>
      <x:c r="Z1230" s="35"/>
      <x:c r="AA1230" s="35"/>
    </x:row>
    <x:row r="1231">
      <x:c r="A1231" s="136" t="str">
        <x:v>DrillCamp | Skirmish | Wagon Road</x:v>
      </x:c>
      <x:c r="B1231" s="136" t="str">
        <x:v>Spawn | CSA Spawnpoint_WR_Defend_CSA_6thAL1 [map-61/018]</x:v>
      </x:c>
      <x:c r="C1231" s="136" t="str">
        <x:v>spawn</x:v>
      </x:c>
      <x:c r="D1231" s="136" t="str">
        <x:v>CSA</x:v>
      </x:c>
      <x:c r="E1231" s="136" t="str">
        <x:v>Spawnpoint_WR_Defend_CSA_6thAL1</x:v>
      </x:c>
      <x:c r="F1231" s="137" t="n">
        <x:v>915.1265258789062</x:v>
      </x:c>
      <x:c r="G1231" s="137" t="n">
        <x:v>3214.0693359375</x:v>
      </x:c>
      <x:c r="H1231" s="137" t="n">
        <x:v>70.75837707519531</x:v>
      </x:c>
      <x:c r="I1231" s="137" t="n">
        <x:v>721.7677668987112</x:v>
      </x:c>
      <x:c r="J1231" s="137" t="n">
        <x:v>1141.2645492339905</x:v>
      </x:c>
      <x:c r="K1231" s="136" t="str">
        <x:v>map-61</x:v>
      </x:c>
      <x:c r="L1231" s="136" t="str">
        <x:v>DrillCamp | Skirmish | Wagon Road||Spawn | CSA Spawnpoint_WR_Defend_CSA_6thAL1 [map-61/018]</x:v>
      </x:c>
      <x:c r="M1231" s="35"/>
      <x:c r="N1231" s="35"/>
      <x:c r="O1231" s="35"/>
      <x:c r="P1231" s="35"/>
      <x:c r="Q1231" s="35"/>
      <x:c r="R1231" s="35"/>
      <x:c r="S1231" s="35"/>
      <x:c r="T1231" s="35"/>
      <x:c r="U1231" s="35"/>
      <x:c r="V1231" s="35"/>
      <x:c r="W1231" s="35"/>
      <x:c r="X1231" s="35"/>
      <x:c r="Y1231" s="35"/>
      <x:c r="Z1231" s="35"/>
      <x:c r="AA1231" s="35"/>
    </x:row>
    <x:row r="1232">
      <x:c r="A1232" s="136" t="str">
        <x:v>DrillCamp | Skirmish | Wagon Road</x:v>
      </x:c>
      <x:c r="B1232" s="136" t="str">
        <x:v>Artillery | CSA Spawnpoint_WR_CSA_Arty_Blackshear_Forward [map-61/019]</x:v>
      </x:c>
      <x:c r="C1232" s="136" t="str">
        <x:v>battery</x:v>
      </x:c>
      <x:c r="D1232" s="136" t="str">
        <x:v>CSA</x:v>
      </x:c>
      <x:c r="E1232" s="136" t="str">
        <x:v>Spawnpoint_WR_CSA_Arty_Blackshear_Forward</x:v>
      </x:c>
      <x:c r="F1232" s="137" t="n">
        <x:v>914.6135864257812</x:v>
      </x:c>
      <x:c r="G1232" s="137" t="n">
        <x:v>3167.62890625</x:v>
      </x:c>
      <x:c r="H1232" s="137" t="n">
        <x:v>73.70182800292969</x:v>
      </x:c>
      <x:c r="I1232" s="137" t="n">
        <x:v>721.1383522935312</x:v>
      </x:c>
      <x:c r="J1232" s="137" t="n">
        <x:v>1225.1358013628403</x:v>
      </x:c>
      <x:c r="K1232" s="136" t="str">
        <x:v>map-61</x:v>
      </x:c>
      <x:c r="L1232" s="136" t="str">
        <x:v>DrillCamp | Skirmish | Wagon Road||Artillery | CSA Spawnpoint_WR_CSA_Arty_Blackshear_Forward [map-61/019]</x:v>
      </x:c>
      <x:c r="M1232" s="35"/>
      <x:c r="N1232" s="35"/>
      <x:c r="O1232" s="35"/>
      <x:c r="P1232" s="35"/>
      <x:c r="Q1232" s="35"/>
      <x:c r="R1232" s="35"/>
      <x:c r="S1232" s="35"/>
      <x:c r="T1232" s="35"/>
      <x:c r="U1232" s="35"/>
      <x:c r="V1232" s="35"/>
      <x:c r="W1232" s="35"/>
      <x:c r="X1232" s="35"/>
      <x:c r="Y1232" s="35"/>
      <x:c r="Z1232" s="35"/>
      <x:c r="AA1232" s="35"/>
    </x:row>
    <x:row r="1233">
      <x:c r="A1233" s="136" t="str">
        <x:v>DrillCamp | Skirmish | Wagon Road</x:v>
      </x:c>
      <x:c r="B1233" s="136" t="str">
        <x:v>Spawn | USA Spawnpoint_WR_Mounted_USA_4thPA [map-61/020]</x:v>
      </x:c>
      <x:c r="C1233" s="136" t="str">
        <x:v>spawn</x:v>
      </x:c>
      <x:c r="D1233" s="136" t="str">
        <x:v>USA</x:v>
      </x:c>
      <x:c r="E1233" s="136" t="str">
        <x:v>Spawnpoint_WR_Mounted_USA_4thPA</x:v>
      </x:c>
      <x:c r="F1233" s="137" t="n">
        <x:v>1522.5081787109375</x:v>
      </x:c>
      <x:c r="G1233" s="137" t="n">
        <x:v>3388.197998046875</x:v>
      </x:c>
      <x:c r="H1233" s="137" t="n">
        <x:v>60.77724838256836</x:v>
      </x:c>
      <x:c r="I1233" s="137" t="n">
        <x:v>1815.6583672533764</x:v>
      </x:c>
      <x:c r="J1233" s="137" t="n">
        <x:v>826.7887999588785</x:v>
      </x:c>
      <x:c r="K1233" s="136" t="str">
        <x:v>map-61</x:v>
      </x:c>
      <x:c r="L1233" s="136" t="str">
        <x:v>DrillCamp | Skirmish | Wagon Road||Spawn | USA Spawnpoint_WR_Mounted_USA_4thPA [map-61/020]</x:v>
      </x:c>
      <x:c r="M1233" s="35"/>
      <x:c r="N1233" s="35"/>
      <x:c r="O1233" s="35"/>
      <x:c r="P1233" s="35"/>
      <x:c r="Q1233" s="35"/>
      <x:c r="R1233" s="35"/>
      <x:c r="S1233" s="35"/>
      <x:c r="T1233" s="35"/>
      <x:c r="U1233" s="35"/>
      <x:c r="V1233" s="35"/>
      <x:c r="W1233" s="35"/>
      <x:c r="X1233" s="35"/>
      <x:c r="Y1233" s="35"/>
      <x:c r="Z1233" s="35"/>
      <x:c r="AA1233" s="35"/>
    </x:row>
    <x:row r="1234">
      <x:c r="A1234" s="136" t="str">
        <x:v>DrillCamp | Skirmish | Wagon Road</x:v>
      </x:c>
      <x:c r="B1234" s="136" t="str">
        <x:v>Artillery | USA Spawnpoint_WR_USA_Arty_Graham_Forward [map-61/021]</x:v>
      </x:c>
      <x:c r="C1234" s="136" t="str">
        <x:v>battery</x:v>
      </x:c>
      <x:c r="D1234" s="136" t="str">
        <x:v>USA</x:v>
      </x:c>
      <x:c r="E1234" s="136" t="str">
        <x:v>Spawnpoint_WR_USA_Arty_Graham_Forward</x:v>
      </x:c>
      <x:c r="F1234" s="137" t="n">
        <x:v>1237.45556640625</x:v>
      </x:c>
      <x:c r="G1234" s="137" t="n">
        <x:v>3303.7265625</x:v>
      </x:c>
      <x:c r="H1234" s="137" t="n">
        <x:v>61.77703857421875</x:v>
      </x:c>
      <x:c r="I1234" s="137" t="n">
        <x:v>1302.2978658959846</x:v>
      </x:c>
      <x:c r="J1234" s="137" t="n">
        <x:v>979.3439144595695</x:v>
      </x:c>
      <x:c r="K1234" s="136" t="str">
        <x:v>map-61</x:v>
      </x:c>
      <x:c r="L1234" s="136" t="str">
        <x:v>DrillCamp | Skirmish | Wagon Road||Artillery | USA Spawnpoint_WR_USA_Arty_Graham_Forward [map-61/021]</x:v>
      </x:c>
      <x:c r="M1234" s="35"/>
      <x:c r="N1234" s="35"/>
      <x:c r="O1234" s="35"/>
      <x:c r="P1234" s="35"/>
      <x:c r="Q1234" s="35"/>
      <x:c r="R1234" s="35"/>
      <x:c r="S1234" s="35"/>
      <x:c r="T1234" s="35"/>
      <x:c r="U1234" s="35"/>
      <x:c r="V1234" s="35"/>
      <x:c r="W1234" s="35"/>
      <x:c r="X1234" s="35"/>
      <x:c r="Y1234" s="35"/>
      <x:c r="Z1234" s="35"/>
      <x:c r="AA1234" s="35"/>
    </x:row>
    <x:row r="1235">
      <x:c r="A1235" s="136" t="str">
        <x:v>DrillCamp | Skirmish | Wagon Road</x:v>
      </x:c>
      <x:c r="B1235" s="136" t="str">
        <x:v>Spawn | USA Spawnpoint_WR_Base_USA_12thOH2 [map-61/022]</x:v>
      </x:c>
      <x:c r="C1235" s="136" t="str">
        <x:v>spawn</x:v>
      </x:c>
      <x:c r="D1235" s="136" t="str">
        <x:v>USA</x:v>
      </x:c>
      <x:c r="E1235" s="136" t="str">
        <x:v>Spawnpoint_WR_Base_USA_12thOH2</x:v>
      </x:c>
      <x:c r="F1235" s="137" t="n">
        <x:v>1431.6334228515625</x:v>
      </x:c>
      <x:c r="G1235" s="137" t="n">
        <x:v>3315.8447265625</x:v>
      </x:c>
      <x:c r="H1235" s="137" t="n">
        <x:v>62.905723571777344</x:v>
      </x:c>
      <x:c r="I1235" s="137" t="n">
        <x:v>1652.2879262427018</x:v>
      </x:c>
      <x:c r="J1235" s="137" t="n">
        <x:v>957.4585529273037</x:v>
      </x:c>
      <x:c r="K1235" s="136" t="str">
        <x:v>map-61</x:v>
      </x:c>
      <x:c r="L1235" s="136" t="str">
        <x:v>DrillCamp | Skirmish | Wagon Road||Spawn | USA Spawnpoint_WR_Base_USA_12thOH2 [map-61/022]</x:v>
      </x:c>
      <x:c r="M1235" s="35"/>
      <x:c r="N1235" s="35"/>
      <x:c r="O1235" s="35"/>
      <x:c r="P1235" s="35"/>
      <x:c r="Q1235" s="35"/>
      <x:c r="R1235" s="35"/>
      <x:c r="S1235" s="35"/>
      <x:c r="T1235" s="35"/>
      <x:c r="U1235" s="35"/>
      <x:c r="V1235" s="35"/>
      <x:c r="W1235" s="35"/>
      <x:c r="X1235" s="35"/>
      <x:c r="Y1235" s="35"/>
      <x:c r="Z1235" s="35"/>
      <x:c r="AA1235" s="35"/>
    </x:row>
    <x:row r="1236">
      <x:c r="A1236" s="136" t="str">
        <x:v>DrillCamp | Skirmish | Wagon Road</x:v>
      </x:c>
      <x:c r="B1236" s="136" t="str">
        <x:v>Spawn | CSA Spawnpoint_WR_Defend_CSA_6thGA2 [map-61/023]</x:v>
      </x:c>
      <x:c r="C1236" s="136" t="str">
        <x:v>spawn</x:v>
      </x:c>
      <x:c r="D1236" s="136" t="str">
        <x:v>CSA</x:v>
      </x:c>
      <x:c r="E1236" s="136" t="str">
        <x:v>Spawnpoint_WR_Defend_CSA_6thGA2</x:v>
      </x:c>
      <x:c r="F1236" s="137" t="n">
        <x:v>899.4954833984375</x:v>
      </x:c>
      <x:c r="G1236" s="137" t="n">
        <x:v>3242.393798828125</x:v>
      </x:c>
      <x:c r="H1236" s="137" t="n">
        <x:v>70.23161315917969</x:v>
      </x:c>
      <x:c r="I1236" s="137" t="n">
        <x:v>693.4077400324283</x:v>
      </x:c>
      <x:c r="J1236" s="137" t="n">
        <x:v>1090.1106692096355</x:v>
      </x:c>
      <x:c r="K1236" s="136" t="str">
        <x:v>map-61</x:v>
      </x:c>
      <x:c r="L1236" s="136" t="str">
        <x:v>DrillCamp | Skirmish | Wagon Road||Spawn | CSA Spawnpoint_WR_Defend_CSA_6thGA2 [map-61/023]</x:v>
      </x:c>
      <x:c r="M1236" s="35"/>
      <x:c r="N1236" s="35"/>
      <x:c r="O1236" s="35"/>
      <x:c r="P1236" s="35"/>
      <x:c r="Q1236" s="35"/>
      <x:c r="R1236" s="35"/>
      <x:c r="S1236" s="35"/>
      <x:c r="T1236" s="35"/>
      <x:c r="U1236" s="35"/>
      <x:c r="V1236" s="35"/>
      <x:c r="W1236" s="35"/>
      <x:c r="X1236" s="35"/>
      <x:c r="Y1236" s="35"/>
      <x:c r="Z1236" s="35"/>
      <x:c r="AA1236" s="35"/>
    </x:row>
    <x:row r="1237">
      <x:c r="A1237" s="136" t="str">
        <x:v>DrillCamp | Skirmish | Wagon Road</x:v>
      </x:c>
      <x:c r="B1237" s="136" t="str">
        <x:v>Gun | 12-pounder Napoleon (USA) · Entity-1386 [map-61/024]</x:v>
      </x:c>
      <x:c r="C1237" s="136" t="str">
        <x:v>gun_spawn</x:v>
      </x:c>
      <x:c r="D1237" s="136" t="str"/>
      <x:c r="E1237" s="136" t="str">
        <x:v>12-pounder Napoleon (USA) · Entity-1386</x:v>
      </x:c>
      <x:c r="F1237" s="137" t="n">
        <x:v>1213.788818359375</x:v>
      </x:c>
      <x:c r="G1237" s="137" t="n">
        <x:v>3325.303955078125</x:v>
      </x:c>
      <x:c r="H1237" s="137" t="n">
        <x:v>63.66218948364258</x:v>
      </x:c>
      <x:c r="I1237" s="137" t="n">
        <x:v>1259.4938388014416</x:v>
      </x:c>
      <x:c r="J1237" s="137" t="n">
        <x:v>940.3752196093966</x:v>
      </x:c>
      <x:c r="K1237" s="136" t="str">
        <x:v>map-61</x:v>
      </x:c>
      <x:c r="L1237" s="136" t="str">
        <x:v>DrillCamp | Skirmish | Wagon Road||Gun | 12-pounder Napoleon (USA) · Entity-1386 [map-61/024]</x:v>
      </x:c>
      <x:c r="M1237" s="35"/>
      <x:c r="N1237" s="35"/>
      <x:c r="O1237" s="35"/>
      <x:c r="P1237" s="35"/>
      <x:c r="Q1237" s="35"/>
      <x:c r="R1237" s="35"/>
      <x:c r="S1237" s="35"/>
      <x:c r="T1237" s="35"/>
      <x:c r="U1237" s="35"/>
      <x:c r="V1237" s="35"/>
      <x:c r="W1237" s="35"/>
      <x:c r="X1237" s="35"/>
      <x:c r="Y1237" s="35"/>
      <x:c r="Z1237" s="35"/>
      <x:c r="AA1237" s="35"/>
    </x:row>
    <x:row r="1238">
      <x:c r="A1238" s="136" t="str">
        <x:v>DrillCamp | Skirmish | Wagon Road</x:v>
      </x:c>
      <x:c r="B1238" s="136" t="str">
        <x:v>Gun | 3-inch Ordnance · Entity-1394 [map-61/025]</x:v>
      </x:c>
      <x:c r="C1238" s="136" t="str">
        <x:v>gun_spawn</x:v>
      </x:c>
      <x:c r="D1238" s="136" t="str"/>
      <x:c r="E1238" s="136" t="str">
        <x:v>3-inch Ordnance · Entity-1394</x:v>
      </x:c>
      <x:c r="F1238" s="137" t="n">
        <x:v>1168.8046875</x:v>
      </x:c>
      <x:c r="G1238" s="137" t="n">
        <x:v>3165.47119140625</x:v>
      </x:c>
      <x:c r="H1238" s="137" t="n">
        <x:v>64.38240814208984</x:v>
      </x:c>
      <x:c r="I1238" s="137" t="n">
        <x:v>1179.4120867139302</x:v>
      </x:c>
      <x:c r="J1238" s="137" t="n">
        <x:v>1229.0326267561468</x:v>
      </x:c>
      <x:c r="K1238" s="136" t="str">
        <x:v>map-61</x:v>
      </x:c>
      <x:c r="L1238" s="136" t="str">
        <x:v>DrillCamp | Skirmish | Wagon Road||Gun | 3-inch Ordnance · Entity-1394 [map-61/025]</x:v>
      </x:c>
      <x:c r="M1238" s="35"/>
      <x:c r="N1238" s="35"/>
      <x:c r="O1238" s="35"/>
      <x:c r="P1238" s="35"/>
      <x:c r="Q1238" s="35"/>
      <x:c r="R1238" s="35"/>
      <x:c r="S1238" s="35"/>
      <x:c r="T1238" s="35"/>
      <x:c r="U1238" s="35"/>
      <x:c r="V1238" s="35"/>
      <x:c r="W1238" s="35"/>
      <x:c r="X1238" s="35"/>
      <x:c r="Y1238" s="35"/>
      <x:c r="Z1238" s="35"/>
      <x:c r="AA1238" s="35"/>
    </x:row>
    <x:row r="1239">
      <x:c r="A1239" s="136" t="str">
        <x:v>DrillCamp | Skirmish | Wagon Road</x:v>
      </x:c>
      <x:c r="B1239" s="136" t="str">
        <x:v>Gun | 12-pounder Napoleon (USA) · Entity-1385 [map-61/026]</x:v>
      </x:c>
      <x:c r="C1239" s="136" t="str">
        <x:v>gun_spawn</x:v>
      </x:c>
      <x:c r="D1239" s="136" t="str"/>
      <x:c r="E1239" s="136" t="str">
        <x:v>12-pounder Napoleon (USA) · Entity-1385</x:v>
      </x:c>
      <x:c r="F1239" s="137" t="n">
        <x:v>1217.4722900390625</x:v>
      </x:c>
      <x:c r="G1239" s="137" t="n">
        <x:v>3306.4892578125</x:v>
      </x:c>
      <x:c r="H1239" s="137" t="n">
        <x:v>62.09062194824219</x:v>
      </x:c>
      <x:c r="I1239" s="137" t="n">
        <x:v>1266.2541091425164</x:v>
      </x:c>
      <x:c r="J1239" s="137" t="n">
        <x:v>974.3544964746569</x:v>
      </x:c>
      <x:c r="K1239" s="136" t="str">
        <x:v>map-61</x:v>
      </x:c>
      <x:c r="L1239" s="136" t="str">
        <x:v>DrillCamp | Skirmish | Wagon Road||Gun | 12-pounder Napoleon (USA) · Entity-1385 [map-61/026]</x:v>
      </x:c>
      <x:c r="M1239" s="35"/>
      <x:c r="N1239" s="35"/>
      <x:c r="O1239" s="35"/>
      <x:c r="P1239" s="35"/>
      <x:c r="Q1239" s="35"/>
      <x:c r="R1239" s="35"/>
      <x:c r="S1239" s="35"/>
      <x:c r="T1239" s="35"/>
      <x:c r="U1239" s="35"/>
      <x:c r="V1239" s="35"/>
      <x:c r="W1239" s="35"/>
      <x:c r="X1239" s="35"/>
      <x:c r="Y1239" s="35"/>
      <x:c r="Z1239" s="35"/>
      <x:c r="AA1239" s="35"/>
    </x:row>
    <x:row r="1240">
      <x:c r="A1240" s="136" t="str">
        <x:v>DrillCamp | Skirmish | Wagon Road</x:v>
      </x:c>
      <x:c r="B1240" s="136" t="str">
        <x:v>Gun | 12-pounder Napoleon (CSA) · Entity-1414 [map-61/027]</x:v>
      </x:c>
      <x:c r="C1240" s="136" t="str">
        <x:v>gun_spawn</x:v>
      </x:c>
      <x:c r="D1240" s="136" t="str"/>
      <x:c r="E1240" s="136" t="str">
        <x:v>12-pounder Napoleon (CSA) · Entity-1414</x:v>
      </x:c>
      <x:c r="F1240" s="137" t="n">
        <x:v>949.9032592773438</x:v>
      </x:c>
      <x:c r="G1240" s="137" t="n">
        <x:v>3175.094482421875</x:v>
      </x:c>
      <x:c r="H1240" s="137" t="n">
        <x:v>72.894775390625</x:v>
      </x:c>
      <x:c r="I1240" s="137" t="n">
        <x:v>784.7116962927543</x:v>
      </x:c>
      <x:c r="J1240" s="137" t="n">
        <x:v>1211.652997142211</x:v>
      </x:c>
      <x:c r="K1240" s="136" t="str">
        <x:v>map-61</x:v>
      </x:c>
      <x:c r="L1240" s="136" t="str">
        <x:v>DrillCamp | Skirmish | Wagon Road||Gun | 12-pounder Napoleon (CSA) · Entity-1414 [map-61/027]</x:v>
      </x:c>
      <x:c r="M1240" s="35"/>
      <x:c r="N1240" s="35"/>
      <x:c r="O1240" s="35"/>
      <x:c r="P1240" s="35"/>
      <x:c r="Q1240" s="35"/>
      <x:c r="R1240" s="35"/>
      <x:c r="S1240" s="35"/>
      <x:c r="T1240" s="35"/>
      <x:c r="U1240" s="35"/>
      <x:c r="V1240" s="35"/>
      <x:c r="W1240" s="35"/>
      <x:c r="X1240" s="35"/>
      <x:c r="Y1240" s="35"/>
      <x:c r="Z1240" s="35"/>
      <x:c r="AA1240" s="35"/>
    </x:row>
    <x:row r="1241">
      <x:c r="A1241" s="136" t="str">
        <x:v>DrillCamp | Skirmish | Wagon Road</x:v>
      </x:c>
      <x:c r="B1241" s="136" t="str">
        <x:v>Gun | 12-pounder Napoleon (CSA) · Entity-1409 [map-61/028]</x:v>
      </x:c>
      <x:c r="C1241" s="136" t="str">
        <x:v>gun_spawn</x:v>
      </x:c>
      <x:c r="D1241" s="136" t="str"/>
      <x:c r="E1241" s="136" t="str">
        <x:v>12-pounder Napoleon (CSA) · Entity-1409</x:v>
      </x:c>
      <x:c r="F1241" s="137" t="n">
        <x:v>953.986572265625</x:v>
      </x:c>
      <x:c r="G1241" s="137" t="n">
        <x:v>3161.1533203125</x:v>
      </x:c>
      <x:c r="H1241" s="137" t="n">
        <x:v>73.80615234375</x:v>
      </x:c>
      <x:c r="I1241" s="137" t="n">
        <x:v>792.1618157982882</x:v>
      </x:c>
      <x:c r="J1241" s="137" t="n">
        <x:v>1236.830686713832</x:v>
      </x:c>
      <x:c r="K1241" s="136" t="str">
        <x:v>map-61</x:v>
      </x:c>
      <x:c r="L1241" s="136" t="str">
        <x:v>DrillCamp | Skirmish | Wagon Road||Gun | 12-pounder Napoleon (CSA) · Entity-1409 [map-61/028]</x:v>
      </x:c>
      <x:c r="M1241" s="35"/>
      <x:c r="N1241" s="35"/>
      <x:c r="O1241" s="35"/>
      <x:c r="P1241" s="35"/>
      <x:c r="Q1241" s="35"/>
      <x:c r="R1241" s="35"/>
      <x:c r="S1241" s="35"/>
      <x:c r="T1241" s="35"/>
      <x:c r="U1241" s="35"/>
      <x:c r="V1241" s="35"/>
      <x:c r="W1241" s="35"/>
      <x:c r="X1241" s="35"/>
      <x:c r="Y1241" s="35"/>
      <x:c r="Z1241" s="35"/>
      <x:c r="AA1241" s="35"/>
    </x:row>
    <x:row r="1242">
      <x:c r="A1242" s="136" t="str">
        <x:v>DrillCamp | Skirmish | Wagon Road</x:v>
      </x:c>
      <x:c r="B1242" s="136" t="str">
        <x:v>Gun | 3-inch Ordnance · Entity-1393 [map-61/029]</x:v>
      </x:c>
      <x:c r="C1242" s="136" t="str">
        <x:v>gun_spawn</x:v>
      </x:c>
      <x:c r="D1242" s="136" t="str"/>
      <x:c r="E1242" s="136" t="str">
        <x:v>3-inch Ordnance · Entity-1393</x:v>
      </x:c>
      <x:c r="F1242" s="137" t="n">
        <x:v>1169.4117431640625</x:v>
      </x:c>
      <x:c r="G1242" s="137" t="n">
        <x:v>3158.089599609375</x:v>
      </x:c>
      <x:c r="H1242" s="137" t="n">
        <x:v>65.11563873291016</x:v>
      </x:c>
      <x:c r="I1242" s="137" t="n">
        <x:v>1180.5534375193379</x:v>
      </x:c>
      <x:c r="J1242" s="137" t="n">
        <x:v>1242.3637554919044</x:v>
      </x:c>
      <x:c r="K1242" s="136" t="str">
        <x:v>map-61</x:v>
      </x:c>
      <x:c r="L1242" s="136" t="str">
        <x:v>DrillCamp | Skirmish | Wagon Road||Gun | 3-inch Ordnance · Entity-1393 [map-61/029]</x:v>
      </x:c>
      <x:c r="M1242" s="35"/>
      <x:c r="N1242" s="35"/>
      <x:c r="O1242" s="35"/>
      <x:c r="P1242" s="35"/>
      <x:c r="Q1242" s="35"/>
      <x:c r="R1242" s="35"/>
      <x:c r="S1242" s="35"/>
      <x:c r="T1242" s="35"/>
      <x:c r="U1242" s="35"/>
      <x:c r="V1242" s="35"/>
      <x:c r="W1242" s="35"/>
      <x:c r="X1242" s="35"/>
      <x:c r="Y1242" s="35"/>
      <x:c r="Z1242" s="35"/>
      <x:c r="AA1242" s="35"/>
    </x:row>
    <x:row r="1243">
      <x:c r="A1243" s="136" t="str">
        <x:v>DrillCamp | Skirmish | Wagon Road</x:v>
      </x:c>
      <x:c r="B1243" s="136" t="str">
        <x:v>Gun | 3-inch Ordnance · Entity-1400 [map-61/030]</x:v>
      </x:c>
      <x:c r="C1243" s="136" t="str">
        <x:v>gun_spawn</x:v>
      </x:c>
      <x:c r="D1243" s="136" t="str"/>
      <x:c r="E1243" s="136" t="str">
        <x:v>3-inch Ordnance · Entity-1400</x:v>
      </x:c>
      <x:c r="F1243" s="137" t="n">
        <x:v>885.0695190429688</x:v>
      </x:c>
      <x:c r="G1243" s="137" t="n">
        <x:v>3121.8232421875</x:v>
      </x:c>
      <x:c r="H1243" s="137" t="n">
        <x:v>81.15459442138672</x:v>
      </x:c>
      <x:c r="I1243" s="137" t="n">
        <x:v>668.1670930246937</x:v>
      </x:c>
      <x:c r="J1243" s="137" t="n">
        <x:v>1307.8606690130075</x:v>
      </x:c>
      <x:c r="K1243" s="136" t="str">
        <x:v>map-61</x:v>
      </x:c>
      <x:c r="L1243" s="136" t="str">
        <x:v>DrillCamp | Skirmish | Wagon Road||Gun | 3-inch Ordnance · Entity-1400 [map-61/030]</x:v>
      </x:c>
      <x:c r="M1243" s="35"/>
      <x:c r="N1243" s="35"/>
      <x:c r="O1243" s="35"/>
      <x:c r="P1243" s="35"/>
      <x:c r="Q1243" s="35"/>
      <x:c r="R1243" s="35"/>
      <x:c r="S1243" s="35"/>
      <x:c r="T1243" s="35"/>
      <x:c r="U1243" s="35"/>
      <x:c r="V1243" s="35"/>
      <x:c r="W1243" s="35"/>
      <x:c r="X1243" s="35"/>
      <x:c r="Y1243" s="35"/>
      <x:c r="Z1243" s="35"/>
      <x:c r="AA1243" s="35"/>
    </x:row>
    <x:row r="1244">
      <x:c r="A1244" s="136" t="str">
        <x:v>DrillCamp | Skirmish | Wagon Road</x:v>
      </x:c>
      <x:c r="B1244" s="136" t="str">
        <x:v>Gun | 12-pounder Napoleon (CSA) · Entity-1401 [map-61/031]</x:v>
      </x:c>
      <x:c r="C1244" s="136" t="str">
        <x:v>gun_spawn</x:v>
      </x:c>
      <x:c r="D1244" s="136" t="str"/>
      <x:c r="E1244" s="136" t="str">
        <x:v>12-pounder Napoleon (CSA) · Entity-1401</x:v>
      </x:c>
      <x:c r="F1244" s="137" t="n">
        <x:v>887.3401489257812</x:v>
      </x:c>
      <x:c r="G1244" s="137" t="n">
        <x:v>3115.176025390625</x:v>
      </x:c>
      <x:c r="H1244" s="137" t="n">
        <x:v>82.52610778808594</x:v>
      </x:c>
      <x:c r="I1244" s="137" t="n">
        <x:v>672.302893553135</x:v>
      </x:c>
      <x:c r="J1244" s="137" t="n">
        <x:v>1319.8655190903507</x:v>
      </x:c>
      <x:c r="K1244" s="136" t="str">
        <x:v>map-61</x:v>
      </x:c>
      <x:c r="L1244" s="136" t="str">
        <x:v>DrillCamp | Skirmish | Wagon Road||Gun | 12-pounder Napoleon (CSA) · Entity-1401 [map-61/031]</x:v>
      </x:c>
      <x:c r="M1244" s="35"/>
      <x:c r="N1244" s="35"/>
      <x:c r="O1244" s="35"/>
      <x:c r="P1244" s="35"/>
      <x:c r="Q1244" s="35"/>
      <x:c r="R1244" s="35"/>
      <x:c r="S1244" s="35"/>
      <x:c r="T1244" s="35"/>
      <x:c r="U1244" s="35"/>
      <x:c r="V1244" s="35"/>
      <x:c r="W1244" s="35"/>
      <x:c r="X1244" s="35"/>
      <x:c r="Y1244" s="35"/>
      <x:c r="Z1244" s="35"/>
      <x:c r="AA1244" s="35"/>
    </x:row>
    <x:row r="1245">
      <x:c r="A1245" s="136" t="str">
        <x:v>DrillCamp | Skirmish | Wagon Road</x:v>
      </x:c>
      <x:c r="B1245" s="136" t="str">
        <x:v>Gun | 3-inch Ordnance · Entity-1410 [map-61/032]</x:v>
      </x:c>
      <x:c r="C1245" s="136" t="str">
        <x:v>gun_spawn</x:v>
      </x:c>
      <x:c r="D1245" s="136" t="str"/>
      <x:c r="E1245" s="136" t="str">
        <x:v>3-inch Ordnance · Entity-1410</x:v>
      </x:c>
      <x:c r="F1245" s="137" t="n">
        <x:v>951.716064453125</x:v>
      </x:c>
      <x:c r="G1245" s="137" t="n">
        <x:v>3167.800537109375</x:v>
      </x:c>
      <x:c r="H1245" s="137" t="n">
        <x:v>73.28898620605469</x:v>
      </x:c>
      <x:c r="I1245" s="137" t="n">
        <x:v>788.0262353402694</x:v>
      </x:c>
      <x:c r="J1245" s="137" t="n">
        <x:v>1224.8258366364887</x:v>
      </x:c>
      <x:c r="K1245" s="136" t="str">
        <x:v>map-61</x:v>
      </x:c>
      <x:c r="L1245" s="136" t="str">
        <x:v>DrillCamp | Skirmish | Wagon Road||Gun | 3-inch Ordnance · Entity-1410 [map-61/032]</x:v>
      </x:c>
      <x:c r="M1245" s="35"/>
      <x:c r="N1245" s="35"/>
      <x:c r="O1245" s="35"/>
      <x:c r="P1245" s="35"/>
      <x:c r="Q1245" s="35"/>
      <x:c r="R1245" s="35"/>
      <x:c r="S1245" s="35"/>
      <x:c r="T1245" s="35"/>
      <x:c r="U1245" s="35"/>
      <x:c r="V1245" s="35"/>
      <x:c r="W1245" s="35"/>
      <x:c r="X1245" s="35"/>
      <x:c r="Y1245" s="35"/>
      <x:c r="Z1245" s="35"/>
      <x:c r="AA1245" s="35"/>
    </x:row>
    <x:row r="1246">
      <x:c r="A1246" s="136" t="str">
        <x:v>DrillCamp | Skirmish | Wagon Road</x:v>
      </x:c>
      <x:c r="B1246" s="136" t="str">
        <x:v>Gun | 10-pounder Parrott · Entity-1381 [map-61/033]</x:v>
      </x:c>
      <x:c r="C1246" s="136" t="str">
        <x:v>gun_spawn</x:v>
      </x:c>
      <x:c r="D1246" s="136" t="str"/>
      <x:c r="E1246" s="136" t="str">
        <x:v>10-pounder Parrott · Entity-1381</x:v>
      </x:c>
      <x:c r="F1246" s="137" t="n">
        <x:v>1220.64306640625</x:v>
      </x:c>
      <x:c r="G1246" s="137" t="n">
        <x:v>3291.247314453125</x:v>
      </x:c>
      <x:c r="H1246" s="137" t="n">
        <x:v>60.883541107177734</x:v>
      </x:c>
      <x:c r="I1246" s="137" t="n">
        <x:v>1272.0673640577231</x:v>
      </x:c>
      <x:c r="J1246" s="137" t="n">
        <x:v>1001.8813923933628</x:v>
      </x:c>
      <x:c r="K1246" s="136" t="str">
        <x:v>map-61</x:v>
      </x:c>
      <x:c r="L1246" s="136" t="str">
        <x:v>DrillCamp | Skirmish | Wagon Road||Gun | 10-pounder Parrott · Entity-1381 [map-61/033]</x:v>
      </x:c>
      <x:c r="M1246" s="35"/>
      <x:c r="N1246" s="35"/>
      <x:c r="O1246" s="35"/>
      <x:c r="P1246" s="35"/>
      <x:c r="Q1246" s="35"/>
      <x:c r="R1246" s="35"/>
      <x:c r="S1246" s="35"/>
      <x:c r="T1246" s="35"/>
      <x:c r="U1246" s="35"/>
      <x:c r="V1246" s="35"/>
      <x:c r="W1246" s="35"/>
      <x:c r="X1246" s="35"/>
      <x:c r="Y1246" s="35"/>
      <x:c r="Z1246" s="35"/>
      <x:c r="AA1246" s="35"/>
    </x:row>
    <x:row r="1247">
      <x:c r="A1247" s="136" t="str">
        <x:v>DrillCamp | Skirmish | Wagon Road</x:v>
      </x:c>
      <x:c r="B1247" s="136" t="str">
        <x:v>Gun | 12-pounder Napoleon (CSA) · Entity-1408 [map-61/034]</x:v>
      </x:c>
      <x:c r="C1247" s="136" t="str">
        <x:v>gun_spawn</x:v>
      </x:c>
      <x:c r="D1247" s="136" t="str"/>
      <x:c r="E1247" s="136" t="str">
        <x:v>12-pounder Napoleon (CSA) · Entity-1408</x:v>
      </x:c>
      <x:c r="F1247" s="137" t="n">
        <x:v>956.0372924804688</x:v>
      </x:c>
      <x:c r="G1247" s="137" t="n">
        <x:v>3153.688720703125</x:v>
      </x:c>
      <x:c r="H1247" s="137" t="n">
        <x:v>74.21309661865234</x:v>
      </x:c>
      <x:c r="I1247" s="137" t="n">
        <x:v>795.906357314317</x:v>
      </x:c>
      <x:c r="J1247" s="137" t="n">
        <x:v>1250.3117272660324</x:v>
      </x:c>
      <x:c r="K1247" s="136" t="str">
        <x:v>map-61</x:v>
      </x:c>
      <x:c r="L1247" s="136" t="str">
        <x:v>DrillCamp | Skirmish | Wagon Road||Gun | 12-pounder Napoleon (CSA) · Entity-1408 [map-61/034]</x:v>
      </x:c>
      <x:c r="M1247" s="35"/>
      <x:c r="N1247" s="35"/>
      <x:c r="O1247" s="35"/>
      <x:c r="P1247" s="35"/>
      <x:c r="Q1247" s="35"/>
      <x:c r="R1247" s="35"/>
      <x:c r="S1247" s="35"/>
      <x:c r="T1247" s="35"/>
      <x:c r="U1247" s="35"/>
      <x:c r="V1247" s="35"/>
      <x:c r="W1247" s="35"/>
      <x:c r="X1247" s="35"/>
      <x:c r="Y1247" s="35"/>
      <x:c r="Z1247" s="35"/>
      <x:c r="AA1247" s="35"/>
    </x:row>
    <x:row r="1248">
      <x:c r="A1248" s="136" t="str">
        <x:v>DrillCamp | Skirmish | Wagon Road</x:v>
      </x:c>
      <x:c r="B1248" s="136" t="str">
        <x:v>Gun | 12-pounder Napoleon (USA) · Entity-1384 [map-61/035]</x:v>
      </x:c>
      <x:c r="C1248" s="136" t="str">
        <x:v>gun_spawn</x:v>
      </x:c>
      <x:c r="D1248" s="136" t="str"/>
      <x:c r="E1248" s="136" t="str">
        <x:v>12-pounder Napoleon (USA) · Entity-1384</x:v>
      </x:c>
      <x:c r="F1248" s="137" t="n">
        <x:v>1215.4910888671875</x:v>
      </x:c>
      <x:c r="G1248" s="137" t="n">
        <x:v>3315.790283203125</x:v>
      </x:c>
      <x:c r="H1248" s="137" t="n">
        <x:v>62.93757247924805</x:v>
      </x:c>
      <x:c r="I1248" s="137" t="n">
        <x:v>1262.623219638881</x:v>
      </x:c>
      <x:c r="J1248" s="137" t="n">
        <x:v>957.5568774422061</x:v>
      </x:c>
      <x:c r="K1248" s="136" t="str">
        <x:v>map-61</x:v>
      </x:c>
      <x:c r="L1248" s="136" t="str">
        <x:v>DrillCamp | Skirmish | Wagon Road||Gun | 12-pounder Napoleon (USA) · Entity-1384 [map-61/035]</x:v>
      </x:c>
      <x:c r="M1248" s="35"/>
      <x:c r="N1248" s="35"/>
      <x:c r="O1248" s="35"/>
      <x:c r="P1248" s="35"/>
      <x:c r="Q1248" s="35"/>
      <x:c r="R1248" s="35"/>
      <x:c r="S1248" s="35"/>
      <x:c r="T1248" s="35"/>
      <x:c r="U1248" s="35"/>
      <x:c r="V1248" s="35"/>
      <x:c r="W1248" s="35"/>
      <x:c r="X1248" s="35"/>
      <x:c r="Y1248" s="35"/>
      <x:c r="Z1248" s="35"/>
      <x:c r="AA1248" s="35"/>
    </x:row>
    <x:row r="1249">
      <x:c r="A1249" s="136" t="str">
        <x:v>DrillCamp | Skirmish | Wagon Road</x:v>
      </x:c>
      <x:c r="B1249" s="136" t="str">
        <x:v>Gun | 10-pounder Parrott · Entity-1383 [map-61/036]</x:v>
      </x:c>
      <x:c r="C1249" s="136" t="str">
        <x:v>gun_spawn</x:v>
      </x:c>
      <x:c r="D1249" s="136" t="str"/>
      <x:c r="E1249" s="136" t="str">
        <x:v>10-pounder Parrott · Entity-1383</x:v>
      </x:c>
      <x:c r="F1249" s="137" t="n">
        <x:v>1219.1785888671875</x:v>
      </x:c>
      <x:c r="G1249" s="137" t="n">
        <x:v>3298.501953125</x:v>
      </x:c>
      <x:c r="H1249" s="137" t="n">
        <x:v>61.40133285522461</x:v>
      </x:c>
      <x:c r="I1249" s="137" t="n">
        <x:v>1269.3810459174415</x:v>
      </x:c>
      <x:c r="J1249" s="137" t="n">
        <x:v>988.7795405533419</x:v>
      </x:c>
      <x:c r="K1249" s="136" t="str">
        <x:v>map-61</x:v>
      </x:c>
      <x:c r="L1249" s="136" t="str">
        <x:v>DrillCamp | Skirmish | Wagon Road||Gun | 10-pounder Parrott · Entity-1383 [map-61/036]</x:v>
      </x:c>
      <x:c r="M1249" s="35"/>
      <x:c r="N1249" s="35"/>
      <x:c r="O1249" s="35"/>
      <x:c r="P1249" s="35"/>
      <x:c r="Q1249" s="35"/>
      <x:c r="R1249" s="35"/>
      <x:c r="S1249" s="35"/>
      <x:c r="T1249" s="35"/>
      <x:c r="U1249" s="35"/>
      <x:c r="V1249" s="35"/>
      <x:c r="W1249" s="35"/>
      <x:c r="X1249" s="35"/>
      <x:c r="Y1249" s="35"/>
      <x:c r="Z1249" s="35"/>
      <x:c r="AA1249" s="35"/>
    </x:row>
    <x:row r="1250">
      <x:c r="A1250" s="136" t="str">
        <x:v>DrillCamp | Skirmish | Wagon Road</x:v>
      </x:c>
      <x:c r="B1250" s="136" t="str">
        <x:v>Gun | 12-pounder Napoleon (CSA) · Entity-1415 [map-61/037]</x:v>
      </x:c>
      <x:c r="C1250" s="136" t="str">
        <x:v>gun_spawn</x:v>
      </x:c>
      <x:c r="D1250" s="136" t="str"/>
      <x:c r="E1250" s="136" t="str">
        <x:v>12-pounder Napoleon (CSA) · Entity-1415</x:v>
      </x:c>
      <x:c r="F1250" s="137" t="n">
        <x:v>947.8525390625</x:v>
      </x:c>
      <x:c r="G1250" s="137" t="n">
        <x:v>3182.559326171875</x:v>
      </x:c>
      <x:c r="H1250" s="137" t="n">
        <x:v>72.73075103759766</x:v>
      </x:c>
      <x:c r="I1250" s="137" t="n">
        <x:v>780.9671532242004</x:v>
      </x:c>
      <x:c r="J1250" s="137" t="n">
        <x:v>1198.1715156729033</x:v>
      </x:c>
      <x:c r="K1250" s="136" t="str">
        <x:v>map-61</x:v>
      </x:c>
      <x:c r="L1250" s="136" t="str">
        <x:v>DrillCamp | Skirmish | Wagon Road||Gun | 12-pounder Napoleon (CSA) · Entity-1415 [map-61/037]</x:v>
      </x:c>
      <x:c r="M1250" s="35"/>
      <x:c r="N1250" s="35"/>
      <x:c r="O1250" s="35"/>
      <x:c r="P1250" s="35"/>
      <x:c r="Q1250" s="35"/>
      <x:c r="R1250" s="35"/>
      <x:c r="S1250" s="35"/>
      <x:c r="T1250" s="35"/>
      <x:c r="U1250" s="35"/>
      <x:c r="V1250" s="35"/>
      <x:c r="W1250" s="35"/>
      <x:c r="X1250" s="35"/>
      <x:c r="Y1250" s="35"/>
      <x:c r="Z1250" s="35"/>
      <x:c r="AA1250" s="35"/>
    </x:row>
    <x:row r="1251">
      <x:c r="A1251" s="136" t="str">
        <x:v>DrillCamp | Skirmish | Wagon Road</x:v>
      </x:c>
      <x:c r="B1251" s="136" t="str">
        <x:v>Gun | 12-pounder Napoleon (USA) · Entity-1395 [map-61/038]</x:v>
      </x:c>
      <x:c r="C1251" s="136" t="str">
        <x:v>gun_spawn</x:v>
      </x:c>
      <x:c r="D1251" s="136" t="str"/>
      <x:c r="E1251" s="136" t="str">
        <x:v>12-pounder Napoleon (USA) · Entity-1395</x:v>
      </x:c>
      <x:c r="F1251" s="137" t="n">
        <x:v>1168.038818359375</x:v>
      </x:c>
      <x:c r="G1251" s="137" t="n">
        <x:v>3173.613525390625</x:v>
      </x:c>
      <x:c r="H1251" s="137" t="n">
        <x:v>63.4637451171875</x:v>
      </x:c>
      <x:c r="I1251" s="137" t="n">
        <x:v>1177.9795866208253</x:v>
      </x:c>
      <x:c r="J1251" s="137" t="n">
        <x:v>1214.327600314399</x:v>
      </x:c>
      <x:c r="K1251" s="136" t="str">
        <x:v>map-61</x:v>
      </x:c>
      <x:c r="L1251" s="136" t="str">
        <x:v>DrillCamp | Skirmish | Wagon Road||Gun | 12-pounder Napoleon (USA) · Entity-1395 [map-61/038]</x:v>
      </x:c>
      <x:c r="M1251" s="35"/>
      <x:c r="N1251" s="35"/>
      <x:c r="O1251" s="35"/>
      <x:c r="P1251" s="35"/>
      <x:c r="Q1251" s="35"/>
      <x:c r="R1251" s="35"/>
      <x:c r="S1251" s="35"/>
      <x:c r="T1251" s="35"/>
      <x:c r="U1251" s="35"/>
      <x:c r="V1251" s="35"/>
      <x:c r="W1251" s="35"/>
      <x:c r="X1251" s="35"/>
      <x:c r="Y1251" s="35"/>
      <x:c r="Z1251" s="35"/>
      <x:c r="AA1251" s="35"/>
    </x:row>
    <x:row r="1252">
      <x:c r="A1252" s="136" t="str">
        <x:v>DrillCamp | Skirmish | Wagon Road</x:v>
      </x:c>
      <x:c r="B1252" s="136" t="str">
        <x:v>Gun | 10-pounder Parrott · Entity-1382 [map-61/039]</x:v>
      </x:c>
      <x:c r="C1252" s="136" t="str">
        <x:v>gun_spawn</x:v>
      </x:c>
      <x:c r="D1252" s="136" t="str"/>
      <x:c r="E1252" s="136" t="str">
        <x:v>10-pounder Parrott · Entity-1382</x:v>
      </x:c>
      <x:c r="F1252" s="137" t="n">
        <x:v>1221.8629150390625</x:v>
      </x:c>
      <x:c r="G1252" s="137" t="n">
        <x:v>3284.605224609375</x:v>
      </x:c>
      <x:c r="H1252" s="137" t="n">
        <x:v>60.734832763671875</x:v>
      </x:c>
      <x:c r="I1252" s="137" t="n">
        <x:v>1274.3087657859558</x:v>
      </x:c>
      <x:c r="J1252" s="137" t="n">
        <x:v>1013.876983211455</x:v>
      </x:c>
      <x:c r="K1252" s="136" t="str">
        <x:v>map-61</x:v>
      </x:c>
      <x:c r="L1252" s="136" t="str">
        <x:v>DrillCamp | Skirmish | Wagon Road||Gun | 10-pounder Parrott · Entity-1382 [map-61/039]</x:v>
      </x:c>
      <x:c r="M1252" s="35"/>
      <x:c r="N1252" s="35"/>
      <x:c r="O1252" s="35"/>
      <x:c r="P1252" s="35"/>
      <x:c r="Q1252" s="35"/>
      <x:c r="R1252" s="35"/>
      <x:c r="S1252" s="35"/>
      <x:c r="T1252" s="35"/>
      <x:c r="U1252" s="35"/>
      <x:c r="V1252" s="35"/>
      <x:c r="W1252" s="35"/>
      <x:c r="X1252" s="35"/>
      <x:c r="Y1252" s="35"/>
      <x:c r="Z1252" s="35"/>
      <x:c r="AA1252" s="35"/>
    </x:row>
    <x:row r="1253">
      <x:c r="A1253" s="136" t="str">
        <x:v>DrillCamp | Skirmish | Wagon Road</x:v>
      </x:c>
      <x:c r="B1253" s="136" t="str">
        <x:v>Gun | 12-pounder Napoleon (CSA) · Entity-1399 [map-61/040]</x:v>
      </x:c>
      <x:c r="C1253" s="136" t="str">
        <x:v>gun_spawn</x:v>
      </x:c>
      <x:c r="D1253" s="136" t="str"/>
      <x:c r="E1253" s="136" t="str">
        <x:v>12-pounder Napoleon (CSA) · Entity-1399</x:v>
      </x:c>
      <x:c r="F1253" s="137" t="n">
        <x:v>889.3909301757812</x:v>
      </x:c>
      <x:c r="G1253" s="137" t="n">
        <x:v>3107.71142578125</x:v>
      </x:c>
      <x:c r="H1253" s="137" t="n">
        <x:v>83.9437484741211</x:v>
      </x:c>
      <x:c r="I1253" s="137" t="n">
        <x:v>676.0475451043752</x:v>
      </x:c>
      <x:c r="J1253" s="137" t="n">
        <x:v>1333.3465596425513</x:v>
      </x:c>
      <x:c r="K1253" s="136" t="str">
        <x:v>map-61</x:v>
      </x:c>
      <x:c r="L1253" s="136" t="str">
        <x:v>DrillCamp | Skirmish | Wagon Road||Gun | 12-pounder Napoleon (CSA) · Entity-1399 [map-61/040]</x:v>
      </x:c>
      <x:c r="M1253" s="35"/>
      <x:c r="N1253" s="35"/>
      <x:c r="O1253" s="35"/>
      <x:c r="P1253" s="35"/>
      <x:c r="Q1253" s="35"/>
      <x:c r="R1253" s="35"/>
      <x:c r="S1253" s="35"/>
      <x:c r="T1253" s="35"/>
      <x:c r="U1253" s="35"/>
      <x:c r="V1253" s="35"/>
      <x:c r="W1253" s="35"/>
      <x:c r="X1253" s="35"/>
      <x:c r="Y1253" s="35"/>
      <x:c r="Z1253" s="35"/>
      <x:c r="AA1253" s="35"/>
    </x:row>
    <x:row r="1254">
      <x:c r="A1254" s="136" t="str">
        <x:v>DrillCamp | Skirmish | Wagon Road</x:v>
      </x:c>
      <x:c r="B1254" s="136" t="str">
        <x:v>Gun | 3-inch Ordnance · Entity-1416 [map-61/041]</x:v>
      </x:c>
      <x:c r="C1254" s="136" t="str">
        <x:v>gun_spawn</x:v>
      </x:c>
      <x:c r="D1254" s="136" t="str"/>
      <x:c r="E1254" s="136" t="str">
        <x:v>3-inch Ordnance · Entity-1416</x:v>
      </x:c>
      <x:c r="F1254" s="137" t="n">
        <x:v>945.5819702148438</x:v>
      </x:c>
      <x:c r="G1254" s="137" t="n">
        <x:v>3189.206298828125</x:v>
      </x:c>
      <x:c r="H1254" s="137" t="n">
        <x:v>72.16515350341797</x:v>
      </x:c>
      <x:c r="I1254" s="137" t="n">
        <x:v>776.8314642834953</x:v>
      </x:c>
      <x:c r="J1254" s="137" t="n">
        <x:v>1186.1671065126675</x:v>
      </x:c>
      <x:c r="K1254" s="136" t="str">
        <x:v>map-61</x:v>
      </x:c>
      <x:c r="L1254" s="136" t="str">
        <x:v>DrillCamp | Skirmish | Wagon Road||Gun | 3-inch Ordnance · Entity-1416 [map-61/041]</x:v>
      </x:c>
      <x:c r="M1254" s="35"/>
      <x:c r="N1254" s="35"/>
      <x:c r="O1254" s="35"/>
      <x:c r="P1254" s="35"/>
      <x:c r="Q1254" s="35"/>
      <x:c r="R1254" s="35"/>
      <x:c r="S1254" s="35"/>
      <x:c r="T1254" s="35"/>
      <x:c r="U1254" s="35"/>
      <x:c r="V1254" s="35"/>
      <x:c r="W1254" s="35"/>
      <x:c r="X1254" s="35"/>
      <x:c r="Y1254" s="35"/>
      <x:c r="Z1254" s="35"/>
      <x:c r="AA1254" s="35"/>
    </x:row>
    <x:row r="1255">
      <x:c r="A1255" s="136" t="str">
        <x:v>DrillCamp | Skirmish | Crossley Creek</x:v>
      </x:c>
      <x:c r="B1255" s="136" t="str">
        <x:v>Spawn | CSA Spawnpoint_CC_Defend_CSA_8thAL1 [map-62/001]</x:v>
      </x:c>
      <x:c r="C1255" s="136" t="str">
        <x:v>spawn</x:v>
      </x:c>
      <x:c r="D1255" s="136" t="str">
        <x:v>CSA</x:v>
      </x:c>
      <x:c r="E1255" s="136" t="str">
        <x:v>Spawnpoint_CC_Defend_CSA_8thAL1</x:v>
      </x:c>
      <x:c r="F1255" s="137" t="n">
        <x:v>2059.3330078125</x:v>
      </x:c>
      <x:c r="G1255" s="137" t="n">
        <x:v>3071.5556640625</x:v>
      </x:c>
      <x:c r="H1255" s="137" t="n">
        <x:v>51.85682678222656</x:v>
      </x:c>
      <x:c r="I1255" s="137" t="n">
        <x:v>1007.1432393704198</x:v>
      </x:c>
      <x:c r="J1255" s="137" t="n">
        <x:v>1365.2179376770105</x:v>
      </x:c>
      <x:c r="K1255" s="136" t="str">
        <x:v>map-62</x:v>
      </x:c>
      <x:c r="L1255" s="136" t="str">
        <x:v>DrillCamp | Skirmish | Crossley Creek||Spawn | CSA Spawnpoint_CC_Defend_CSA_8thAL1 [map-62/001]</x:v>
      </x:c>
      <x:c r="M1255" s="35"/>
      <x:c r="N1255" s="35"/>
      <x:c r="O1255" s="35"/>
      <x:c r="P1255" s="35"/>
      <x:c r="Q1255" s="35"/>
      <x:c r="R1255" s="35"/>
      <x:c r="S1255" s="35"/>
      <x:c r="T1255" s="35"/>
      <x:c r="U1255" s="35"/>
      <x:c r="V1255" s="35"/>
      <x:c r="W1255" s="35"/>
      <x:c r="X1255" s="35"/>
      <x:c r="Y1255" s="35"/>
      <x:c r="Z1255" s="35"/>
      <x:c r="AA1255" s="35"/>
    </x:row>
    <x:row r="1256">
      <x:c r="A1256" s="136" t="str">
        <x:v>DrillCamp | Skirmish | Crossley Creek</x:v>
      </x:c>
      <x:c r="B1256" s="136" t="str">
        <x:v>Artillery | USA Spawnpoint_CC_USA_Arty_McGilvery_Forward [map-62/002]</x:v>
      </x:c>
      <x:c r="C1256" s="136" t="str">
        <x:v>battery</x:v>
      </x:c>
      <x:c r="D1256" s="136" t="str">
        <x:v>USA</x:v>
      </x:c>
      <x:c r="E1256" s="136" t="str">
        <x:v>Spawnpoint_CC_USA_Arty_McGilvery_Forward</x:v>
      </x:c>
      <x:c r="F1256" s="137" t="n">
        <x:v>1969.3931884765625</x:v>
      </x:c>
      <x:c r="G1256" s="137" t="n">
        <x:v>3274.879638671875</x:v>
      </x:c>
      <x:c r="H1256" s="137" t="n">
        <x:v>48.631961822509766</x:v>
      </x:c>
      <x:c r="I1256" s="137" t="n">
        <x:v>844.0643665000508</x:v>
      </x:c>
      <x:c r="J1256" s="137" t="n">
        <x:v>997.8717486001043</x:v>
      </x:c>
      <x:c r="K1256" s="136" t="str">
        <x:v>map-62</x:v>
      </x:c>
      <x:c r="L1256" s="136" t="str">
        <x:v>DrillCamp | Skirmish | Crossley Creek||Artillery | USA Spawnpoint_CC_USA_Arty_McGilvery_Forward [map-62/002]</x:v>
      </x:c>
      <x:c r="M1256" s="35"/>
      <x:c r="N1256" s="35"/>
      <x:c r="O1256" s="35"/>
      <x:c r="P1256" s="35"/>
      <x:c r="Q1256" s="35"/>
      <x:c r="R1256" s="35"/>
      <x:c r="S1256" s="35"/>
      <x:c r="T1256" s="35"/>
      <x:c r="U1256" s="35"/>
      <x:c r="V1256" s="35"/>
      <x:c r="W1256" s="35"/>
      <x:c r="X1256" s="35"/>
      <x:c r="Y1256" s="35"/>
      <x:c r="Z1256" s="35"/>
      <x:c r="AA1256" s="35"/>
    </x:row>
    <x:row r="1257">
      <x:c r="A1257" s="136" t="str">
        <x:v>DrillCamp | Skirmish | Crossley Creek</x:v>
      </x:c>
      <x:c r="B1257" s="136" t="str">
        <x:v>Artillery | CSA Spawnpoint_CC_CSA_Arty_Boyce_Forward [map-62/003]</x:v>
      </x:c>
      <x:c r="C1257" s="136" t="str">
        <x:v>battery</x:v>
      </x:c>
      <x:c r="D1257" s="136" t="str">
        <x:v>CSA</x:v>
      </x:c>
      <x:c r="E1257" s="136" t="str">
        <x:v>Spawnpoint_CC_CSA_Arty_Boyce_Forward</x:v>
      </x:c>
      <x:c r="F1257" s="137" t="n">
        <x:v>2065.894287109375</x:v>
      </x:c>
      <x:c r="G1257" s="137" t="n">
        <x:v>2956.783935546875</x:v>
      </x:c>
      <x:c r="H1257" s="137" t="n">
        <x:v>47.12205505371094</x:v>
      </x:c>
      <x:c r="I1257" s="137" t="n">
        <x:v>1019.3584739314324</x:v>
      </x:c>
      <x:c r="J1257" s="137" t="n">
        <x:v>1572.506046156767</x:v>
      </x:c>
      <x:c r="K1257" s="136" t="str">
        <x:v>map-62</x:v>
      </x:c>
      <x:c r="L1257" s="136" t="str">
        <x:v>DrillCamp | Skirmish | Crossley Creek||Artillery | CSA Spawnpoint_CC_CSA_Arty_Boyce_Forward [map-62/003]</x:v>
      </x:c>
      <x:c r="M1257" s="35"/>
      <x:c r="N1257" s="35"/>
      <x:c r="O1257" s="35"/>
      <x:c r="P1257" s="35"/>
      <x:c r="Q1257" s="35"/>
      <x:c r="R1257" s="35"/>
      <x:c r="S1257" s="35"/>
      <x:c r="T1257" s="35"/>
      <x:c r="U1257" s="35"/>
      <x:c r="V1257" s="35"/>
      <x:c r="W1257" s="35"/>
      <x:c r="X1257" s="35"/>
      <x:c r="Y1257" s="35"/>
      <x:c r="Z1257" s="35"/>
      <x:c r="AA1257" s="35"/>
    </x:row>
    <x:row r="1258">
      <x:c r="A1258" s="136" t="str">
        <x:v>DrillCamp | Skirmish | Crossley Creek</x:v>
      </x:c>
      <x:c r="B1258" s="136" t="str">
        <x:v>Spawn | USA Spawnpoint_CC_Base_USA_28thMA2 [map-62/004]</x:v>
      </x:c>
      <x:c r="C1258" s="136" t="str">
        <x:v>spawn</x:v>
      </x:c>
      <x:c r="D1258" s="136" t="str">
        <x:v>USA</x:v>
      </x:c>
      <x:c r="E1258" s="136" t="str">
        <x:v>Spawnpoint_CC_Base_USA_28thMA2</x:v>
      </x:c>
      <x:c r="F1258" s="137" t="n">
        <x:v>1965.074462890625</x:v>
      </x:c>
      <x:c r="G1258" s="137" t="n">
        <x:v>3629.593505859375</x:v>
      </x:c>
      <x:c r="H1258" s="137" t="n">
        <x:v>50.15748977661133</x:v>
      </x:c>
      <x:c r="I1258" s="137" t="n">
        <x:v>835.1349228773305</x:v>
      </x:c>
      <x:c r="J1258" s="137" t="n">
        <x:v>357.2518819483795</x:v>
      </x:c>
      <x:c r="K1258" s="136" t="str">
        <x:v>map-62</x:v>
      </x:c>
      <x:c r="L1258" s="136" t="str">
        <x:v>DrillCamp | Skirmish | Crossley Creek||Spawn | USA Spawnpoint_CC_Base_USA_28thMA2 [map-62/004]</x:v>
      </x:c>
      <x:c r="M1258" s="35"/>
      <x:c r="N1258" s="35"/>
      <x:c r="O1258" s="35"/>
      <x:c r="P1258" s="35"/>
      <x:c r="Q1258" s="35"/>
      <x:c r="R1258" s="35"/>
      <x:c r="S1258" s="35"/>
      <x:c r="T1258" s="35"/>
      <x:c r="U1258" s="35"/>
      <x:c r="V1258" s="35"/>
      <x:c r="W1258" s="35"/>
      <x:c r="X1258" s="35"/>
      <x:c r="Y1258" s="35"/>
      <x:c r="Z1258" s="35"/>
      <x:c r="AA1258" s="35"/>
    </x:row>
    <x:row r="1259">
      <x:c r="A1259" s="136" t="str">
        <x:v>DrillCamp | Skirmish | Crossley Creek</x:v>
      </x:c>
      <x:c r="B1259" s="136" t="str">
        <x:v>Objective | Skirmish_9_VictorySequence [map-62/005]</x:v>
      </x:c>
      <x:c r="C1259" s="136" t="str">
        <x:v>objective</x:v>
      </x:c>
      <x:c r="D1259" s="136" t="str"/>
      <x:c r="E1259" s="136" t="str">
        <x:v>Skirmish_9_VictorySequence</x:v>
      </x:c>
      <x:c r="F1259" s="137" t="n">
        <x:v>2067.54296875</x:v>
      </x:c>
      <x:c r="G1259" s="137" t="n">
        <x:v>3072.088134765625</x:v>
      </x:c>
      <x:c r="H1259" s="137" t="n">
        <x:v>51.270164489746094</x:v>
      </x:c>
      <x:c r="I1259" s="137" t="n">
        <x:v>1021.968726894758</x:v>
      </x:c>
      <x:c r="J1259" s="137" t="n">
        <x:v>1364.2693710816889</x:v>
      </x:c>
      <x:c r="K1259" s="136" t="str">
        <x:v>map-62</x:v>
      </x:c>
      <x:c r="L1259" s="136" t="str">
        <x:v>DrillCamp | Skirmish | Crossley Creek||Objective | Skirmish_9_VictorySequence [map-62/005]</x:v>
      </x:c>
      <x:c r="M1259" s="35"/>
      <x:c r="N1259" s="35"/>
      <x:c r="O1259" s="35"/>
      <x:c r="P1259" s="35"/>
      <x:c r="Q1259" s="35"/>
      <x:c r="R1259" s="35"/>
      <x:c r="S1259" s="35"/>
      <x:c r="T1259" s="35"/>
      <x:c r="U1259" s="35"/>
      <x:c r="V1259" s="35"/>
      <x:c r="W1259" s="35"/>
      <x:c r="X1259" s="35"/>
      <x:c r="Y1259" s="35"/>
      <x:c r="Z1259" s="35"/>
      <x:c r="AA1259" s="35"/>
    </x:row>
    <x:row r="1260">
      <x:c r="A1260" s="136" t="str">
        <x:v>DrillCamp | Skirmish | Crossley Creek</x:v>
      </x:c>
      <x:c r="B1260" s="136" t="str">
        <x:v>Spawn | CSA Spawnpoint_CC_Defend_CSA_8thAL2 [map-62/006]</x:v>
      </x:c>
      <x:c r="C1260" s="136" t="str">
        <x:v>spawn</x:v>
      </x:c>
      <x:c r="D1260" s="136" t="str">
        <x:v>CSA</x:v>
      </x:c>
      <x:c r="E1260" s="136" t="str">
        <x:v>Spawnpoint_CC_Defend_CSA_8thAL2</x:v>
      </x:c>
      <x:c r="F1260" s="137" t="n">
        <x:v>2044.1278076171875</x:v>
      </x:c>
      <x:c r="G1260" s="137" t="n">
        <x:v>3071.123291015625</x:v>
      </x:c>
      <x:c r="H1260" s="137" t="n">
        <x:v>51.953731536865234</x:v>
      </x:c>
      <x:c r="I1260" s="137" t="n">
        <x:v>979.6840359549276</x:v>
      </x:c>
      <x:c r="J1260" s="137" t="n">
        <x:v>1365.9745874211628</x:v>
      </x:c>
      <x:c r="K1260" s="136" t="str">
        <x:v>map-62</x:v>
      </x:c>
      <x:c r="L1260" s="136" t="str">
        <x:v>DrillCamp | Skirmish | Crossley Creek||Spawn | CSA Spawnpoint_CC_Defend_CSA_8thAL2 [map-62/006]</x:v>
      </x:c>
      <x:c r="M1260" s="35"/>
      <x:c r="N1260" s="35"/>
      <x:c r="O1260" s="35"/>
      <x:c r="P1260" s="35"/>
      <x:c r="Q1260" s="35"/>
      <x:c r="R1260" s="35"/>
      <x:c r="S1260" s="35"/>
      <x:c r="T1260" s="35"/>
      <x:c r="U1260" s="35"/>
      <x:c r="V1260" s="35"/>
      <x:c r="W1260" s="35"/>
      <x:c r="X1260" s="35"/>
      <x:c r="Y1260" s="35"/>
      <x:c r="Z1260" s="35"/>
      <x:c r="AA1260" s="35"/>
    </x:row>
    <x:row r="1261">
      <x:c r="A1261" s="136" t="str">
        <x:v>DrillCamp | Skirmish | Crossley Creek</x:v>
      </x:c>
      <x:c r="B1261" s="136" t="str">
        <x:v>Spawn | USA Spawnpoint_CC_Base_USA_28thMA1 [map-62/007]</x:v>
      </x:c>
      <x:c r="C1261" s="136" t="str">
        <x:v>spawn</x:v>
      </x:c>
      <x:c r="D1261" s="136" t="str">
        <x:v>USA</x:v>
      </x:c>
      <x:c r="E1261" s="136" t="str">
        <x:v>Spawnpoint_CC_Base_USA_28thMA1</x:v>
      </x:c>
      <x:c r="F1261" s="137" t="n">
        <x:v>1966.8819580078125</x:v>
      </x:c>
      <x:c r="G1261" s="137" t="n">
        <x:v>3610.0146484375</x:v>
      </x:c>
      <x:c r="H1261" s="137" t="n">
        <x:v>50.904510498046875</x:v>
      </x:c>
      <x:c r="I1261" s="137" t="n">
        <x:v>838.4616199870233</x:v>
      </x:c>
      <x:c r="J1261" s="137" t="n">
        <x:v>392.614162952961</x:v>
      </x:c>
      <x:c r="K1261" s="136" t="str">
        <x:v>map-62</x:v>
      </x:c>
      <x:c r="L1261" s="136" t="str">
        <x:v>DrillCamp | Skirmish | Crossley Creek||Spawn | USA Spawnpoint_CC_Base_USA_28thMA1 [map-62/007]</x:v>
      </x:c>
      <x:c r="M1261" s="35"/>
      <x:c r="N1261" s="35"/>
      <x:c r="O1261" s="35"/>
      <x:c r="P1261" s="35"/>
      <x:c r="Q1261" s="35"/>
      <x:c r="R1261" s="35"/>
      <x:c r="S1261" s="35"/>
      <x:c r="T1261" s="35"/>
      <x:c r="U1261" s="35"/>
      <x:c r="V1261" s="35"/>
      <x:c r="W1261" s="35"/>
      <x:c r="X1261" s="35"/>
      <x:c r="Y1261" s="35"/>
      <x:c r="Z1261" s="35"/>
      <x:c r="AA1261" s="35"/>
    </x:row>
    <x:row r="1262">
      <x:c r="A1262" s="136" t="str">
        <x:v>DrillCamp | Skirmish | Crossley Creek</x:v>
      </x:c>
      <x:c r="B1262" s="136" t="str">
        <x:v>Artillery | USA Spawnpoint_CC_USA_Arty_Base2 [map-62/008]</x:v>
      </x:c>
      <x:c r="C1262" s="136" t="str">
        <x:v>battery</x:v>
      </x:c>
      <x:c r="D1262" s="136" t="str">
        <x:v>USA</x:v>
      </x:c>
      <x:c r="E1262" s="136" t="str">
        <x:v>Spawnpoint_CC_USA_Arty_Base2</x:v>
      </x:c>
      <x:c r="F1262" s="137" t="n">
        <x:v>1991.353271484375</x:v>
      </x:c>
      <x:c r="G1262" s="137" t="n">
        <x:v>3649.010986328125</x:v>
      </x:c>
      <x:c r="H1262" s="137" t="n">
        <x:v>48.305870056152344</x:v>
      </x:c>
      <x:c r="I1262" s="137" t="n">
        <x:v>882.5325840577902</x:v>
      </x:c>
      <x:c r="J1262" s="137" t="n">
        <x:v>322.2257776033879</x:v>
      </x:c>
      <x:c r="K1262" s="136" t="str">
        <x:v>map-62</x:v>
      </x:c>
      <x:c r="L1262" s="136" t="str">
        <x:v>DrillCamp | Skirmish | Crossley Creek||Artillery | USA Spawnpoint_CC_USA_Arty_Base2 [map-62/008]</x:v>
      </x:c>
      <x:c r="M1262" s="35"/>
      <x:c r="N1262" s="35"/>
      <x:c r="O1262" s="35"/>
      <x:c r="P1262" s="35"/>
      <x:c r="Q1262" s="35"/>
      <x:c r="R1262" s="35"/>
      <x:c r="S1262" s="35"/>
      <x:c r="T1262" s="35"/>
      <x:c r="U1262" s="35"/>
      <x:c r="V1262" s="35"/>
      <x:c r="W1262" s="35"/>
      <x:c r="X1262" s="35"/>
      <x:c r="Y1262" s="35"/>
      <x:c r="Z1262" s="35"/>
      <x:c r="AA1262" s="35"/>
    </x:row>
    <x:row r="1263">
      <x:c r="A1263" s="136" t="str">
        <x:v>DrillCamp | Skirmish | Crossley Creek</x:v>
      </x:c>
      <x:c r="B1263" s="136" t="str">
        <x:v>Spawn | CSA Spawnpoint_CC_Defend_CSA_33rdVA1 [map-62/009]</x:v>
      </x:c>
      <x:c r="C1263" s="136" t="str">
        <x:v>spawn</x:v>
      </x:c>
      <x:c r="D1263" s="136" t="str">
        <x:v>CSA</x:v>
      </x:c>
      <x:c r="E1263" s="136" t="str">
        <x:v>Spawnpoint_CC_Defend_CSA_33rdVA1</x:v>
      </x:c>
      <x:c r="F1263" s="137" t="n">
        <x:v>2087.4306640625</x:v>
      </x:c>
      <x:c r="G1263" s="137" t="n">
        <x:v>3072.343994140625</x:v>
      </x:c>
      <x:c r="H1263" s="137" t="n">
        <x:v>51.12799072265625</x:v>
      </x:c>
      <x:c r="I1263" s="137" t="n">
        <x:v>1057.8850753479355</x:v>
      </x:c>
      <x:c r="J1263" s="137" t="n">
        <x:v>1363.8389622020632</x:v>
      </x:c>
      <x:c r="K1263" s="136" t="str">
        <x:v>map-62</x:v>
      </x:c>
      <x:c r="L1263" s="136" t="str">
        <x:v>DrillCamp | Skirmish | Crossley Creek||Spawn | CSA Spawnpoint_CC_Defend_CSA_33rdVA1 [map-62/009]</x:v>
      </x:c>
      <x:c r="M1263" s="35"/>
      <x:c r="N1263" s="35"/>
      <x:c r="O1263" s="35"/>
      <x:c r="P1263" s="35"/>
      <x:c r="Q1263" s="35"/>
      <x:c r="R1263" s="35"/>
      <x:c r="S1263" s="35"/>
      <x:c r="T1263" s="35"/>
      <x:c r="U1263" s="35"/>
      <x:c r="V1263" s="35"/>
      <x:c r="W1263" s="35"/>
      <x:c r="X1263" s="35"/>
      <x:c r="Y1263" s="35"/>
      <x:c r="Z1263" s="35"/>
      <x:c r="AA1263" s="35"/>
    </x:row>
    <x:row r="1264">
      <x:c r="A1264" s="136" t="str">
        <x:v>DrillCamp | Skirmish | Crossley Creek</x:v>
      </x:c>
      <x:c r="B1264" s="136" t="str">
        <x:v>Spawn | USA Spawnpoint_CC_Base_USA_69thNY1 [map-62/010]</x:v>
      </x:c>
      <x:c r="C1264" s="136" t="str">
        <x:v>spawn</x:v>
      </x:c>
      <x:c r="D1264" s="136" t="str">
        <x:v>USA</x:v>
      </x:c>
      <x:c r="E1264" s="136" t="str">
        <x:v>Spawnpoint_CC_Base_USA_69thNY1</x:v>
      </x:c>
      <x:c r="F1264" s="137" t="n">
        <x:v>1976.099365234375</x:v>
      </x:c>
      <x:c r="G1264" s="137" t="n">
        <x:v>3611.178466796875</x:v>
      </x:c>
      <x:c r="H1264" s="137" t="n">
        <x:v>49.858375549316406</x:v>
      </x:c>
      <x:c r="I1264" s="137" t="n">
        <x:v>855.1045438265111</x:v>
      </x:c>
      <x:c r="J1264" s="137" t="n">
        <x:v>390.5269873951617</x:v>
      </x:c>
      <x:c r="K1264" s="136" t="str">
        <x:v>map-62</x:v>
      </x:c>
      <x:c r="L1264" s="136" t="str">
        <x:v>DrillCamp | Skirmish | Crossley Creek||Spawn | USA Spawnpoint_CC_Base_USA_69thNY1 [map-62/010]</x:v>
      </x:c>
      <x:c r="M1264" s="35"/>
      <x:c r="N1264" s="35"/>
      <x:c r="O1264" s="35"/>
      <x:c r="P1264" s="35"/>
      <x:c r="Q1264" s="35"/>
      <x:c r="R1264" s="35"/>
      <x:c r="S1264" s="35"/>
      <x:c r="T1264" s="35"/>
      <x:c r="U1264" s="35"/>
      <x:c r="V1264" s="35"/>
      <x:c r="W1264" s="35"/>
      <x:c r="X1264" s="35"/>
      <x:c r="Y1264" s="35"/>
      <x:c r="Z1264" s="35"/>
      <x:c r="AA1264" s="35"/>
    </x:row>
    <x:row r="1265">
      <x:c r="A1265" s="136" t="str">
        <x:v>DrillCamp | Skirmish | Crossley Creek</x:v>
      </x:c>
      <x:c r="B1265" s="136" t="str">
        <x:v>Spawn | CSA Spawnpoint_CC_Base_CSA_8thAL2 [map-62/011]</x:v>
      </x:c>
      <x:c r="C1265" s="136" t="str">
        <x:v>spawn</x:v>
      </x:c>
      <x:c r="D1265" s="136" t="str">
        <x:v>CSA</x:v>
      </x:c>
      <x:c r="E1265" s="136" t="str">
        <x:v>Spawnpoint_CC_Base_CSA_8thAL2</x:v>
      </x:c>
      <x:c r="F1265" s="137" t="n">
        <x:v>2078.346435546875</x:v>
      </x:c>
      <x:c r="G1265" s="137" t="n">
        <x:v>2832.593017578125</x:v>
      </x:c>
      <x:c r="H1265" s="137" t="n">
        <x:v>42.995887756347656</x:v>
      </x:c>
      <x:c r="I1265" s="137" t="n">
        <x:v>1042.2426157533585</x:v>
      </x:c>
      <x:c r="J1265" s="137" t="n">
        <x:v>1796.8145857514878</x:v>
      </x:c>
      <x:c r="K1265" s="136" t="str">
        <x:v>map-62</x:v>
      </x:c>
      <x:c r="L1265" s="136" t="str">
        <x:v>DrillCamp | Skirmish | Crossley Creek||Spawn | CSA Spawnpoint_CC_Base_CSA_8thAL2 [map-62/011]</x:v>
      </x:c>
      <x:c r="M1265" s="35"/>
      <x:c r="N1265" s="35"/>
      <x:c r="O1265" s="35"/>
      <x:c r="P1265" s="35"/>
      <x:c r="Q1265" s="35"/>
      <x:c r="R1265" s="35"/>
      <x:c r="S1265" s="35"/>
      <x:c r="T1265" s="35"/>
      <x:c r="U1265" s="35"/>
      <x:c r="V1265" s="35"/>
      <x:c r="W1265" s="35"/>
      <x:c r="X1265" s="35"/>
      <x:c r="Y1265" s="35"/>
      <x:c r="Z1265" s="35"/>
      <x:c r="AA1265" s="35"/>
    </x:row>
    <x:row r="1266">
      <x:c r="A1266" s="136" t="str">
        <x:v>DrillCamp | Skirmish | Crossley Creek</x:v>
      </x:c>
      <x:c r="B1266" s="136" t="str">
        <x:v>Spawn | CSA Spawnpoint_CC_Base_CSA_33rdVA1 [map-62/012]</x:v>
      </x:c>
      <x:c r="C1266" s="136" t="str">
        <x:v>spawn</x:v>
      </x:c>
      <x:c r="D1266" s="136" t="str">
        <x:v>CSA</x:v>
      </x:c>
      <x:c r="E1266" s="136" t="str">
        <x:v>Spawnpoint_CC_Base_CSA_33rdVA1</x:v>
      </x:c>
      <x:c r="F1266" s="137" t="n">
        <x:v>2088.2900390625</x:v>
      </x:c>
      <x:c r="G1266" s="137" t="n">
        <x:v>2866.28271484375</x:v>
      </x:c>
      <x:c r="H1266" s="137" t="n">
        <x:v>43.04051971435547</x:v>
      </x:c>
      <x:c r="I1266" s="137" t="n">
        <x:v>1060.093448714733</x:v>
      </x:c>
      <x:c r="J1266" s="137" t="n">
        <x:v>1735.9868528468226</x:v>
      </x:c>
      <x:c r="K1266" s="136" t="str">
        <x:v>map-62</x:v>
      </x:c>
      <x:c r="L1266" s="136" t="str">
        <x:v>DrillCamp | Skirmish | Crossley Creek||Spawn | CSA Spawnpoint_CC_Base_CSA_33rdVA1 [map-62/012]</x:v>
      </x:c>
      <x:c r="M1266" s="35"/>
      <x:c r="N1266" s="35"/>
      <x:c r="O1266" s="35"/>
      <x:c r="P1266" s="35"/>
      <x:c r="Q1266" s="35"/>
      <x:c r="R1266" s="35"/>
      <x:c r="S1266" s="35"/>
      <x:c r="T1266" s="35"/>
      <x:c r="U1266" s="35"/>
      <x:c r="V1266" s="35"/>
      <x:c r="W1266" s="35"/>
      <x:c r="X1266" s="35"/>
      <x:c r="Y1266" s="35"/>
      <x:c r="Z1266" s="35"/>
      <x:c r="AA1266" s="35"/>
    </x:row>
    <x:row r="1267">
      <x:c r="A1267" s="136" t="str">
        <x:v>DrillCamp | Skirmish | Crossley Creek</x:v>
      </x:c>
      <x:c r="B1267" s="136" t="str">
        <x:v>Artillery | CSA Spawnpoint_CC_CSA_Arty_Base2 [map-62/013]</x:v>
      </x:c>
      <x:c r="C1267" s="136" t="str">
        <x:v>battery</x:v>
      </x:c>
      <x:c r="D1267" s="136" t="str">
        <x:v>CSA</x:v>
      </x:c>
      <x:c r="E1267" s="136" t="str">
        <x:v>Spawnpoint_CC_CSA_Arty_Base2</x:v>
      </x:c>
      <x:c r="F1267" s="137" t="n">
        <x:v>2055.123291015625</x:v>
      </x:c>
      <x:c r="G1267" s="137" t="n">
        <x:v>2863.4716796875</x:v>
      </x:c>
      <x:c r="H1267" s="137" t="n">
        <x:v>43.01660919189453</x:v>
      </x:c>
      <x:c r="I1267" s="137" t="n">
        <x:v>1000.2032792870262</x:v>
      </x:c>
      <x:c r="J1267" s="137" t="n">
        <x:v>1741.0107592454922</x:v>
      </x:c>
      <x:c r="K1267" s="136" t="str">
        <x:v>map-62</x:v>
      </x:c>
      <x:c r="L1267" s="136" t="str">
        <x:v>DrillCamp | Skirmish | Crossley Creek||Artillery | CSA Spawnpoint_CC_CSA_Arty_Base2 [map-62/013]</x:v>
      </x:c>
      <x:c r="M1267" s="35"/>
      <x:c r="N1267" s="35"/>
      <x:c r="O1267" s="35"/>
      <x:c r="P1267" s="35"/>
      <x:c r="Q1267" s="35"/>
      <x:c r="R1267" s="35"/>
      <x:c r="S1267" s="35"/>
      <x:c r="T1267" s="35"/>
      <x:c r="U1267" s="35"/>
      <x:c r="V1267" s="35"/>
      <x:c r="W1267" s="35"/>
      <x:c r="X1267" s="35"/>
      <x:c r="Y1267" s="35"/>
      <x:c r="Z1267" s="35"/>
      <x:c r="AA1267" s="35"/>
    </x:row>
    <x:row r="1268">
      <x:c r="A1268" s="136" t="str">
        <x:v>DrillCamp | Skirmish | Crossley Creek</x:v>
      </x:c>
      <x:c r="B1268" s="136" t="str">
        <x:v>Spawn | USA Spawnpoint_CC_Base_USA_69thNY2 [map-62/014]</x:v>
      </x:c>
      <x:c r="C1268" s="136" t="str">
        <x:v>spawn</x:v>
      </x:c>
      <x:c r="D1268" s="136" t="str">
        <x:v>USA</x:v>
      </x:c>
      <x:c r="E1268" s="136" t="str">
        <x:v>Spawnpoint_CC_Base_USA_69thNY2</x:v>
      </x:c>
      <x:c r="F1268" s="137" t="n">
        <x:v>1974.2645263671875</x:v>
      </x:c>
      <x:c r="G1268" s="137" t="n">
        <x:v>3630.92919921875</x:v>
      </x:c>
      <x:c r="H1268" s="137" t="n">
        <x:v>49.56949234008789</x:v>
      </x:c>
      <x:c r="I1268" s="137" t="n">
        <x:v>851.7279164708058</x:v>
      </x:c>
      <x:c r="J1268" s="137" t="n">
        <x:v>354.8542567169448</x:v>
      </x:c>
      <x:c r="K1268" s="136" t="str">
        <x:v>map-62</x:v>
      </x:c>
      <x:c r="L1268" s="136" t="str">
        <x:v>DrillCamp | Skirmish | Crossley Creek||Spawn | USA Spawnpoint_CC_Base_USA_69thNY2 [map-62/014]</x:v>
      </x:c>
      <x:c r="M1268" s="35"/>
      <x:c r="N1268" s="35"/>
      <x:c r="O1268" s="35"/>
      <x:c r="P1268" s="35"/>
      <x:c r="Q1268" s="35"/>
      <x:c r="R1268" s="35"/>
      <x:c r="S1268" s="35"/>
      <x:c r="T1268" s="35"/>
      <x:c r="U1268" s="35"/>
      <x:c r="V1268" s="35"/>
      <x:c r="W1268" s="35"/>
      <x:c r="X1268" s="35"/>
      <x:c r="Y1268" s="35"/>
      <x:c r="Z1268" s="35"/>
      <x:c r="AA1268" s="35"/>
    </x:row>
    <x:row r="1269">
      <x:c r="A1269" s="136" t="str">
        <x:v>DrillCamp | Skirmish | Crossley Creek</x:v>
      </x:c>
      <x:c r="B1269" s="136" t="str">
        <x:v>Spawn | CSA Spawnpoint_CC_Defend_CSA_33rdVA2 [map-62/015]</x:v>
      </x:c>
      <x:c r="C1269" s="136" t="str">
        <x:v>spawn</x:v>
      </x:c>
      <x:c r="D1269" s="136" t="str">
        <x:v>CSA</x:v>
      </x:c>
      <x:c r="E1269" s="136" t="str">
        <x:v>Spawnpoint_CC_Defend_CSA_33rdVA2</x:v>
      </x:c>
      <x:c r="F1269" s="137" t="n">
        <x:v>2073.260986328125</x:v>
      </x:c>
      <x:c r="G1269" s="137" t="n">
        <x:v>3072.090576171875</x:v>
      </x:c>
      <x:c r="H1269" s="137" t="n">
        <x:v>51.855201721191406</x:v>
      </x:c>
      <x:c r="I1269" s="137" t="n">
        <x:v>1032.2954547466036</x:v>
      </x:c>
      <x:c r="J1269" s="137" t="n">
        <x:v>1364.2740683678967</x:v>
      </x:c>
      <x:c r="K1269" s="136" t="str">
        <x:v>map-62</x:v>
      </x:c>
      <x:c r="L1269" s="136" t="str">
        <x:v>DrillCamp | Skirmish | Crossley Creek||Spawn | CSA Spawnpoint_CC_Defend_CSA_33rdVA2 [map-62/015]</x:v>
      </x:c>
      <x:c r="M1269" s="35"/>
      <x:c r="N1269" s="35"/>
      <x:c r="O1269" s="35"/>
      <x:c r="P1269" s="35"/>
      <x:c r="Q1269" s="35"/>
      <x:c r="R1269" s="35"/>
      <x:c r="S1269" s="35"/>
      <x:c r="T1269" s="35"/>
      <x:c r="U1269" s="35"/>
      <x:c r="V1269" s="35"/>
      <x:c r="W1269" s="35"/>
      <x:c r="X1269" s="35"/>
      <x:c r="Y1269" s="35"/>
      <x:c r="Z1269" s="35"/>
      <x:c r="AA1269" s="35"/>
    </x:row>
    <x:row r="1270">
      <x:c r="A1270" s="136" t="str">
        <x:v>DrillCamp | Skirmish | Crossley Creek</x:v>
      </x:c>
      <x:c r="B1270" s="136" t="str">
        <x:v>Spawn | CSA Spawnpoint_CC_Base_CSA_33rdVA2 [map-62/016]</x:v>
      </x:c>
      <x:c r="C1270" s="136" t="str">
        <x:v>spawn</x:v>
      </x:c>
      <x:c r="D1270" s="136" t="str">
        <x:v>CSA</x:v>
      </x:c>
      <x:c r="E1270" s="136" t="str">
        <x:v>Spawnpoint_CC_Base_CSA_33rdVA2</x:v>
      </x:c>
      <x:c r="F1270" s="137" t="n">
        <x:v>2092.427490234375</x:v>
      </x:c>
      <x:c r="G1270" s="137" t="n">
        <x:v>2850.378662109375</x:v>
      </x:c>
      <x:c r="H1270" s="137" t="n">
        <x:v>41.76808166503906</x:v>
      </x:c>
      <x:c r="I1270" s="137" t="n">
        <x:v>1067.6163398584574</x:v>
      </x:c>
      <x:c r="J1270" s="137" t="n">
        <x:v>1764.7161498996202</x:v>
      </x:c>
      <x:c r="K1270" s="136" t="str">
        <x:v>map-62</x:v>
      </x:c>
      <x:c r="L1270" s="136" t="str">
        <x:v>DrillCamp | Skirmish | Crossley Creek||Spawn | CSA Spawnpoint_CC_Base_CSA_33rdVA2 [map-62/016]</x:v>
      </x:c>
      <x:c r="M1270" s="35"/>
      <x:c r="N1270" s="35"/>
      <x:c r="O1270" s="35"/>
      <x:c r="P1270" s="35"/>
      <x:c r="Q1270" s="35"/>
      <x:c r="R1270" s="35"/>
      <x:c r="S1270" s="35"/>
      <x:c r="T1270" s="35"/>
      <x:c r="U1270" s="35"/>
      <x:c r="V1270" s="35"/>
      <x:c r="W1270" s="35"/>
      <x:c r="X1270" s="35"/>
      <x:c r="Y1270" s="35"/>
      <x:c r="Z1270" s="35"/>
      <x:c r="AA1270" s="35"/>
    </x:row>
    <x:row r="1271">
      <x:c r="A1271" s="136" t="str">
        <x:v>DrillCamp | Skirmish | Crossley Creek</x:v>
      </x:c>
      <x:c r="B1271" s="136" t="str">
        <x:v>Artillery | CSA Spawnpoint_CC_CSA_Arty_Carpenter_Forward [map-62/017]</x:v>
      </x:c>
      <x:c r="C1271" s="136" t="str">
        <x:v>battery</x:v>
      </x:c>
      <x:c r="D1271" s="136" t="str">
        <x:v>CSA</x:v>
      </x:c>
      <x:c r="E1271" s="136" t="str">
        <x:v>Spawnpoint_CC_CSA_Arty_Carpenter_Forward</x:v>
      </x:c>
      <x:c r="F1271" s="137" t="n">
        <x:v>2035.692138671875</x:v>
      </x:c>
      <x:c r="G1271" s="137" t="n">
        <x:v>3033.203857421875</x:v>
      </x:c>
      <x:c r="H1271" s="137" t="n">
        <x:v>50.23614501953125</x:v>
      </x:c>
      <x:c r="I1271" s="137" t="n">
        <x:v>964.5700042227805</x:v>
      </x:c>
      <x:c r="J1271" s="137" t="n">
        <x:v>1434.4436226115454</x:v>
      </x:c>
      <x:c r="K1271" s="136" t="str">
        <x:v>map-62</x:v>
      </x:c>
      <x:c r="L1271" s="136" t="str">
        <x:v>DrillCamp | Skirmish | Crossley Creek||Artillery | CSA Spawnpoint_CC_CSA_Arty_Carpenter_Forward [map-62/017]</x:v>
      </x:c>
      <x:c r="M1271" s="35"/>
      <x:c r="N1271" s="35"/>
      <x:c r="O1271" s="35"/>
      <x:c r="P1271" s="35"/>
      <x:c r="Q1271" s="35"/>
      <x:c r="R1271" s="35"/>
      <x:c r="S1271" s="35"/>
      <x:c r="T1271" s="35"/>
      <x:c r="U1271" s="35"/>
      <x:c r="V1271" s="35"/>
      <x:c r="W1271" s="35"/>
      <x:c r="X1271" s="35"/>
      <x:c r="Y1271" s="35"/>
      <x:c r="Z1271" s="35"/>
      <x:c r="AA1271" s="35"/>
    </x:row>
    <x:row r="1272">
      <x:c r="A1272" s="136" t="str">
        <x:v>DrillCamp | Skirmish | Crossley Creek</x:v>
      </x:c>
      <x:c r="B1272" s="136" t="str">
        <x:v>Spawn | CSA Spawnpoint_CC_Base_CSA_8thAL1 [map-62/018]</x:v>
      </x:c>
      <x:c r="C1272" s="136" t="str">
        <x:v>spawn</x:v>
      </x:c>
      <x:c r="D1272" s="136" t="str">
        <x:v>CSA</x:v>
      </x:c>
      <x:c r="E1272" s="136" t="str">
        <x:v>Spawnpoint_CC_Base_CSA_8thAL1</x:v>
      </x:c>
      <x:c r="F1272" s="137" t="n">
        <x:v>2077.385498046875</x:v>
      </x:c>
      <x:c r="G1272" s="137" t="n">
        <x:v>2850.7998046875</x:v>
      </x:c>
      <x:c r="H1272" s="137" t="n">
        <x:v>42.417572021484375</x:v>
      </x:c>
      <x:c r="I1272" s="137" t="n">
        <x:v>1040.449171384692</x:v>
      </x:c>
      <x:c r="J1272" s="137" t="n">
        <x:v>1763.9316109633235</x:v>
      </x:c>
      <x:c r="K1272" s="136" t="str">
        <x:v>map-62</x:v>
      </x:c>
      <x:c r="L1272" s="136" t="str">
        <x:v>DrillCamp | Skirmish | Crossley Creek||Spawn | CSA Spawnpoint_CC_Base_CSA_8thAL1 [map-62/018]</x:v>
      </x:c>
      <x:c r="M1272" s="35"/>
      <x:c r="N1272" s="35"/>
      <x:c r="O1272" s="35"/>
      <x:c r="P1272" s="35"/>
      <x:c r="Q1272" s="35"/>
      <x:c r="R1272" s="35"/>
      <x:c r="S1272" s="35"/>
      <x:c r="T1272" s="35"/>
      <x:c r="U1272" s="35"/>
      <x:c r="V1272" s="35"/>
      <x:c r="W1272" s="35"/>
      <x:c r="X1272" s="35"/>
      <x:c r="Y1272" s="35"/>
      <x:c r="Z1272" s="35"/>
      <x:c r="AA1272" s="35"/>
    </x:row>
    <x:row r="1273">
      <x:c r="A1273" s="136" t="str">
        <x:v>DrillCamp | Skirmish | Crossley Creek</x:v>
      </x:c>
      <x:c r="B1273" s="136" t="str">
        <x:v>Spawn | USA Spawnpoint_CC_Base_USA_6thPA [map-62/019]</x:v>
      </x:c>
      <x:c r="C1273" s="136" t="str">
        <x:v>spawn</x:v>
      </x:c>
      <x:c r="D1273" s="136" t="str">
        <x:v>USA</x:v>
      </x:c>
      <x:c r="E1273" s="136" t="str">
        <x:v>Spawnpoint_CC_Base_USA_6thPA</x:v>
      </x:c>
      <x:c r="F1273" s="137" t="n">
        <x:v>1962.822998046875</x:v>
      </x:c>
      <x:c r="G1273" s="137" t="n">
        <x:v>3651.128173828125</x:v>
      </x:c>
      <x:c r="H1273" s="137" t="n">
        <x:v>49.0612907409668</x:v>
      </x:c>
      <x:c r="I1273" s="137" t="n">
        <x:v>831.0001871480981</x:v>
      </x:c>
      <x:c r="J1273" s="137" t="n">
        <x:v>318.3567014423975</x:v>
      </x:c>
      <x:c r="K1273" s="136" t="str">
        <x:v>map-62</x:v>
      </x:c>
      <x:c r="L1273" s="136" t="str">
        <x:v>DrillCamp | Skirmish | Crossley Creek||Spawn | USA Spawnpoint_CC_Base_USA_6thPA [map-62/019]</x:v>
      </x:c>
      <x:c r="M1273" s="35"/>
      <x:c r="N1273" s="35"/>
      <x:c r="O1273" s="35"/>
      <x:c r="P1273" s="35"/>
      <x:c r="Q1273" s="35"/>
      <x:c r="R1273" s="35"/>
      <x:c r="S1273" s="35"/>
      <x:c r="T1273" s="35"/>
      <x:c r="U1273" s="35"/>
      <x:c r="V1273" s="35"/>
      <x:c r="W1273" s="35"/>
      <x:c r="X1273" s="35"/>
      <x:c r="Y1273" s="35"/>
      <x:c r="Z1273" s="35"/>
      <x:c r="AA1273" s="35"/>
    </x:row>
    <x:row r="1274">
      <x:c r="A1274" s="136" t="str">
        <x:v>DrillCamp | Skirmish | Crossley Creek</x:v>
      </x:c>
      <x:c r="B1274" s="136" t="str">
        <x:v>Spawn | USA Spawnpoint_CC_Mounted_USA_6thPA [map-62/020]</x:v>
      </x:c>
      <x:c r="C1274" s="136" t="str">
        <x:v>spawn</x:v>
      </x:c>
      <x:c r="D1274" s="136" t="str">
        <x:v>USA</x:v>
      </x:c>
      <x:c r="E1274" s="136" t="str">
        <x:v>Spawnpoint_CC_Mounted_USA_6thPA</x:v>
      </x:c>
      <x:c r="F1274" s="137" t="n">
        <x:v>1962.7933349609375</x:v>
      </x:c>
      <x:c r="G1274" s="137" t="n">
        <x:v>3691.729736328125</x:v>
      </x:c>
      <x:c r="H1274" s="137" t="n">
        <x:v>47.905086517333984</x:v>
      </x:c>
      <x:c r="I1274" s="137" t="n">
        <x:v>830.8172922587869</x:v>
      </x:c>
      <x:c r="J1274" s="137" t="n">
        <x:v>245.03026156611054</x:v>
      </x:c>
      <x:c r="K1274" s="136" t="str">
        <x:v>map-62</x:v>
      </x:c>
      <x:c r="L1274" s="136" t="str">
        <x:v>DrillCamp | Skirmish | Crossley Creek||Spawn | USA Spawnpoint_CC_Mounted_USA_6thPA [map-62/020]</x:v>
      </x:c>
      <x:c r="M1274" s="35"/>
      <x:c r="N1274" s="35"/>
      <x:c r="O1274" s="35"/>
      <x:c r="P1274" s="35"/>
      <x:c r="Q1274" s="35"/>
      <x:c r="R1274" s="35"/>
      <x:c r="S1274" s="35"/>
      <x:c r="T1274" s="35"/>
      <x:c r="U1274" s="35"/>
      <x:c r="V1274" s="35"/>
      <x:c r="W1274" s="35"/>
      <x:c r="X1274" s="35"/>
      <x:c r="Y1274" s="35"/>
      <x:c r="Z1274" s="35"/>
      <x:c r="AA1274" s="35"/>
    </x:row>
    <x:row r="1275">
      <x:c r="A1275" s="136" t="str">
        <x:v>DrillCamp | Skirmish | Crossley Creek</x:v>
      </x:c>
      <x:c r="B1275" s="136" t="str">
        <x:v>Spawn | CSA Spawnpoint_CC_Base_CSA_Jeff [map-62/021]</x:v>
      </x:c>
      <x:c r="C1275" s="136" t="str">
        <x:v>spawn</x:v>
      </x:c>
      <x:c r="D1275" s="136" t="str">
        <x:v>CSA</x:v>
      </x:c>
      <x:c r="E1275" s="136" t="str">
        <x:v>Spawnpoint_CC_Base_CSA_Jeff</x:v>
      </x:c>
      <x:c r="F1275" s="137" t="n">
        <x:v>2137.966064453125</x:v>
      </x:c>
      <x:c r="G1275" s="137" t="n">
        <x:v>2847.153076171875</x:v>
      </x:c>
      <x:c r="H1275" s="137" t="n">
        <x:v>41.15426254272461</x:v>
      </x:c>
      <x:c r="I1275" s="137" t="n">
        <x:v>1149.8692461813441</x:v>
      </x:c>
      <x:c r="J1275" s="137" t="n">
        <x:v>1770.614080109647</x:v>
      </x:c>
      <x:c r="K1275" s="136" t="str">
        <x:v>map-62</x:v>
      </x:c>
      <x:c r="L1275" s="136" t="str">
        <x:v>DrillCamp | Skirmish | Crossley Creek||Spawn | CSA Spawnpoint_CC_Base_CSA_Jeff [map-62/021]</x:v>
      </x:c>
      <x:c r="M1275" s="35"/>
      <x:c r="N1275" s="35"/>
      <x:c r="O1275" s="35"/>
      <x:c r="P1275" s="35"/>
      <x:c r="Q1275" s="35"/>
      <x:c r="R1275" s="35"/>
      <x:c r="S1275" s="35"/>
      <x:c r="T1275" s="35"/>
      <x:c r="U1275" s="35"/>
      <x:c r="V1275" s="35"/>
      <x:c r="W1275" s="35"/>
      <x:c r="X1275" s="35"/>
      <x:c r="Y1275" s="35"/>
      <x:c r="Z1275" s="35"/>
      <x:c r="AA1275" s="35"/>
    </x:row>
    <x:row r="1276">
      <x:c r="A1276" s="136" t="str">
        <x:v>DrillCamp | Skirmish | Crossley Creek</x:v>
      </x:c>
      <x:c r="B1276" s="136" t="str">
        <x:v>Gun | 12-pounder Napoleon (CSA) · Entity-1446 [map-62/022]</x:v>
      </x:c>
      <x:c r="C1276" s="136" t="str">
        <x:v>gun_spawn</x:v>
      </x:c>
      <x:c r="D1276" s="136" t="str"/>
      <x:c r="E1276" s="136" t="str">
        <x:v>12-pounder Napoleon (CSA) · Entity-1446</x:v>
      </x:c>
      <x:c r="F1276" s="137" t="n">
        <x:v>2073.858642578125</x:v>
      </x:c>
      <x:c r="G1276" s="137" t="n">
        <x:v>2995.894775390625</x:v>
      </x:c>
      <x:c r="H1276" s="137" t="n">
        <x:v>47.38399887084961</x:v>
      </x:c>
      <x:c r="I1276" s="137" t="n">
        <x:v>1033.6175190182541</x:v>
      </x:c>
      <x:c r="J1276" s="137" t="n">
        <x:v>1501.8845815272277</x:v>
      </x:c>
      <x:c r="K1276" s="136" t="str">
        <x:v>map-62</x:v>
      </x:c>
      <x:c r="L1276" s="136" t="str">
        <x:v>DrillCamp | Skirmish | Crossley Creek||Gun | 12-pounder Napoleon (CSA) · Entity-1446 [map-62/022]</x:v>
      </x:c>
      <x:c r="M1276" s="35"/>
      <x:c r="N1276" s="35"/>
      <x:c r="O1276" s="35"/>
      <x:c r="P1276" s="35"/>
      <x:c r="Q1276" s="35"/>
      <x:c r="R1276" s="35"/>
      <x:c r="S1276" s="35"/>
      <x:c r="T1276" s="35"/>
      <x:c r="U1276" s="35"/>
      <x:c r="V1276" s="35"/>
      <x:c r="W1276" s="35"/>
      <x:c r="X1276" s="35"/>
      <x:c r="Y1276" s="35"/>
      <x:c r="Z1276" s="35"/>
      <x:c r="AA1276" s="35"/>
    </x:row>
    <x:row r="1277">
      <x:c r="A1277" s="136" t="str">
        <x:v>DrillCamp | Skirmish | Crossley Creek</x:v>
      </x:c>
      <x:c r="B1277" s="136" t="str">
        <x:v>Gun | 12-pounder Napoleon (USA) · Entity-1420 [map-62/023]</x:v>
      </x:c>
      <x:c r="C1277" s="136" t="str">
        <x:v>gun_spawn</x:v>
      </x:c>
      <x:c r="D1277" s="136" t="str"/>
      <x:c r="E1277" s="136" t="str">
        <x:v>12-pounder Napoleon (USA) · Entity-1420</x:v>
      </x:c>
      <x:c r="F1277" s="137" t="n">
        <x:v>1963.3662109375</x:v>
      </x:c>
      <x:c r="G1277" s="137" t="n">
        <x:v>3251.858154296875</x:v>
      </x:c>
      <x:c r="H1277" s="137" t="n">
        <x:v>49.00345993041992</x:v>
      </x:c>
      <x:c r="I1277" s="137" t="n">
        <x:v>833.2529770290525</x:v>
      </x:c>
      <x:c r="J1277" s="137" t="n">
        <x:v>1039.4389342910213</x:v>
      </x:c>
      <x:c r="K1277" s="136" t="str">
        <x:v>map-62</x:v>
      </x:c>
      <x:c r="L1277" s="136" t="str">
        <x:v>DrillCamp | Skirmish | Crossley Creek||Gun | 12-pounder Napoleon (USA) · Entity-1420 [map-62/023]</x:v>
      </x:c>
      <x:c r="M1277" s="35"/>
      <x:c r="N1277" s="35"/>
      <x:c r="O1277" s="35"/>
      <x:c r="P1277" s="35"/>
      <x:c r="Q1277" s="35"/>
      <x:c r="R1277" s="35"/>
      <x:c r="S1277" s="35"/>
      <x:c r="T1277" s="35"/>
      <x:c r="U1277" s="35"/>
      <x:c r="V1277" s="35"/>
      <x:c r="W1277" s="35"/>
      <x:c r="X1277" s="35"/>
      <x:c r="Y1277" s="35"/>
      <x:c r="Z1277" s="35"/>
      <x:c r="AA1277" s="35"/>
    </x:row>
    <x:row r="1278">
      <x:c r="A1278" s="136" t="str">
        <x:v>DrillCamp | Skirmish | Crossley Creek</x:v>
      </x:c>
      <x:c r="B1278" s="136" t="str">
        <x:v>Gun | 10-pounder Parrott · Entity-1418 [map-62/024]</x:v>
      </x:c>
      <x:c r="C1278" s="136" t="str">
        <x:v>gun_spawn</x:v>
      </x:c>
      <x:c r="D1278" s="136" t="str"/>
      <x:c r="E1278" s="136" t="str">
        <x:v>10-pounder Parrott · Entity-1418</x:v>
      </x:c>
      <x:c r="F1278" s="137" t="n">
        <x:v>1994.917236328125</x:v>
      </x:c>
      <x:c r="G1278" s="137" t="n">
        <x:v>3264.24072265625</x:v>
      </x:c>
      <x:c r="H1278" s="137" t="n">
        <x:v>47.416595458984375</x:v>
      </x:c>
      <x:c r="I1278" s="137" t="n">
        <x:v>890.194665425197</x:v>
      </x:c>
      <x:c r="J1278" s="137" t="n">
        <x:v>1017.126272635016</x:v>
      </x:c>
      <x:c r="K1278" s="136" t="str">
        <x:v>map-62</x:v>
      </x:c>
      <x:c r="L1278" s="136" t="str">
        <x:v>DrillCamp | Skirmish | Crossley Creek||Gun | 10-pounder Parrott · Entity-1418 [map-62/024]</x:v>
      </x:c>
      <x:c r="M1278" s="35"/>
      <x:c r="N1278" s="35"/>
      <x:c r="O1278" s="35"/>
      <x:c r="P1278" s="35"/>
      <x:c r="Q1278" s="35"/>
      <x:c r="R1278" s="35"/>
      <x:c r="S1278" s="35"/>
      <x:c r="T1278" s="35"/>
      <x:c r="U1278" s="35"/>
      <x:c r="V1278" s="35"/>
      <x:c r="W1278" s="35"/>
      <x:c r="X1278" s="35"/>
      <x:c r="Y1278" s="35"/>
      <x:c r="Z1278" s="35"/>
      <x:c r="AA1278" s="35"/>
    </x:row>
    <x:row r="1279">
      <x:c r="A1279" s="136" t="str">
        <x:v>DrillCamp | Skirmish | Crossley Creek</x:v>
      </x:c>
      <x:c r="B1279" s="136" t="str">
        <x:v>Gun | 12-pounder Napoleon (CSA) · Entity-1451 [map-62/025]</x:v>
      </x:c>
      <x:c r="C1279" s="136" t="str">
        <x:v>gun_spawn</x:v>
      </x:c>
      <x:c r="D1279" s="136" t="str"/>
      <x:c r="E1279" s="136" t="str">
        <x:v>12-pounder Napoleon (CSA) · Entity-1451</x:v>
      </x:c>
      <x:c r="F1279" s="137" t="n">
        <x:v>2059.7724609375</x:v>
      </x:c>
      <x:c r="G1279" s="137" t="n">
        <x:v>2992.343017578125</x:v>
      </x:c>
      <x:c r="H1279" s="137" t="n">
        <x:v>48.02106475830078</x:v>
      </x:c>
      <x:c r="I1279" s="137" t="n">
        <x:v>1008.1891981157323</x:v>
      </x:c>
      <x:c r="J1279" s="137" t="n">
        <x:v>1508.2766200506592</x:v>
      </x:c>
      <x:c r="K1279" s="136" t="str">
        <x:v>map-62</x:v>
      </x:c>
      <x:c r="L1279" s="136" t="str">
        <x:v>DrillCamp | Skirmish | Crossley Creek||Gun | 12-pounder Napoleon (CSA) · Entity-1451 [map-62/025]</x:v>
      </x:c>
      <x:c r="M1279" s="35"/>
      <x:c r="N1279" s="35"/>
      <x:c r="O1279" s="35"/>
      <x:c r="P1279" s="35"/>
      <x:c r="Q1279" s="35"/>
      <x:c r="R1279" s="35"/>
      <x:c r="S1279" s="35"/>
      <x:c r="T1279" s="35"/>
      <x:c r="U1279" s="35"/>
      <x:c r="V1279" s="35"/>
      <x:c r="W1279" s="35"/>
      <x:c r="X1279" s="35"/>
      <x:c r="Y1279" s="35"/>
      <x:c r="Z1279" s="35"/>
      <x:c r="AA1279" s="35"/>
    </x:row>
    <x:row r="1280">
      <x:c r="A1280" s="136" t="str">
        <x:v>DrillCamp | Skirmish | Crossley Creek</x:v>
      </x:c>
      <x:c r="B1280" s="136" t="str">
        <x:v>Gun | 3-inch Ordnance · Entity-1436 [map-62/026]</x:v>
      </x:c>
      <x:c r="C1280" s="136" t="str">
        <x:v>gun_spawn</x:v>
      </x:c>
      <x:c r="D1280" s="136" t="str"/>
      <x:c r="E1280" s="136" t="str">
        <x:v>3-inch Ordnance · Entity-1436</x:v>
      </x:c>
      <x:c r="F1280" s="137" t="n">
        <x:v>2017.5252685546875</x:v>
      </x:c>
      <x:c r="G1280" s="137" t="n">
        <x:v>3069.55615234375</x:v>
      </x:c>
      <x:c r="H1280" s="137" t="n">
        <x:v>50.8808479309082</x:v>
      </x:c>
      <x:c r="I1280" s="137" t="n">
        <x:v>931.6448611886372</x:v>
      </x:c>
      <x:c r="J1280" s="137" t="n">
        <x:v>1368.762471765938</x:v>
      </x:c>
      <x:c r="K1280" s="136" t="str">
        <x:v>map-62</x:v>
      </x:c>
      <x:c r="L1280" s="136" t="str">
        <x:v>DrillCamp | Skirmish | Crossley Creek||Gun | 3-inch Ordnance · Entity-1436 [map-62/026]</x:v>
      </x:c>
      <x:c r="M1280" s="35"/>
      <x:c r="N1280" s="35"/>
      <x:c r="O1280" s="35"/>
      <x:c r="P1280" s="35"/>
      <x:c r="Q1280" s="35"/>
      <x:c r="R1280" s="35"/>
      <x:c r="S1280" s="35"/>
      <x:c r="T1280" s="35"/>
      <x:c r="U1280" s="35"/>
      <x:c r="V1280" s="35"/>
      <x:c r="W1280" s="35"/>
      <x:c r="X1280" s="35"/>
      <x:c r="Y1280" s="35"/>
      <x:c r="Z1280" s="35"/>
      <x:c r="AA1280" s="35"/>
    </x:row>
    <x:row r="1281">
      <x:c r="A1281" s="136" t="str">
        <x:v>DrillCamp | Skirmish | Crossley Creek</x:v>
      </x:c>
      <x:c r="B1281" s="136" t="str">
        <x:v>Gun | 12-pounder Napoleon (CSA) · Entity-1445 [map-62/027]</x:v>
      </x:c>
      <x:c r="C1281" s="136" t="str">
        <x:v>gun_spawn</x:v>
      </x:c>
      <x:c r="D1281" s="136" t="str"/>
      <x:c r="E1281" s="136" t="str">
        <x:v>12-pounder Napoleon (CSA) · Entity-1445</x:v>
      </x:c>
      <x:c r="F1281" s="137" t="n">
        <x:v>2081.395751953125</x:v>
      </x:c>
      <x:c r="G1281" s="137" t="n">
        <x:v>2997.6611328125</x:v>
      </x:c>
      <x:c r="H1281" s="137" t="n">
        <x:v>47.08428955078125</x:v>
      </x:c>
      <x:c r="I1281" s="137" t="n">
        <x:v>1047.2239069511686</x:v>
      </x:c>
      <x:c r="J1281" s="137" t="n">
        <x:v>1498.7065448290098</x:v>
      </x:c>
      <x:c r="K1281" s="136" t="str">
        <x:v>map-62</x:v>
      </x:c>
      <x:c r="L1281" s="136" t="str">
        <x:v>DrillCamp | Skirmish | Crossley Creek||Gun | 12-pounder Napoleon (CSA) · Entity-1445 [map-62/027]</x:v>
      </x:c>
      <x:c r="M1281" s="35"/>
      <x:c r="N1281" s="35"/>
      <x:c r="O1281" s="35"/>
      <x:c r="P1281" s="35"/>
      <x:c r="Q1281" s="35"/>
      <x:c r="R1281" s="35"/>
      <x:c r="S1281" s="35"/>
      <x:c r="T1281" s="35"/>
      <x:c r="U1281" s="35"/>
      <x:c r="V1281" s="35"/>
      <x:c r="W1281" s="35"/>
      <x:c r="X1281" s="35"/>
      <x:c r="Y1281" s="35"/>
      <x:c r="Z1281" s="35"/>
      <x:c r="AA1281" s="35"/>
    </x:row>
    <x:row r="1282">
      <x:c r="A1282" s="136" t="str">
        <x:v>DrillCamp | Skirmish | Crossley Creek</x:v>
      </x:c>
      <x:c r="B1282" s="136" t="str">
        <x:v>Gun | 10-pounder Parrott · Entity-1417 [map-62/028]</x:v>
      </x:c>
      <x:c r="C1282" s="136" t="str">
        <x:v>gun_spawn</x:v>
      </x:c>
      <x:c r="D1282" s="136" t="str"/>
      <x:c r="E1282" s="136" t="str">
        <x:v>10-pounder Parrott · Entity-1417</x:v>
      </x:c>
      <x:c r="F1282" s="137" t="n">
        <x:v>1986.661376953125</x:v>
      </x:c>
      <x:c r="G1282" s="137" t="n">
        <x:v>3261.143798828125</x:v>
      </x:c>
      <x:c r="H1282" s="137" t="n">
        <x:v>47.701297760009766</x:v>
      </x:c>
      <x:c r="I1282" s="137" t="n">
        <x:v>875.2944536064435</x:v>
      </x:c>
      <x:c r="J1282" s="137" t="n">
        <x:v>1022.70616662981</x:v>
      </x:c>
      <x:c r="K1282" s="136" t="str">
        <x:v>map-62</x:v>
      </x:c>
      <x:c r="L1282" s="136" t="str">
        <x:v>DrillCamp | Skirmish | Crossley Creek||Gun | 10-pounder Parrott · Entity-1417 [map-62/028]</x:v>
      </x:c>
      <x:c r="M1282" s="35"/>
      <x:c r="N1282" s="35"/>
      <x:c r="O1282" s="35"/>
      <x:c r="P1282" s="35"/>
      <x:c r="Q1282" s="35"/>
      <x:c r="R1282" s="35"/>
      <x:c r="S1282" s="35"/>
      <x:c r="T1282" s="35"/>
      <x:c r="U1282" s="35"/>
      <x:c r="V1282" s="35"/>
      <x:c r="W1282" s="35"/>
      <x:c r="X1282" s="35"/>
      <x:c r="Y1282" s="35"/>
      <x:c r="Z1282" s="35"/>
      <x:c r="AA1282" s="35"/>
    </x:row>
    <x:row r="1283">
      <x:c r="A1283" s="136" t="str">
        <x:v>DrillCamp | Skirmish | Crossley Creek</x:v>
      </x:c>
      <x:c r="B1283" s="136" t="str">
        <x:v>Gun | 12-pounder Napoleon (USA) · Entity-1421 [map-62/029]</x:v>
      </x:c>
      <x:c r="C1283" s="136" t="str">
        <x:v>gun_spawn</x:v>
      </x:c>
      <x:c r="D1283" s="136" t="str"/>
      <x:c r="E1283" s="136" t="str">
        <x:v>12-pounder Napoleon (USA) · Entity-1421</x:v>
      </x:c>
      <x:c r="F1283" s="137" t="n">
        <x:v>1972.189453125</x:v>
      </x:c>
      <x:c r="G1283" s="137" t="n">
        <x:v>3255.405517578125</x:v>
      </x:c>
      <x:c r="H1283" s="137" t="n">
        <x:v>48.61616516113281</x:v>
      </x:c>
      <x:c r="I1283" s="137" t="n">
        <x:v>849.176447066806</x:v>
      </x:c>
      <x:c r="J1283" s="137" t="n">
        <x:v>1033.0464505771156</x:v>
      </x:c>
      <x:c r="K1283" s="136" t="str">
        <x:v>map-62</x:v>
      </x:c>
      <x:c r="L1283" s="136" t="str">
        <x:v>DrillCamp | Skirmish | Crossley Creek||Gun | 12-pounder Napoleon (USA) · Entity-1421 [map-62/029]</x:v>
      </x:c>
      <x:c r="M1283" s="35"/>
      <x:c r="N1283" s="35"/>
      <x:c r="O1283" s="35"/>
      <x:c r="P1283" s="35"/>
      <x:c r="Q1283" s="35"/>
      <x:c r="R1283" s="35"/>
      <x:c r="S1283" s="35"/>
      <x:c r="T1283" s="35"/>
      <x:c r="U1283" s="35"/>
      <x:c r="V1283" s="35"/>
      <x:c r="W1283" s="35"/>
      <x:c r="X1283" s="35"/>
      <x:c r="Y1283" s="35"/>
      <x:c r="Z1283" s="35"/>
      <x:c r="AA1283" s="35"/>
    </x:row>
    <x:row r="1284">
      <x:c r="A1284" s="136" t="str">
        <x:v>DrillCamp | Skirmish | Crossley Creek</x:v>
      </x:c>
      <x:c r="B1284" s="136" t="str">
        <x:v>Gun | 12-pounder Napoleon (CSA) · Entity-1452 [map-62/030]</x:v>
      </x:c>
      <x:c r="C1284" s="136" t="str">
        <x:v>gun_spawn</x:v>
      </x:c>
      <x:c r="D1284" s="136" t="str"/>
      <x:c r="E1284" s="136" t="str">
        <x:v>12-pounder Napoleon (CSA) · Entity-1452</x:v>
      </x:c>
      <x:c r="F1284" s="137" t="n">
        <x:v>2052.2353515625</x:v>
      </x:c>
      <x:c r="G1284" s="137" t="n">
        <x:v>2990.576904296875</x:v>
      </x:c>
      <x:c r="H1284" s="137" t="n">
        <x:v>48.37490463256836</x:v>
      </x:c>
      <x:c r="I1284" s="137" t="n">
        <x:v>994.5828094051856</x:v>
      </x:c>
      <x:c r="J1284" s="137" t="n">
        <x:v>1511.4542158310844</x:v>
      </x:c>
      <x:c r="K1284" s="136" t="str">
        <x:v>map-62</x:v>
      </x:c>
      <x:c r="L1284" s="136" t="str">
        <x:v>DrillCamp | Skirmish | Crossley Creek||Gun | 12-pounder Napoleon (CSA) · Entity-1452 [map-62/030]</x:v>
      </x:c>
      <x:c r="M1284" s="35"/>
      <x:c r="N1284" s="35"/>
      <x:c r="O1284" s="35"/>
      <x:c r="P1284" s="35"/>
      <x:c r="Q1284" s="35"/>
      <x:c r="R1284" s="35"/>
      <x:c r="S1284" s="35"/>
      <x:c r="T1284" s="35"/>
      <x:c r="U1284" s="35"/>
      <x:c r="V1284" s="35"/>
      <x:c r="W1284" s="35"/>
      <x:c r="X1284" s="35"/>
      <x:c r="Y1284" s="35"/>
      <x:c r="Z1284" s="35"/>
      <x:c r="AA1284" s="35"/>
    </x:row>
    <x:row r="1285">
      <x:c r="A1285" s="136" t="str">
        <x:v>DrillCamp | Skirmish | Crossley Creek</x:v>
      </x:c>
      <x:c r="B1285" s="136" t="str">
        <x:v>Gun | 3-inch Ordnance · Entity-1453 [map-62/031]</x:v>
      </x:c>
      <x:c r="C1285" s="136" t="str">
        <x:v>gun_spawn</x:v>
      </x:c>
      <x:c r="D1285" s="136" t="str"/>
      <x:c r="E1285" s="136" t="str">
        <x:v>3-inch Ordnance · Entity-1453</x:v>
      </x:c>
      <x:c r="F1285" s="137" t="n">
        <x:v>2045.507080078125</x:v>
      </x:c>
      <x:c r="G1285" s="137" t="n">
        <x:v>2988.56005859375</x:v>
      </x:c>
      <x:c r="H1285" s="137" t="n">
        <x:v>48.61488342285156</x:v>
      </x:c>
      <x:c r="I1285" s="137" t="n">
        <x:v>982.437979971077</x:v>
      </x:c>
      <x:c r="J1285" s="137" t="n">
        <x:v>1515.0859223329055</x:v>
      </x:c>
      <x:c r="K1285" s="136" t="str">
        <x:v>map-62</x:v>
      </x:c>
      <x:c r="L1285" s="136" t="str">
        <x:v>DrillCamp | Skirmish | Crossley Creek||Gun | 3-inch Ordnance · Entity-1453 [map-62/031]</x:v>
      </x:c>
      <x:c r="M1285" s="35"/>
      <x:c r="N1285" s="35"/>
      <x:c r="O1285" s="35"/>
      <x:c r="P1285" s="35"/>
      <x:c r="Q1285" s="35"/>
      <x:c r="R1285" s="35"/>
      <x:c r="S1285" s="35"/>
      <x:c r="T1285" s="35"/>
      <x:c r="U1285" s="35"/>
      <x:c r="V1285" s="35"/>
      <x:c r="W1285" s="35"/>
      <x:c r="X1285" s="35"/>
      <x:c r="Y1285" s="35"/>
      <x:c r="Z1285" s="35"/>
      <x:c r="AA1285" s="35"/>
    </x:row>
    <x:row r="1286">
      <x:c r="A1286" s="136" t="str">
        <x:v>DrillCamp | Skirmish | Crossley Creek</x:v>
      </x:c>
      <x:c r="B1286" s="136" t="str">
        <x:v>Gun | 12-pounder Napoleon (CSA) · Entity-1435 [map-62/032]</x:v>
      </x:c>
      <x:c r="C1286" s="136" t="str">
        <x:v>gun_spawn</x:v>
      </x:c>
      <x:c r="D1286" s="136" t="str"/>
      <x:c r="E1286" s="136" t="str">
        <x:v>12-pounder Napoleon (CSA) · Entity-1435</x:v>
      </x:c>
      <x:c r="F1286" s="137" t="n">
        <x:v>2031.7908935546875</x:v>
      </x:c>
      <x:c r="G1286" s="137" t="n">
        <x:v>3073.33935546875</x:v>
      </x:c>
      <x:c r="H1286" s="137" t="n">
        <x:v>51.51060485839844</x:v>
      </x:c>
      <x:c r="I1286" s="137" t="n">
        <x:v>957.396519473453</x:v>
      </x:c>
      <x:c r="J1286" s="137" t="n">
        <x:v>1361.952728954715</x:v>
      </x:c>
      <x:c r="K1286" s="136" t="str">
        <x:v>map-62</x:v>
      </x:c>
      <x:c r="L1286" s="136" t="str">
        <x:v>DrillCamp | Skirmish | Crossley Creek||Gun | 12-pounder Napoleon (CSA) · Entity-1435 [map-62/032]</x:v>
      </x:c>
      <x:c r="M1286" s="35"/>
      <x:c r="N1286" s="35"/>
      <x:c r="O1286" s="35"/>
      <x:c r="P1286" s="35"/>
      <x:c r="Q1286" s="35"/>
      <x:c r="R1286" s="35"/>
      <x:c r="S1286" s="35"/>
      <x:c r="T1286" s="35"/>
      <x:c r="U1286" s="35"/>
      <x:c r="V1286" s="35"/>
      <x:c r="W1286" s="35"/>
      <x:c r="X1286" s="35"/>
      <x:c r="Y1286" s="35"/>
      <x:c r="Z1286" s="35"/>
      <x:c r="AA1286" s="35"/>
    </x:row>
    <x:row r="1287">
      <x:c r="A1287" s="136" t="str">
        <x:v>DrillCamp | Skirmish | Crossley Creek</x:v>
      </x:c>
      <x:c r="B1287" s="136" t="str">
        <x:v>Gun | 3-inch Ordnance · Entity-1447 [map-62/033]</x:v>
      </x:c>
      <x:c r="C1287" s="136" t="str">
        <x:v>gun_spawn</x:v>
      </x:c>
      <x:c r="D1287" s="136" t="str"/>
      <x:c r="E1287" s="136" t="str">
        <x:v>3-inch Ordnance · Entity-1447</x:v>
      </x:c>
      <x:c r="F1287" s="137" t="n">
        <x:v>2067.130126953125</x:v>
      </x:c>
      <x:c r="G1287" s="137" t="n">
        <x:v>2993.878173828125</x:v>
      </x:c>
      <x:c r="H1287" s="137" t="n">
        <x:v>47.67069625854492</x:v>
      </x:c>
      <x:c r="I1287" s="137" t="n">
        <x:v>1021.4722478887204</x:v>
      </x:c>
      <x:c r="J1287" s="137" t="n">
        <x:v>1505.5158467224398</x:v>
      </x:c>
      <x:c r="K1287" s="136" t="str">
        <x:v>map-62</x:v>
      </x:c>
      <x:c r="L1287" s="136" t="str">
        <x:v>DrillCamp | Skirmish | Crossley Creek||Gun | 3-inch Ordnance · Entity-1447 [map-62/033]</x:v>
      </x:c>
      <x:c r="M1287" s="35"/>
      <x:c r="N1287" s="35"/>
      <x:c r="O1287" s="35"/>
      <x:c r="P1287" s="35"/>
      <x:c r="Q1287" s="35"/>
      <x:c r="R1287" s="35"/>
      <x:c r="S1287" s="35"/>
      <x:c r="T1287" s="35"/>
      <x:c r="U1287" s="35"/>
      <x:c r="V1287" s="35"/>
      <x:c r="W1287" s="35"/>
      <x:c r="X1287" s="35"/>
      <x:c r="Y1287" s="35"/>
      <x:c r="Z1287" s="35"/>
      <x:c r="AA1287" s="35"/>
    </x:row>
    <x:row r="1288">
      <x:c r="A1288" s="136" t="str">
        <x:v>DrillCamp | Skirmish | Crossley Creek</x:v>
      </x:c>
      <x:c r="B1288" s="136" t="str">
        <x:v>Gun | 12-pounder Napoleon (CSA) · Entity-1437 [map-62/034]</x:v>
      </x:c>
      <x:c r="C1288" s="136" t="str">
        <x:v>gun_spawn</x:v>
      </x:c>
      <x:c r="D1288" s="136" t="str"/>
      <x:c r="E1288" s="136" t="str">
        <x:v>12-pounder Napoleon (CSA) · Entity-1437</x:v>
      </x:c>
      <x:c r="F1288" s="137" t="n">
        <x:v>2024.25390625</x:v>
      </x:c>
      <x:c r="G1288" s="137" t="n">
        <x:v>3071.572998046875</x:v>
      </x:c>
      <x:c r="H1288" s="137" t="n">
        <x:v>51.218467712402344</x:v>
      </x:c>
      <x:c r="I1288" s="137" t="n">
        <x:v>943.7903519994352</x:v>
      </x:c>
      <x:c r="J1288" s="137" t="n">
        <x:v>1365.130765847341</x:v>
      </x:c>
      <x:c r="K1288" s="136" t="str">
        <x:v>map-62</x:v>
      </x:c>
      <x:c r="L1288" s="136" t="str">
        <x:v>DrillCamp | Skirmish | Crossley Creek||Gun | 12-pounder Napoleon (CSA) · Entity-1437 [map-62/034]</x:v>
      </x:c>
      <x:c r="M1288" s="35"/>
      <x:c r="N1288" s="35"/>
      <x:c r="O1288" s="35"/>
      <x:c r="P1288" s="35"/>
      <x:c r="Q1288" s="35"/>
      <x:c r="R1288" s="35"/>
      <x:c r="S1288" s="35"/>
      <x:c r="T1288" s="35"/>
      <x:c r="U1288" s="35"/>
      <x:c r="V1288" s="35"/>
      <x:c r="W1288" s="35"/>
      <x:c r="X1288" s="35"/>
      <x:c r="Y1288" s="35"/>
      <x:c r="Z1288" s="35"/>
      <x:c r="AA1288" s="35"/>
    </x:row>
    <x:row r="1289">
      <x:c r="A1289" s="136" t="str">
        <x:v>DrillCamp | Skirmish | Crossley Creek</x:v>
      </x:c>
      <x:c r="B1289" s="136" t="str">
        <x:v>Gun | 12-pounder Napoleon (USA) · Entity-1422 [map-62/035]</x:v>
      </x:c>
      <x:c r="C1289" s="136" t="str">
        <x:v>gun_spawn</x:v>
      </x:c>
      <x:c r="D1289" s="136" t="str"/>
      <x:c r="E1289" s="136" t="str">
        <x:v>12-pounder Napoleon (USA) · Entity-1422</x:v>
      </x:c>
      <x:c r="F1289" s="137" t="n">
        <x:v>1954.2855224609375</x:v>
      </x:c>
      <x:c r="G1289" s="137" t="n">
        <x:v>3248.549072265625</x:v>
      </x:c>
      <x:c r="H1289" s="137" t="n">
        <x:v>48.97645950317383</x:v>
      </x:c>
      <x:c r="I1289" s="137" t="n">
        <x:v>816.8638002094409</x:v>
      </x:c>
      <x:c r="J1289" s="137" t="n">
        <x:v>1045.40067223235</x:v>
      </x:c>
      <x:c r="K1289" s="136" t="str">
        <x:v>map-62</x:v>
      </x:c>
      <x:c r="L1289" s="136" t="str">
        <x:v>DrillCamp | Skirmish | Crossley Creek||Gun | 12-pounder Napoleon (USA) · Entity-1422 [map-62/035]</x:v>
      </x:c>
      <x:c r="M1289" s="35"/>
      <x:c r="N1289" s="35"/>
      <x:c r="O1289" s="35"/>
      <x:c r="P1289" s="35"/>
      <x:c r="Q1289" s="35"/>
      <x:c r="R1289" s="35"/>
      <x:c r="S1289" s="35"/>
      <x:c r="T1289" s="35"/>
      <x:c r="U1289" s="35"/>
      <x:c r="V1289" s="35"/>
      <x:c r="W1289" s="35"/>
      <x:c r="X1289" s="35"/>
      <x:c r="Y1289" s="35"/>
      <x:c r="Z1289" s="35"/>
      <x:c r="AA1289" s="35"/>
    </x:row>
    <x:row r="1290">
      <x:c r="A1290" s="136" t="str">
        <x:v>DrillCamp | Skirmish | Crossley Creek</x:v>
      </x:c>
      <x:c r="B1290" s="136" t="str">
        <x:v>Gun | 10-pounder Parrott · Entity-1419 [map-62/036]</x:v>
      </x:c>
      <x:c r="C1290" s="136" t="str">
        <x:v>gun_spawn</x:v>
      </x:c>
      <x:c r="D1290" s="136" t="str"/>
      <x:c r="E1290" s="136" t="str">
        <x:v>10-pounder Parrott · Entity-1419</x:v>
      </x:c>
      <x:c r="F1290" s="137" t="n">
        <x:v>1979.7657470703125</x:v>
      </x:c>
      <x:c r="G1290" s="137" t="n">
        <x:v>3258.45654296875</x:v>
      </x:c>
      <x:c r="H1290" s="137" t="n">
        <x:v>48.0586051940918</x:v>
      </x:c>
      <x:c r="I1290" s="137" t="n">
        <x:v>862.8495104038338</x:v>
      </x:c>
      <x:c r="J1290" s="137" t="n">
        <x:v>1027.548366857509</x:v>
      </x:c>
      <x:c r="K1290" s="136" t="str">
        <x:v>map-62</x:v>
      </x:c>
      <x:c r="L1290" s="136" t="str">
        <x:v>DrillCamp | Skirmish | Crossley Creek||Gun | 10-pounder Parrott · Entity-1419 [map-62/036]</x:v>
      </x:c>
      <x:c r="M1290" s="35"/>
      <x:c r="N1290" s="35"/>
      <x:c r="O1290" s="35"/>
      <x:c r="P1290" s="35"/>
      <x:c r="Q1290" s="35"/>
      <x:c r="R1290" s="35"/>
      <x:c r="S1290" s="35"/>
      <x:c r="T1290" s="35"/>
      <x:c r="U1290" s="35"/>
      <x:c r="V1290" s="35"/>
      <x:c r="W1290" s="35"/>
      <x:c r="X1290" s="35"/>
      <x:c r="Y1290" s="35"/>
      <x:c r="Z1290" s="35"/>
      <x:c r="AA1290" s="35"/>
    </x:row>
    <x:row r="1291">
      <x:c r="A1291" s="136" t="str">
        <x:v>DrillCamp | Skirmish | Union Camp</x:v>
      </x:c>
      <x:c r="B1291" s="136" t="str">
        <x:v>Spawn | CSA Spawnpoint_UC_Mounted_CSA_1stVA [map-63/001]</x:v>
      </x:c>
      <x:c r="C1291" s="136" t="str">
        <x:v>spawn</x:v>
      </x:c>
      <x:c r="D1291" s="136" t="str">
        <x:v>CSA</x:v>
      </x:c>
      <x:c r="E1291" s="136" t="str">
        <x:v>Spawnpoint_UC_Mounted_CSA_1stVA</x:v>
      </x:c>
      <x:c r="F1291" s="137" t="n">
        <x:v>1419.4027099609375</x:v>
      </x:c>
      <x:c r="G1291" s="137" t="n">
        <x:v>3765.64013671875</x:v>
      </x:c>
      <x:c r="H1291" s="137" t="n">
        <x:v>57.847862243652344</x:v>
      </x:c>
      <x:c r="I1291" s="137" t="n">
        <x:v>382.3093454966736</x:v>
      </x:c>
      <x:c r="J1291" s="137" t="n">
        <x:v>544.41616822104</x:v>
      </x:c>
      <x:c r="K1291" s="136" t="str">
        <x:v>map-63</x:v>
      </x:c>
      <x:c r="L1291" s="136" t="str">
        <x:v>DrillCamp | Skirmish | Union Camp||Spawn | CSA Spawnpoint_UC_Mounted_CSA_1stVA [map-63/001]</x:v>
      </x:c>
      <x:c r="M1291" s="35"/>
      <x:c r="N1291" s="35"/>
      <x:c r="O1291" s="35"/>
      <x:c r="P1291" s="35"/>
      <x:c r="Q1291" s="35"/>
      <x:c r="R1291" s="35"/>
      <x:c r="S1291" s="35"/>
      <x:c r="T1291" s="35"/>
      <x:c r="U1291" s="35"/>
      <x:c r="V1291" s="35"/>
      <x:c r="W1291" s="35"/>
      <x:c r="X1291" s="35"/>
      <x:c r="Y1291" s="35"/>
      <x:c r="Z1291" s="35"/>
      <x:c r="AA1291" s="35"/>
    </x:row>
    <x:row r="1292">
      <x:c r="A1292" s="136" t="str">
        <x:v>DrillCamp | Skirmish | Union Camp</x:v>
      </x:c>
      <x:c r="B1292" s="136" t="str">
        <x:v>Artillery | CSA Spawnpoint_UC_CSA_Arty_Base [map-63/002]</x:v>
      </x:c>
      <x:c r="C1292" s="136" t="str">
        <x:v>battery</x:v>
      </x:c>
      <x:c r="D1292" s="136" t="str">
        <x:v>CSA</x:v>
      </x:c>
      <x:c r="E1292" s="136" t="str">
        <x:v>Spawnpoint_UC_CSA_Arty_Base</x:v>
      </x:c>
      <x:c r="F1292" s="137" t="n">
        <x:v>1670.133544921875</x:v>
      </x:c>
      <x:c r="G1292" s="137" t="n">
        <x:v>3799.96728515625</x:v>
      </x:c>
      <x:c r="H1292" s="137" t="n">
        <x:v>54.398590087890625</x:v>
      </x:c>
      <x:c r="I1292" s="137" t="n">
        <x:v>901.4181531740359</x:v>
      </x:c>
      <x:c r="J1292" s="137" t="n">
        <x:v>474.2544915026313</x:v>
      </x:c>
      <x:c r="K1292" s="136" t="str">
        <x:v>map-63</x:v>
      </x:c>
      <x:c r="L1292" s="136" t="str">
        <x:v>DrillCamp | Skirmish | Union Camp||Artillery | CSA Spawnpoint_UC_CSA_Arty_Base [map-63/002]</x:v>
      </x:c>
      <x:c r="M1292" s="35"/>
      <x:c r="N1292" s="35"/>
      <x:c r="O1292" s="35"/>
      <x:c r="P1292" s="35"/>
      <x:c r="Q1292" s="35"/>
      <x:c r="R1292" s="35"/>
      <x:c r="S1292" s="35"/>
      <x:c r="T1292" s="35"/>
      <x:c r="U1292" s="35"/>
      <x:c r="V1292" s="35"/>
      <x:c r="W1292" s="35"/>
      <x:c r="X1292" s="35"/>
      <x:c r="Y1292" s="35"/>
      <x:c r="Z1292" s="35"/>
      <x:c r="AA1292" s="35"/>
    </x:row>
    <x:row r="1293">
      <x:c r="A1293" s="136" t="str">
        <x:v>DrillCamp | Skirmish | Union Camp</x:v>
      </x:c>
      <x:c r="B1293" s="136" t="str">
        <x:v>Spawn | USA Spawnpoint_UC_Base_USA_1stUSSS1 [map-63/003]</x:v>
      </x:c>
      <x:c r="C1293" s="136" t="str">
        <x:v>spawn</x:v>
      </x:c>
      <x:c r="D1293" s="136" t="str">
        <x:v>USA</x:v>
      </x:c>
      <x:c r="E1293" s="136" t="str">
        <x:v>Spawnpoint_UC_Base_USA_1stUSSS1</x:v>
      </x:c>
      <x:c r="F1293" s="137" t="n">
        <x:v>1726.9053955078125</x:v>
      </x:c>
      <x:c r="G1293" s="137" t="n">
        <x:v>3119.000244140625</x:v>
      </x:c>
      <x:c r="H1293" s="137" t="n">
        <x:v>54.46312713623047</x:v>
      </x:c>
      <x:c r="I1293" s="137" t="n">
        <x:v>1010.4259587260731</x:v>
      </x:c>
      <x:c r="J1293" s="137" t="n">
        <x:v>1866.0913192723328</x:v>
      </x:c>
      <x:c r="K1293" s="136" t="str">
        <x:v>map-63</x:v>
      </x:c>
      <x:c r="L1293" s="136" t="str">
        <x:v>DrillCamp | Skirmish | Union Camp||Spawn | USA Spawnpoint_UC_Base_USA_1stUSSS1 [map-63/003]</x:v>
      </x:c>
      <x:c r="M1293" s="35"/>
      <x:c r="N1293" s="35"/>
      <x:c r="O1293" s="35"/>
      <x:c r="P1293" s="35"/>
      <x:c r="Q1293" s="35"/>
      <x:c r="R1293" s="35"/>
      <x:c r="S1293" s="35"/>
      <x:c r="T1293" s="35"/>
      <x:c r="U1293" s="35"/>
      <x:c r="V1293" s="35"/>
      <x:c r="W1293" s="35"/>
      <x:c r="X1293" s="35"/>
      <x:c r="Y1293" s="35"/>
      <x:c r="Z1293" s="35"/>
      <x:c r="AA1293" s="35"/>
    </x:row>
    <x:row r="1294">
      <x:c r="A1294" s="136" t="str">
        <x:v>DrillCamp | Skirmish | Union Camp</x:v>
      </x:c>
      <x:c r="B1294" s="136" t="str">
        <x:v>Spawn | CSA Spawnpoint_UC_Base_CSA_4thNC1 [map-63/004]</x:v>
      </x:c>
      <x:c r="C1294" s="136" t="str">
        <x:v>spawn</x:v>
      </x:c>
      <x:c r="D1294" s="136" t="str">
        <x:v>CSA</x:v>
      </x:c>
      <x:c r="E1294" s="136" t="str">
        <x:v>Spawnpoint_UC_Base_CSA_4thNC1</x:v>
      </x:c>
      <x:c r="F1294" s="137" t="n">
        <x:v>1819.44970703125</x:v>
      </x:c>
      <x:c r="G1294" s="137" t="n">
        <x:v>3826.724853515625</x:v>
      </x:c>
      <x:c r="H1294" s="137" t="n">
        <x:v>54.40201187133789</x:v>
      </x:c>
      <x:c r="I1294" s="137" t="n">
        <x:v>1210.637992020763</x:v>
      </x:c>
      <x:c r="J1294" s="137" t="n">
        <x:v>419.5643716862614</x:v>
      </x:c>
      <x:c r="K1294" s="136" t="str">
        <x:v>map-63</x:v>
      </x:c>
      <x:c r="L1294" s="136" t="str">
        <x:v>DrillCamp | Skirmish | Union Camp||Spawn | CSA Spawnpoint_UC_Base_CSA_4thNC1 [map-63/004]</x:v>
      </x:c>
      <x:c r="M1294" s="35"/>
      <x:c r="N1294" s="35"/>
      <x:c r="O1294" s="35"/>
      <x:c r="P1294" s="35"/>
      <x:c r="Q1294" s="35"/>
      <x:c r="R1294" s="35"/>
      <x:c r="S1294" s="35"/>
      <x:c r="T1294" s="35"/>
      <x:c r="U1294" s="35"/>
      <x:c r="V1294" s="35"/>
      <x:c r="W1294" s="35"/>
      <x:c r="X1294" s="35"/>
      <x:c r="Y1294" s="35"/>
      <x:c r="Z1294" s="35"/>
      <x:c r="AA1294" s="35"/>
    </x:row>
    <x:row r="1295">
      <x:c r="A1295" s="136" t="str">
        <x:v>DrillCamp | Skirmish | Union Camp</x:v>
      </x:c>
      <x:c r="B1295" s="136" t="str">
        <x:v>Spawn | USA Spawnpoint_UC_Mounted_USA_6thPA [map-63/005]</x:v>
      </x:c>
      <x:c r="C1295" s="136" t="str">
        <x:v>spawn</x:v>
      </x:c>
      <x:c r="D1295" s="136" t="str">
        <x:v>USA</x:v>
      </x:c>
      <x:c r="E1295" s="136" t="str">
        <x:v>Spawnpoint_UC_Mounted_USA_6thPA</x:v>
      </x:c>
      <x:c r="F1295" s="137" t="n">
        <x:v>1578.644287109375</x:v>
      </x:c>
      <x:c r="G1295" s="137" t="n">
        <x:v>3048.577880859375</x:v>
      </x:c>
      <x:c r="H1295" s="137" t="n">
        <x:v>56.85000228881836</x:v>
      </x:c>
      <x:c r="I1295" s="137" t="n">
        <x:v>702.847804596977</x:v>
      </x:c>
      <x:c r="J1295" s="137" t="n">
        <x:v>2010.0284451679331</x:v>
      </x:c>
      <x:c r="K1295" s="136" t="str">
        <x:v>map-63</x:v>
      </x:c>
      <x:c r="L1295" s="136" t="str">
        <x:v>DrillCamp | Skirmish | Union Camp||Spawn | USA Spawnpoint_UC_Mounted_USA_6thPA [map-63/005]</x:v>
      </x:c>
      <x:c r="M1295" s="35"/>
      <x:c r="N1295" s="35"/>
      <x:c r="O1295" s="35"/>
      <x:c r="P1295" s="35"/>
      <x:c r="Q1295" s="35"/>
      <x:c r="R1295" s="35"/>
      <x:c r="S1295" s="35"/>
      <x:c r="T1295" s="35"/>
      <x:c r="U1295" s="35"/>
      <x:c r="V1295" s="35"/>
      <x:c r="W1295" s="35"/>
      <x:c r="X1295" s="35"/>
      <x:c r="Y1295" s="35"/>
      <x:c r="Z1295" s="35"/>
      <x:c r="AA1295" s="35"/>
    </x:row>
    <x:row r="1296">
      <x:c r="A1296" s="136" t="str">
        <x:v>DrillCamp | Skirmish | Union Camp</x:v>
      </x:c>
      <x:c r="B1296" s="136" t="str">
        <x:v>Artillery | CSA Spawnpoint_UC_CSA_Arty_Jordan_Forward [map-63/006]</x:v>
      </x:c>
      <x:c r="C1296" s="136" t="str">
        <x:v>battery</x:v>
      </x:c>
      <x:c r="D1296" s="136" t="str">
        <x:v>CSA</x:v>
      </x:c>
      <x:c r="E1296" s="136" t="str">
        <x:v>Spawnpoint_UC_CSA_Arty_Jordan_Forward</x:v>
      </x:c>
      <x:c r="F1296" s="137" t="n">
        <x:v>1571.9320068359375</x:v>
      </x:c>
      <x:c r="G1296" s="137" t="n">
        <x:v>3638.4638671875</x:v>
      </x:c>
      <x:c r="H1296" s="137" t="n">
        <x:v>58.78547668457031</x:v>
      </x:c>
      <x:c r="I1296" s="137" t="n">
        <x:v>696.2693219171225</x:v>
      </x:c>
      <x:c r="J1296" s="137" t="n">
        <x:v>804.3532942351874</x:v>
      </x:c>
      <x:c r="K1296" s="136" t="str">
        <x:v>map-63</x:v>
      </x:c>
      <x:c r="L1296" s="136" t="str">
        <x:v>DrillCamp | Skirmish | Union Camp||Artillery | CSA Spawnpoint_UC_CSA_Arty_Jordan_Forward [map-63/006]</x:v>
      </x:c>
      <x:c r="M1296" s="35"/>
      <x:c r="N1296" s="35"/>
      <x:c r="O1296" s="35"/>
      <x:c r="P1296" s="35"/>
      <x:c r="Q1296" s="35"/>
      <x:c r="R1296" s="35"/>
      <x:c r="S1296" s="35"/>
      <x:c r="T1296" s="35"/>
      <x:c r="U1296" s="35"/>
      <x:c r="V1296" s="35"/>
      <x:c r="W1296" s="35"/>
      <x:c r="X1296" s="35"/>
      <x:c r="Y1296" s="35"/>
      <x:c r="Z1296" s="35"/>
      <x:c r="AA1296" s="35"/>
    </x:row>
    <x:row r="1297">
      <x:c r="A1297" s="136" t="str">
        <x:v>DrillCamp | Skirmish | Union Camp</x:v>
      </x:c>
      <x:c r="B1297" s="136" t="str">
        <x:v>Spawn | CSA Spawnpoint_UC_Base_CSA_1stVA [map-63/007]</x:v>
      </x:c>
      <x:c r="C1297" s="136" t="str">
        <x:v>spawn</x:v>
      </x:c>
      <x:c r="D1297" s="136" t="str">
        <x:v>CSA</x:v>
      </x:c>
      <x:c r="E1297" s="136" t="str">
        <x:v>Spawnpoint_UC_Base_CSA_1stVA</x:v>
      </x:c>
      <x:c r="F1297" s="137" t="n">
        <x:v>1698.969482421875</x:v>
      </x:c>
      <x:c r="G1297" s="137" t="n">
        <x:v>3840.088134765625</x:v>
      </x:c>
      <x:c r="H1297" s="137" t="n">
        <x:v>53.12932586669922</x:v>
      </x:c>
      <x:c r="I1297" s="137" t="n">
        <x:v>961.5676693164248</x:v>
      </x:c>
      <x:c r="J1297" s="137" t="n">
        <x:v>392.2509984048553</x:v>
      </x:c>
      <x:c r="K1297" s="136" t="str">
        <x:v>map-63</x:v>
      </x:c>
      <x:c r="L1297" s="136" t="str">
        <x:v>DrillCamp | Skirmish | Union Camp||Spawn | CSA Spawnpoint_UC_Base_CSA_1stVA [map-63/007]</x:v>
      </x:c>
      <x:c r="M1297" s="35"/>
      <x:c r="N1297" s="35"/>
      <x:c r="O1297" s="35"/>
      <x:c r="P1297" s="35"/>
      <x:c r="Q1297" s="35"/>
      <x:c r="R1297" s="35"/>
      <x:c r="S1297" s="35"/>
      <x:c r="T1297" s="35"/>
      <x:c r="U1297" s="35"/>
      <x:c r="V1297" s="35"/>
      <x:c r="W1297" s="35"/>
      <x:c r="X1297" s="35"/>
      <x:c r="Y1297" s="35"/>
      <x:c r="Z1297" s="35"/>
      <x:c r="AA1297" s="35"/>
    </x:row>
    <x:row r="1298">
      <x:c r="A1298" s="136" t="str">
        <x:v>DrillCamp | Skirmish | Union Camp</x:v>
      </x:c>
      <x:c r="B1298" s="136" t="str">
        <x:v>Spawn | USA Spawnpoint_UC_Base_USA_6thPA [map-63/008]</x:v>
      </x:c>
      <x:c r="C1298" s="136" t="str">
        <x:v>spawn</x:v>
      </x:c>
      <x:c r="D1298" s="136" t="str">
        <x:v>USA</x:v>
      </x:c>
      <x:c r="E1298" s="136" t="str">
        <x:v>Spawnpoint_UC_Base_USA_6thPA</x:v>
      </x:c>
      <x:c r="F1298" s="137" t="n">
        <x:v>1708.8153076171875</x:v>
      </x:c>
      <x:c r="G1298" s="137" t="n">
        <x:v>3128.215576171875</x:v>
      </x:c>
      <x:c r="H1298" s="137" t="n">
        <x:v>55.50162124633789</x:v>
      </x:c>
      <x:c r="I1298" s="137" t="n">
        <x:v>973.1173850226941</x:v>
      </x:c>
      <x:c r="J1298" s="137" t="n">
        <x:v>1847.2559899117666</x:v>
      </x:c>
      <x:c r="K1298" s="136" t="str">
        <x:v>map-63</x:v>
      </x:c>
      <x:c r="L1298" s="136" t="str">
        <x:v>DrillCamp | Skirmish | Union Camp||Spawn | USA Spawnpoint_UC_Base_USA_6thPA [map-63/008]</x:v>
      </x:c>
      <x:c r="M1298" s="35"/>
      <x:c r="N1298" s="35"/>
      <x:c r="O1298" s="35"/>
      <x:c r="P1298" s="35"/>
      <x:c r="Q1298" s="35"/>
      <x:c r="R1298" s="35"/>
      <x:c r="S1298" s="35"/>
      <x:c r="T1298" s="35"/>
      <x:c r="U1298" s="35"/>
      <x:c r="V1298" s="35"/>
      <x:c r="W1298" s="35"/>
      <x:c r="X1298" s="35"/>
      <x:c r="Y1298" s="35"/>
      <x:c r="Z1298" s="35"/>
      <x:c r="AA1298" s="35"/>
    </x:row>
    <x:row r="1299">
      <x:c r="A1299" s="136" t="str">
        <x:v>DrillCamp | Skirmish | Union Camp</x:v>
      </x:c>
      <x:c r="B1299" s="136" t="str">
        <x:v>Spawn | USA Spawnpoint_UC_Defend_USA_32ndOH1 [map-63/009]</x:v>
      </x:c>
      <x:c r="C1299" s="136" t="str">
        <x:v>spawn</x:v>
      </x:c>
      <x:c r="D1299" s="136" t="str">
        <x:v>USA</x:v>
      </x:c>
      <x:c r="E1299" s="136" t="str">
        <x:v>Spawnpoint_UC_Defend_USA_32ndOH1</x:v>
      </x:c>
      <x:c r="F1299" s="137" t="n">
        <x:v>1747.294677734375</x:v>
      </x:c>
      <x:c r="G1299" s="137" t="n">
        <x:v>3351.543701171875</x:v>
      </x:c>
      <x:c r="H1299" s="137" t="n">
        <x:v>57.56149673461914</x:v>
      </x:c>
      <x:c r="I1299" s="137" t="n">
        <x:v>1055.4855959610636</x:v>
      </x:c>
      <x:c r="J1299" s="137" t="n">
        <x:v>1390.792915592986</x:v>
      </x:c>
      <x:c r="K1299" s="136" t="str">
        <x:v>map-63</x:v>
      </x:c>
      <x:c r="L1299" s="136" t="str">
        <x:v>DrillCamp | Skirmish | Union Camp||Spawn | USA Spawnpoint_UC_Defend_USA_32ndOH1 [map-63/009]</x:v>
      </x:c>
      <x:c r="M1299" s="35"/>
      <x:c r="N1299" s="35"/>
      <x:c r="O1299" s="35"/>
      <x:c r="P1299" s="35"/>
      <x:c r="Q1299" s="35"/>
      <x:c r="R1299" s="35"/>
      <x:c r="S1299" s="35"/>
      <x:c r="T1299" s="35"/>
      <x:c r="U1299" s="35"/>
      <x:c r="V1299" s="35"/>
      <x:c r="W1299" s="35"/>
      <x:c r="X1299" s="35"/>
      <x:c r="Y1299" s="35"/>
      <x:c r="Z1299" s="35"/>
      <x:c r="AA1299" s="35"/>
    </x:row>
    <x:row r="1300">
      <x:c r="A1300" s="136" t="str">
        <x:v>DrillCamp | Skirmish | Union Camp</x:v>
      </x:c>
      <x:c r="B1300" s="136" t="str">
        <x:v>Objective | Skirmish_10_VictorySequence [map-63/010]</x:v>
      </x:c>
      <x:c r="C1300" s="136" t="str">
        <x:v>objective</x:v>
      </x:c>
      <x:c r="D1300" s="136" t="str"/>
      <x:c r="E1300" s="136" t="str">
        <x:v>Skirmish_10_VictorySequence</x:v>
      </x:c>
      <x:c r="F1300" s="137" t="n">
        <x:v>1724.4359130859375</x:v>
      </x:c>
      <x:c r="G1300" s="137" t="n">
        <x:v>3319.675048828125</x:v>
      </x:c>
      <x:c r="H1300" s="137" t="n">
        <x:v>55.56624984741211</x:v>
      </x:c>
      <x:c r="I1300" s="137" t="n">
        <x:v>1007.8032016403018</x:v>
      </x:c>
      <x:c r="J1300" s="137" t="n">
        <x:v>1455.929642206459</x:v>
      </x:c>
      <x:c r="K1300" s="136" t="str">
        <x:v>map-63</x:v>
      </x:c>
      <x:c r="L1300" s="136" t="str">
        <x:v>DrillCamp | Skirmish | Union Camp||Objective | Skirmish_10_VictorySequence [map-63/010]</x:v>
      </x:c>
      <x:c r="M1300" s="35"/>
      <x:c r="N1300" s="35"/>
      <x:c r="O1300" s="35"/>
      <x:c r="P1300" s="35"/>
      <x:c r="Q1300" s="35"/>
      <x:c r="R1300" s="35"/>
      <x:c r="S1300" s="35"/>
      <x:c r="T1300" s="35"/>
      <x:c r="U1300" s="35"/>
      <x:c r="V1300" s="35"/>
      <x:c r="W1300" s="35"/>
      <x:c r="X1300" s="35"/>
      <x:c r="Y1300" s="35"/>
      <x:c r="Z1300" s="35"/>
      <x:c r="AA1300" s="35"/>
    </x:row>
    <x:row r="1301">
      <x:c r="A1301" s="136" t="str">
        <x:v>DrillCamp | Skirmish | Union Camp</x:v>
      </x:c>
      <x:c r="B1301" s="136" t="str">
        <x:v>Spawn | USA Spawnpoint_UC_Defend_USA_1stUSSS1 [map-63/011]</x:v>
      </x:c>
      <x:c r="C1301" s="136" t="str">
        <x:v>spawn</x:v>
      </x:c>
      <x:c r="D1301" s="136" t="str">
        <x:v>USA</x:v>
      </x:c>
      <x:c r="E1301" s="136" t="str">
        <x:v>Spawnpoint_UC_Defend_USA_1stUSSS1</x:v>
      </x:c>
      <x:c r="F1301" s="137" t="n">
        <x:v>1727.966796875</x:v>
      </x:c>
      <x:c r="G1301" s="137" t="n">
        <x:v>3366.115478515625</x:v>
      </x:c>
      <x:c r="H1301" s="137" t="n">
        <x:v>56.970054626464844</x:v>
      </x:c>
      <x:c r="I1301" s="137" t="n">
        <x:v>1015.6827683552467</x:v>
      </x:c>
      <x:c r="J1301" s="137" t="n">
        <x:v>1361.009482428816</x:v>
      </x:c>
      <x:c r="K1301" s="136" t="str">
        <x:v>map-63</x:v>
      </x:c>
      <x:c r="L1301" s="136" t="str">
        <x:v>DrillCamp | Skirmish | Union Camp||Spawn | USA Spawnpoint_UC_Defend_USA_1stUSSS1 [map-63/011]</x:v>
      </x:c>
      <x:c r="M1301" s="35"/>
      <x:c r="N1301" s="35"/>
      <x:c r="O1301" s="35"/>
      <x:c r="P1301" s="35"/>
      <x:c r="Q1301" s="35"/>
      <x:c r="R1301" s="35"/>
      <x:c r="S1301" s="35"/>
      <x:c r="T1301" s="35"/>
      <x:c r="U1301" s="35"/>
      <x:c r="V1301" s="35"/>
      <x:c r="W1301" s="35"/>
      <x:c r="X1301" s="35"/>
      <x:c r="Y1301" s="35"/>
      <x:c r="Z1301" s="35"/>
      <x:c r="AA1301" s="35"/>
    </x:row>
    <x:row r="1302">
      <x:c r="A1302" s="136" t="str">
        <x:v>DrillCamp | Skirmish | Union Camp</x:v>
      </x:c>
      <x:c r="B1302" s="136" t="str">
        <x:v>Spawn | USA Spawnpoint_UC_Base_USA_32ndOH2 [map-63/012]</x:v>
      </x:c>
      <x:c r="C1302" s="136" t="str">
        <x:v>spawn</x:v>
      </x:c>
      <x:c r="D1302" s="136" t="str">
        <x:v>USA</x:v>
      </x:c>
      <x:c r="E1302" s="136" t="str">
        <x:v>Spawnpoint_UC_Base_USA_32ndOH2</x:v>
      </x:c>
      <x:c r="F1302" s="137" t="n">
        <x:v>1741.150634765625</x:v>
      </x:c>
      <x:c r="G1302" s="137" t="n">
        <x:v>3108.334228515625</x:v>
      </x:c>
      <x:c r="H1302" s="137" t="n">
        <x:v>53.922550201416016</x:v>
      </x:c>
      <x:c r="I1302" s="137" t="n">
        <x:v>1039.7627744354593</x:v>
      </x:c>
      <x:c r="J1302" s="137" t="n">
        <x:v>1887.8917184962088</x:v>
      </x:c>
      <x:c r="K1302" s="136" t="str">
        <x:v>map-63</x:v>
      </x:c>
      <x:c r="L1302" s="136" t="str">
        <x:v>DrillCamp | Skirmish | Union Camp||Spawn | USA Spawnpoint_UC_Base_USA_32ndOH2 [map-63/012]</x:v>
      </x:c>
      <x:c r="M1302" s="35"/>
      <x:c r="N1302" s="35"/>
      <x:c r="O1302" s="35"/>
      <x:c r="P1302" s="35"/>
      <x:c r="Q1302" s="35"/>
      <x:c r="R1302" s="35"/>
      <x:c r="S1302" s="35"/>
      <x:c r="T1302" s="35"/>
      <x:c r="U1302" s="35"/>
      <x:c r="V1302" s="35"/>
      <x:c r="W1302" s="35"/>
      <x:c r="X1302" s="35"/>
      <x:c r="Y1302" s="35"/>
      <x:c r="Z1302" s="35"/>
      <x:c r="AA1302" s="35"/>
    </x:row>
    <x:row r="1303">
      <x:c r="A1303" s="136" t="str">
        <x:v>DrillCamp | Skirmish | Union Camp</x:v>
      </x:c>
      <x:c r="B1303" s="136" t="str">
        <x:v>Artillery | USA Spawnpoint_UC_USA_Arty_Thompson_Forward [map-63/013]</x:v>
      </x:c>
      <x:c r="C1303" s="136" t="str">
        <x:v>battery</x:v>
      </x:c>
      <x:c r="D1303" s="136" t="str">
        <x:v>USA</x:v>
      </x:c>
      <x:c r="E1303" s="136" t="str">
        <x:v>Spawnpoint_UC_USA_Arty_Thompson_Forward</x:v>
      </x:c>
      <x:c r="F1303" s="137" t="n">
        <x:v>1888.8583984375</x:v>
      </x:c>
      <x:c r="G1303" s="137" t="n">
        <x:v>3344.8642578125</x:v>
      </x:c>
      <x:c r="H1303" s="137" t="n">
        <x:v>52.24581527709961</x:v>
      </x:c>
      <x:c r="I1303" s="137" t="n">
        <x:v>1348.253865165598</x:v>
      </x:c>
      <x:c r="J1303" s="137" t="n">
        <x:v>1404.4451112157203</x:v>
      </x:c>
      <x:c r="K1303" s="136" t="str">
        <x:v>map-63</x:v>
      </x:c>
      <x:c r="L1303" s="136" t="str">
        <x:v>DrillCamp | Skirmish | Union Camp||Artillery | USA Spawnpoint_UC_USA_Arty_Thompson_Forward [map-63/013]</x:v>
      </x:c>
      <x:c r="M1303" s="35"/>
      <x:c r="N1303" s="35"/>
      <x:c r="O1303" s="35"/>
      <x:c r="P1303" s="35"/>
      <x:c r="Q1303" s="35"/>
      <x:c r="R1303" s="35"/>
      <x:c r="S1303" s="35"/>
      <x:c r="T1303" s="35"/>
      <x:c r="U1303" s="35"/>
      <x:c r="V1303" s="35"/>
      <x:c r="W1303" s="35"/>
      <x:c r="X1303" s="35"/>
      <x:c r="Y1303" s="35"/>
      <x:c r="Z1303" s="35"/>
      <x:c r="AA1303" s="35"/>
    </x:row>
    <x:row r="1304">
      <x:c r="A1304" s="136" t="str">
        <x:v>DrillCamp | Skirmish | Union Camp</x:v>
      </x:c>
      <x:c r="B1304" s="136" t="str">
        <x:v>Spawn | USA Spawnpoint_UC_Base_USA_32ndOH1 [map-63/014]</x:v>
      </x:c>
      <x:c r="C1304" s="136" t="str">
        <x:v>spawn</x:v>
      </x:c>
      <x:c r="D1304" s="136" t="str">
        <x:v>USA</x:v>
      </x:c>
      <x:c r="E1304" s="136" t="str">
        <x:v>Spawnpoint_UC_Base_USA_32ndOH1</x:v>
      </x:c>
      <x:c r="F1304" s="137" t="n">
        <x:v>1741.2093505859375</x:v>
      </x:c>
      <x:c r="G1304" s="137" t="n">
        <x:v>3126.7783203125</x:v>
      </x:c>
      <x:c r="H1304" s="137" t="n">
        <x:v>54.47213363647461</x:v>
      </x:c>
      <x:c r="I1304" s="137" t="n">
        <x:v>1040.1127124771058</x:v>
      </x:c>
      <x:c r="J1304" s="137" t="n">
        <x:v>1850.1936146652677</x:v>
      </x:c>
      <x:c r="K1304" s="136" t="str">
        <x:v>map-63</x:v>
      </x:c>
      <x:c r="L1304" s="136" t="str">
        <x:v>DrillCamp | Skirmish | Union Camp||Spawn | USA Spawnpoint_UC_Base_USA_32ndOH1 [map-63/014]</x:v>
      </x:c>
      <x:c r="M1304" s="35"/>
      <x:c r="N1304" s="35"/>
      <x:c r="O1304" s="35"/>
      <x:c r="P1304" s="35"/>
      <x:c r="Q1304" s="35"/>
      <x:c r="R1304" s="35"/>
      <x:c r="S1304" s="35"/>
      <x:c r="T1304" s="35"/>
      <x:c r="U1304" s="35"/>
      <x:c r="V1304" s="35"/>
      <x:c r="W1304" s="35"/>
      <x:c r="X1304" s="35"/>
      <x:c r="Y1304" s="35"/>
      <x:c r="Z1304" s="35"/>
      <x:c r="AA1304" s="35"/>
    </x:row>
    <x:row r="1305">
      <x:c r="A1305" s="136" t="str">
        <x:v>DrillCamp | Skirmish | Union Camp</x:v>
      </x:c>
      <x:c r="B1305" s="136" t="str">
        <x:v>Artillery | CSA Spawnpoint_UC_CSA_Arty_Carlton_Forward [map-63/015]</x:v>
      </x:c>
      <x:c r="C1305" s="136" t="str">
        <x:v>battery</x:v>
      </x:c>
      <x:c r="D1305" s="136" t="str">
        <x:v>CSA</x:v>
      </x:c>
      <x:c r="E1305" s="136" t="str">
        <x:v>Spawnpoint_UC_CSA_Arty_Carlton_Forward</x:v>
      </x:c>
      <x:c r="F1305" s="137" t="n">
        <x:v>1653.012939453125</x:v>
      </x:c>
      <x:c r="G1305" s="137" t="n">
        <x:v>3575.919189453125</x:v>
      </x:c>
      <x:c r="H1305" s="137" t="n">
        <x:v>57.91945266723633</x:v>
      </x:c>
      <x:c r="I1305" s="137" t="n">
        <x:v>863.225619621455</x:v>
      </x:c>
      <x:c r="J1305" s="137" t="n">
        <x:v>932.1891227091434</x:v>
      </x:c>
      <x:c r="K1305" s="136" t="str">
        <x:v>map-63</x:v>
      </x:c>
      <x:c r="L1305" s="136" t="str">
        <x:v>DrillCamp | Skirmish | Union Camp||Artillery | CSA Spawnpoint_UC_CSA_Arty_Carlton_Forward [map-63/015]</x:v>
      </x:c>
      <x:c r="M1305" s="35"/>
      <x:c r="N1305" s="35"/>
      <x:c r="O1305" s="35"/>
      <x:c r="P1305" s="35"/>
      <x:c r="Q1305" s="35"/>
      <x:c r="R1305" s="35"/>
      <x:c r="S1305" s="35"/>
      <x:c r="T1305" s="35"/>
      <x:c r="U1305" s="35"/>
      <x:c r="V1305" s="35"/>
      <x:c r="W1305" s="35"/>
      <x:c r="X1305" s="35"/>
      <x:c r="Y1305" s="35"/>
      <x:c r="Z1305" s="35"/>
      <x:c r="AA1305" s="35"/>
    </x:row>
    <x:row r="1306">
      <x:c r="A1306" s="136" t="str">
        <x:v>DrillCamp | Skirmish | Union Camp</x:v>
      </x:c>
      <x:c r="B1306" s="136" t="str">
        <x:v>Spawn | CSA Spawnpoint_UC_Base_CSA_4thNC2 [map-63/016]</x:v>
      </x:c>
      <x:c r="C1306" s="136" t="str">
        <x:v>spawn</x:v>
      </x:c>
      <x:c r="D1306" s="136" t="str">
        <x:v>CSA</x:v>
      </x:c>
      <x:c r="E1306" s="136" t="str">
        <x:v>Spawnpoint_UC_Base_CSA_4thNC2</x:v>
      </x:c>
      <x:c r="F1306" s="137" t="n">
        <x:v>1831.4805908203125</x:v>
      </x:c>
      <x:c r="G1306" s="137" t="n">
        <x:v>3838.21240234375</x:v>
      </x:c>
      <x:c r="H1306" s="137" t="n">
        <x:v>53.940677642822266</x:v>
      </x:c>
      <x:c r="I1306" s="137" t="n">
        <x:v>1235.6684235804241</x:v>
      </x:c>
      <x:c r="J1306" s="137" t="n">
        <x:v>396.08483074410265</x:v>
      </x:c>
      <x:c r="K1306" s="136" t="str">
        <x:v>map-63</x:v>
      </x:c>
      <x:c r="L1306" s="136" t="str">
        <x:v>DrillCamp | Skirmish | Union Camp||Spawn | CSA Spawnpoint_UC_Base_CSA_4thNC2 [map-63/016]</x:v>
      </x:c>
      <x:c r="M1306" s="35"/>
      <x:c r="N1306" s="35"/>
      <x:c r="O1306" s="35"/>
      <x:c r="P1306" s="35"/>
      <x:c r="Q1306" s="35"/>
      <x:c r="R1306" s="35"/>
      <x:c r="S1306" s="35"/>
      <x:c r="T1306" s="35"/>
      <x:c r="U1306" s="35"/>
      <x:c r="V1306" s="35"/>
      <x:c r="W1306" s="35"/>
      <x:c r="X1306" s="35"/>
      <x:c r="Y1306" s="35"/>
      <x:c r="Z1306" s="35"/>
      <x:c r="AA1306" s="35"/>
    </x:row>
    <x:row r="1307">
      <x:c r="A1307" s="136" t="str">
        <x:v>DrillCamp | Skirmish | Union Camp</x:v>
      </x:c>
      <x:c r="B1307" s="136" t="str">
        <x:v>Artillery | USA Spawnpoint_UC_USA_Arty_Graham_Forward [map-63/017]</x:v>
      </x:c>
      <x:c r="C1307" s="136" t="str">
        <x:v>battery</x:v>
      </x:c>
      <x:c r="D1307" s="136" t="str">
        <x:v>USA</x:v>
      </x:c>
      <x:c r="E1307" s="136" t="str">
        <x:v>Spawnpoint_UC_USA_Arty_Graham_Forward</x:v>
      </x:c>
      <x:c r="F1307" s="137" t="n">
        <x:v>1617.216552734375</x:v>
      </x:c>
      <x:c r="G1307" s="137" t="n">
        <x:v>3329.019775390625</x:v>
      </x:c>
      <x:c r="H1307" s="137" t="n">
        <x:v>58.2052116394043</x:v>
      </x:c>
      <x:c r="I1307" s="137" t="n">
        <x:v>786.1156754272498</x:v>
      </x:c>
      <x:c r="J1307" s="137" t="n">
        <x:v>1436.8298417877381</x:v>
      </x:c>
      <x:c r="K1307" s="136" t="str">
        <x:v>map-63</x:v>
      </x:c>
      <x:c r="L1307" s="136" t="str">
        <x:v>DrillCamp | Skirmish | Union Camp||Artillery | USA Spawnpoint_UC_USA_Arty_Graham_Forward [map-63/017]</x:v>
      </x:c>
      <x:c r="M1307" s="35"/>
      <x:c r="N1307" s="35"/>
      <x:c r="O1307" s="35"/>
      <x:c r="P1307" s="35"/>
      <x:c r="Q1307" s="35"/>
      <x:c r="R1307" s="35"/>
      <x:c r="S1307" s="35"/>
      <x:c r="T1307" s="35"/>
      <x:c r="U1307" s="35"/>
      <x:c r="V1307" s="35"/>
      <x:c r="W1307" s="35"/>
      <x:c r="X1307" s="35"/>
      <x:c r="Y1307" s="35"/>
      <x:c r="Z1307" s="35"/>
      <x:c r="AA1307" s="35"/>
    </x:row>
    <x:row r="1308">
      <x:c r="A1308" s="136" t="str">
        <x:v>DrillCamp | Skirmish | Union Camp</x:v>
      </x:c>
      <x:c r="B1308" s="136" t="str">
        <x:v>Spawn | USA Spawnpoint_UC_Defend_USA_32ndOH2 [map-63/018]</x:v>
      </x:c>
      <x:c r="C1308" s="136" t="str">
        <x:v>spawn</x:v>
      </x:c>
      <x:c r="D1308" s="136" t="str">
        <x:v>USA</x:v>
      </x:c>
      <x:c r="E1308" s="136" t="str">
        <x:v>Spawnpoint_UC_Defend_USA_32ndOH2</x:v>
      </x:c>
      <x:c r="F1308" s="137" t="n">
        <x:v>1710.647705078125</x:v>
      </x:c>
      <x:c r="G1308" s="137" t="n">
        <x:v>3351.490234375</x:v>
      </x:c>
      <x:c r="H1308" s="137" t="n">
        <x:v>55.636871337890625</x:v>
      </x:c>
      <x:c r="I1308" s="137" t="n">
        <x:v>979.673822616514</x:v>
      </x:c>
      <x:c r="J1308" s="137" t="n">
        <x:v>1390.9021970302233</x:v>
      </x:c>
      <x:c r="K1308" s="136" t="str">
        <x:v>map-63</x:v>
      </x:c>
      <x:c r="L1308" s="136" t="str">
        <x:v>DrillCamp | Skirmish | Union Camp||Spawn | USA Spawnpoint_UC_Defend_USA_32ndOH2 [map-63/018]</x:v>
      </x:c>
      <x:c r="M1308" s="35"/>
      <x:c r="N1308" s="35"/>
      <x:c r="O1308" s="35"/>
      <x:c r="P1308" s="35"/>
      <x:c r="Q1308" s="35"/>
      <x:c r="R1308" s="35"/>
      <x:c r="S1308" s="35"/>
      <x:c r="T1308" s="35"/>
      <x:c r="U1308" s="35"/>
      <x:c r="V1308" s="35"/>
      <x:c r="W1308" s="35"/>
      <x:c r="X1308" s="35"/>
      <x:c r="Y1308" s="35"/>
      <x:c r="Z1308" s="35"/>
      <x:c r="AA1308" s="35"/>
    </x:row>
    <x:row r="1309">
      <x:c r="A1309" s="136" t="str">
        <x:v>DrillCamp | Skirmish | Union Camp</x:v>
      </x:c>
      <x:c r="B1309" s="136" t="str">
        <x:v>Artillery | USA Spawnpoint_UC_USA_Arty_Base [map-63/019]</x:v>
      </x:c>
      <x:c r="C1309" s="136" t="str">
        <x:v>battery</x:v>
      </x:c>
      <x:c r="D1309" s="136" t="str">
        <x:v>USA</x:v>
      </x:c>
      <x:c r="E1309" s="136" t="str">
        <x:v>Spawnpoint_UC_USA_Arty_Base</x:v>
      </x:c>
      <x:c r="F1309" s="137" t="n">
        <x:v>1709.2344970703125</x:v>
      </x:c>
      <x:c r="G1309" s="137" t="n">
        <x:v>3116.734375</x:v>
      </x:c>
      <x:c r="H1309" s="137" t="n">
        <x:v>55.00239181518555</x:v>
      </x:c>
      <x:c r="I1309" s="137" t="n">
        <x:v>973.8423350973268</x:v>
      </x:c>
      <x:c r="J1309" s="137" t="n">
        <x:v>1870.7225568020158</x:v>
      </x:c>
      <x:c r="K1309" s="136" t="str">
        <x:v>map-63</x:v>
      </x:c>
      <x:c r="L1309" s="136" t="str">
        <x:v>DrillCamp | Skirmish | Union Camp||Artillery | USA Spawnpoint_UC_USA_Arty_Base [map-63/019]</x:v>
      </x:c>
      <x:c r="M1309" s="35"/>
      <x:c r="N1309" s="35"/>
      <x:c r="O1309" s="35"/>
      <x:c r="P1309" s="35"/>
      <x:c r="Q1309" s="35"/>
      <x:c r="R1309" s="35"/>
      <x:c r="S1309" s="35"/>
      <x:c r="T1309" s="35"/>
      <x:c r="U1309" s="35"/>
      <x:c r="V1309" s="35"/>
      <x:c r="W1309" s="35"/>
      <x:c r="X1309" s="35"/>
      <x:c r="Y1309" s="35"/>
      <x:c r="Z1309" s="35"/>
      <x:c r="AA1309" s="35"/>
    </x:row>
    <x:row r="1310">
      <x:c r="A1310" s="136" t="str">
        <x:v>DrillCamp | Skirmish | Union Camp</x:v>
      </x:c>
      <x:c r="B1310" s="136" t="str">
        <x:v>Gun | 12-pounder Napoleon (USA) · Entity-1458 [map-63/020]</x:v>
      </x:c>
      <x:c r="C1310" s="136" t="str">
        <x:v>gun_spawn</x:v>
      </x:c>
      <x:c r="D1310" s="136" t="str"/>
      <x:c r="E1310" s="136" t="str">
        <x:v>12-pounder Napoleon (USA) · Entity-1458</x:v>
      </x:c>
      <x:c r="F1310" s="137" t="n">
        <x:v>1573.0419921875</x:v>
      </x:c>
      <x:c r="G1310" s="137" t="n">
        <x:v>3618.76953125</x:v>
      </x:c>
      <x:c r="H1310" s="137" t="n">
        <x:v>58.316490173339844</x:v>
      </x:c>
      <x:c r="I1310" s="137" t="n">
        <x:v>698.3215734306057</x:v>
      </x:c>
      <x:c r="J1310" s="137" t="n">
        <x:v>844.6067872902968</x:v>
      </x:c>
      <x:c r="K1310" s="136" t="str">
        <x:v>map-63</x:v>
      </x:c>
      <x:c r="L1310" s="136" t="str">
        <x:v>DrillCamp | Skirmish | Union Camp||Gun | 12-pounder Napoleon (USA) · Entity-1458 [map-63/020]</x:v>
      </x:c>
      <x:c r="M1310" s="35"/>
      <x:c r="N1310" s="35"/>
      <x:c r="O1310" s="35"/>
      <x:c r="P1310" s="35"/>
      <x:c r="Q1310" s="35"/>
      <x:c r="R1310" s="35"/>
      <x:c r="S1310" s="35"/>
      <x:c r="T1310" s="35"/>
      <x:c r="U1310" s="35"/>
      <x:c r="V1310" s="35"/>
      <x:c r="W1310" s="35"/>
      <x:c r="X1310" s="35"/>
      <x:c r="Y1310" s="35"/>
      <x:c r="Z1310" s="35"/>
      <x:c r="AA1310" s="35"/>
    </x:row>
    <x:row r="1311">
      <x:c r="A1311" s="136" t="str">
        <x:v>DrillCamp | Skirmish | Union Camp</x:v>
      </x:c>
      <x:c r="B1311" s="136" t="str">
        <x:v>Gun | 12-pounder Napoleon (CSA) · Entity-1488 [map-63/021]</x:v>
      </x:c>
      <x:c r="C1311" s="136" t="str">
        <x:v>gun_spawn</x:v>
      </x:c>
      <x:c r="D1311" s="136" t="str"/>
      <x:c r="E1311" s="136" t="str">
        <x:v>12-pounder Napoleon (CSA) · Entity-1488</x:v>
      </x:c>
      <x:c r="F1311" s="137" t="n">
        <x:v>1610.607177734375</x:v>
      </x:c>
      <x:c r="G1311" s="137" t="n">
        <x:v>3364.856201171875</x:v>
      </x:c>
      <x:c r="H1311" s="137" t="n">
        <x:v>57.679954528808594</x:v>
      </x:c>
      <x:c r="I1311" s="137" t="n">
        <x:v>772.8868664685791</x:v>
      </x:c>
      <x:c r="J1311" s="137" t="n">
        <x:v>1363.5833347268556</x:v>
      </x:c>
      <x:c r="K1311" s="136" t="str">
        <x:v>map-63</x:v>
      </x:c>
      <x:c r="L1311" s="136" t="str">
        <x:v>DrillCamp | Skirmish | Union Camp||Gun | 12-pounder Napoleon (CSA) · Entity-1488 [map-63/021]</x:v>
      </x:c>
      <x:c r="M1311" s="35"/>
      <x:c r="N1311" s="35"/>
      <x:c r="O1311" s="35"/>
      <x:c r="P1311" s="35"/>
      <x:c r="Q1311" s="35"/>
      <x:c r="R1311" s="35"/>
      <x:c r="S1311" s="35"/>
      <x:c r="T1311" s="35"/>
      <x:c r="U1311" s="35"/>
      <x:c r="V1311" s="35"/>
      <x:c r="W1311" s="35"/>
      <x:c r="X1311" s="35"/>
      <x:c r="Y1311" s="35"/>
      <x:c r="Z1311" s="35"/>
      <x:c r="AA1311" s="35"/>
    </x:row>
    <x:row r="1312">
      <x:c r="A1312" s="136" t="str">
        <x:v>DrillCamp | Skirmish | Union Camp</x:v>
      </x:c>
      <x:c r="B1312" s="136" t="str">
        <x:v>Gun | 12-pounder Napoleon (CSA) · Entity-1474 [map-63/022]</x:v>
      </x:c>
      <x:c r="C1312" s="136" t="str">
        <x:v>gun_spawn</x:v>
      </x:c>
      <x:c r="D1312" s="136" t="str"/>
      <x:c r="E1312" s="136" t="str">
        <x:v>12-pounder Napoleon (CSA) · Entity-1474</x:v>
      </x:c>
      <x:c r="F1312" s="137" t="n">
        <x:v>1882.0933837890625</x:v>
      </x:c>
      <x:c r="G1312" s="137" t="n">
        <x:v>3384.6328125</x:v>
      </x:c>
      <x:c r="H1312" s="137" t="n">
        <x:v>52.547664642333984</x:v>
      </x:c>
      <x:c r="I1312" s="137" t="n">
        <x:v>1334.7517951619222</x:v>
      </x:c>
      <x:c r="J1312" s="137" t="n">
        <x:v>1323.1616779989197</x:v>
      </x:c>
      <x:c r="K1312" s="136" t="str">
        <x:v>map-63</x:v>
      </x:c>
      <x:c r="L1312" s="136" t="str">
        <x:v>DrillCamp | Skirmish | Union Camp||Gun | 12-pounder Napoleon (CSA) · Entity-1474 [map-63/022]</x:v>
      </x:c>
      <x:c r="M1312" s="35"/>
      <x:c r="N1312" s="35"/>
      <x:c r="O1312" s="35"/>
      <x:c r="P1312" s="35"/>
      <x:c r="Q1312" s="35"/>
      <x:c r="R1312" s="35"/>
      <x:c r="S1312" s="35"/>
      <x:c r="T1312" s="35"/>
      <x:c r="U1312" s="35"/>
      <x:c r="V1312" s="35"/>
      <x:c r="W1312" s="35"/>
      <x:c r="X1312" s="35"/>
      <x:c r="Y1312" s="35"/>
      <x:c r="Z1312" s="35"/>
      <x:c r="AA1312" s="35"/>
    </x:row>
    <x:row r="1313">
      <x:c r="A1313" s="136" t="str">
        <x:v>DrillCamp | Skirmish | Union Camp</x:v>
      </x:c>
      <x:c r="B1313" s="136" t="str">
        <x:v>Gun | 10-pounder Parrott · Entity-1454 [map-63/023]</x:v>
      </x:c>
      <x:c r="C1313" s="136" t="str">
        <x:v>gun_spawn</x:v>
      </x:c>
      <x:c r="D1313" s="136" t="str"/>
      <x:c r="E1313" s="136" t="str">
        <x:v>10-pounder Parrott · Entity-1454</x:v>
      </x:c>
      <x:c r="F1313" s="137" t="n">
        <x:v>1587.9415283203125</x:v>
      </x:c>
      <x:c r="G1313" s="137" t="n">
        <x:v>3623.2822265625</x:v>
      </x:c>
      <x:c r="H1313" s="137" t="n">
        <x:v>57.83403778076172</x:v>
      </x:c>
      <x:c r="I1313" s="137" t="n">
        <x:v>729.19994847631</x:v>
      </x:c>
      <x:c r="J1313" s="137" t="n">
        <x:v>835.3832343866591</x:v>
      </x:c>
      <x:c r="K1313" s="136" t="str">
        <x:v>map-63</x:v>
      </x:c>
      <x:c r="L1313" s="136" t="str">
        <x:v>DrillCamp | Skirmish | Union Camp||Gun | 10-pounder Parrott · Entity-1454 [map-63/023]</x:v>
      </x:c>
      <x:c r="M1313" s="35"/>
      <x:c r="N1313" s="35"/>
      <x:c r="O1313" s="35"/>
      <x:c r="P1313" s="35"/>
      <x:c r="Q1313" s="35"/>
      <x:c r="R1313" s="35"/>
      <x:c r="S1313" s="35"/>
      <x:c r="T1313" s="35"/>
      <x:c r="U1313" s="35"/>
      <x:c r="V1313" s="35"/>
      <x:c r="W1313" s="35"/>
      <x:c r="X1313" s="35"/>
      <x:c r="Y1313" s="35"/>
      <x:c r="Z1313" s="35"/>
      <x:c r="AA1313" s="35"/>
    </x:row>
    <x:row r="1314">
      <x:c r="A1314" s="136" t="str">
        <x:v>DrillCamp | Skirmish | Union Camp</x:v>
      </x:c>
      <x:c r="B1314" s="136" t="str">
        <x:v>Gun | 10-pounder Parrott · Entity-1455 [map-63/024]</x:v>
      </x:c>
      <x:c r="C1314" s="136" t="str">
        <x:v>gun_spawn</x:v>
      </x:c>
      <x:c r="D1314" s="136" t="str"/>
      <x:c r="E1314" s="136" t="str">
        <x:v>10-pounder Parrott · Entity-1455</x:v>
      </x:c>
      <x:c r="F1314" s="137" t="n">
        <x:v>1596.4267578125</x:v>
      </x:c>
      <x:c r="G1314" s="137" t="n">
        <x:v>3625.6806640625</x:v>
      </x:c>
      <x:c r="H1314" s="137" t="n">
        <x:v>57.723751068115234</x:v>
      </x:c>
      <x:c r="I1314" s="137" t="n">
        <x:v>746.7829415679238</x:v>
      </x:c>
      <x:c r="J1314" s="137" t="n">
        <x:v>830.4810387728668</x:v>
      </x:c>
      <x:c r="K1314" s="136" t="str">
        <x:v>map-63</x:v>
      </x:c>
      <x:c r="L1314" s="136" t="str">
        <x:v>DrillCamp | Skirmish | Union Camp||Gun | 10-pounder Parrott · Entity-1455 [map-63/024]</x:v>
      </x:c>
      <x:c r="M1314" s="35"/>
      <x:c r="N1314" s="35"/>
      <x:c r="O1314" s="35"/>
      <x:c r="P1314" s="35"/>
      <x:c r="Q1314" s="35"/>
      <x:c r="R1314" s="35"/>
      <x:c r="S1314" s="35"/>
      <x:c r="T1314" s="35"/>
      <x:c r="U1314" s="35"/>
      <x:c r="V1314" s="35"/>
      <x:c r="W1314" s="35"/>
      <x:c r="X1314" s="35"/>
      <x:c r="Y1314" s="35"/>
      <x:c r="Z1314" s="35"/>
      <x:c r="AA1314" s="35"/>
    </x:row>
    <x:row r="1315">
      <x:c r="A1315" s="136" t="str">
        <x:v>DrillCamp | Skirmish | Union Camp</x:v>
      </x:c>
      <x:c r="B1315" s="136" t="str">
        <x:v>Gun | 12-pounder Napoleon (CSA) · Entity-1472 [map-63/025]</x:v>
      </x:c>
      <x:c r="C1315" s="136" t="str">
        <x:v>gun_spawn</x:v>
      </x:c>
      <x:c r="D1315" s="136" t="str"/>
      <x:c r="E1315" s="136" t="str">
        <x:v>12-pounder Napoleon (CSA) · Entity-1472</x:v>
      </x:c>
      <x:c r="F1315" s="137" t="n">
        <x:v>1893.624755859375</x:v>
      </x:c>
      <x:c r="G1315" s="137" t="n">
        <x:v>3385.421875</x:v>
      </x:c>
      <x:c r="H1315" s="137" t="n">
        <x:v>52.458396911621094</x:v>
      </x:c>
      <x:c r="I1315" s="137" t="n">
        <x:v>1358.6163675093271</x:v>
      </x:c>
      <x:c r="J1315" s="137" t="n">
        <x:v>1321.5489035461737</x:v>
      </x:c>
      <x:c r="K1315" s="136" t="str">
        <x:v>map-63</x:v>
      </x:c>
      <x:c r="L1315" s="136" t="str">
        <x:v>DrillCamp | Skirmish | Union Camp||Gun | 12-pounder Napoleon (CSA) · Entity-1472 [map-63/025]</x:v>
      </x:c>
      <x:c r="M1315" s="35"/>
      <x:c r="N1315" s="35"/>
      <x:c r="O1315" s="35"/>
      <x:c r="P1315" s="35"/>
      <x:c r="Q1315" s="35"/>
      <x:c r="R1315" s="35"/>
      <x:c r="S1315" s="35"/>
      <x:c r="T1315" s="35"/>
      <x:c r="U1315" s="35"/>
      <x:c r="V1315" s="35"/>
      <x:c r="W1315" s="35"/>
      <x:c r="X1315" s="35"/>
      <x:c r="Y1315" s="35"/>
      <x:c r="Z1315" s="35"/>
      <x:c r="AA1315" s="35"/>
    </x:row>
    <x:row r="1316">
      <x:c r="A1316" s="136" t="str">
        <x:v>DrillCamp | Skirmish | Union Camp</x:v>
      </x:c>
      <x:c r="B1316" s="136" t="str">
        <x:v>Gun | 10-pounder Parrott · Entity-1456 [map-63/026]</x:v>
      </x:c>
      <x:c r="C1316" s="136" t="str">
        <x:v>gun_spawn</x:v>
      </x:c>
      <x:c r="D1316" s="136" t="str"/>
      <x:c r="E1316" s="136" t="str">
        <x:v>10-pounder Parrott · Entity-1456</x:v>
      </x:c>
      <x:c r="F1316" s="137" t="n">
        <x:v>1580.845947265625</x:v>
      </x:c>
      <x:c r="G1316" s="137" t="n">
        <x:v>3621.178955078125</x:v>
      </x:c>
      <x:c r="H1316" s="137" t="n">
        <x:v>58.28684616088867</x:v>
      </x:c>
      <x:c r="I1316" s="137" t="n">
        <x:v>714.4953591808105</x:v>
      </x:c>
      <x:c r="J1316" s="137" t="n">
        <x:v>839.6821365866612</x:v>
      </x:c>
      <x:c r="K1316" s="136" t="str">
        <x:v>map-63</x:v>
      </x:c>
      <x:c r="L1316" s="136" t="str">
        <x:v>DrillCamp | Skirmish | Union Camp||Gun | 10-pounder Parrott · Entity-1456 [map-63/026]</x:v>
      </x:c>
      <x:c r="M1316" s="35"/>
      <x:c r="N1316" s="35"/>
      <x:c r="O1316" s="35"/>
      <x:c r="P1316" s="35"/>
      <x:c r="Q1316" s="35"/>
      <x:c r="R1316" s="35"/>
      <x:c r="S1316" s="35"/>
      <x:c r="T1316" s="35"/>
      <x:c r="U1316" s="35"/>
      <x:c r="V1316" s="35"/>
      <x:c r="W1316" s="35"/>
      <x:c r="X1316" s="35"/>
      <x:c r="Y1316" s="35"/>
      <x:c r="Z1316" s="35"/>
      <x:c r="AA1316" s="35"/>
    </x:row>
    <x:row r="1317">
      <x:c r="A1317" s="136" t="str">
        <x:v>DrillCamp | Skirmish | Union Camp</x:v>
      </x:c>
      <x:c r="B1317" s="136" t="str">
        <x:v>Gun | 12-pounder Napoleon (USA) · Entity-1468 [map-63/027]</x:v>
      </x:c>
      <x:c r="C1317" s="136" t="str">
        <x:v>gun_spawn</x:v>
      </x:c>
      <x:c r="D1317" s="136" t="str"/>
      <x:c r="E1317" s="136" t="str">
        <x:v>12-pounder Napoleon (USA) · Entity-1468</x:v>
      </x:c>
      <x:c r="F1317" s="137" t="n">
        <x:v>1649.057373046875</x:v>
      </x:c>
      <x:c r="G1317" s="137" t="n">
        <x:v>3535.5146484375</x:v>
      </x:c>
      <x:c r="H1317" s="137" t="n">
        <x:v>60.25669860839844</x:v>
      </x:c>
      <x:c r="I1317" s="137" t="n">
        <x:v>854.5422862111722</x:v>
      </x:c>
      <x:c r="J1317" s="137" t="n">
        <x:v>1014.7724561268732</x:v>
      </x:c>
      <x:c r="K1317" s="136" t="str">
        <x:v>map-63</x:v>
      </x:c>
      <x:c r="L1317" s="136" t="str">
        <x:v>DrillCamp | Skirmish | Union Camp||Gun | 12-pounder Napoleon (USA) · Entity-1468 [map-63/027]</x:v>
      </x:c>
      <x:c r="M1317" s="35"/>
      <x:c r="N1317" s="35"/>
      <x:c r="O1317" s="35"/>
      <x:c r="P1317" s="35"/>
      <x:c r="Q1317" s="35"/>
      <x:c r="R1317" s="35"/>
      <x:c r="S1317" s="35"/>
      <x:c r="T1317" s="35"/>
      <x:c r="U1317" s="35"/>
      <x:c r="V1317" s="35"/>
      <x:c r="W1317" s="35"/>
      <x:c r="X1317" s="35"/>
      <x:c r="Y1317" s="35"/>
      <x:c r="Z1317" s="35"/>
      <x:c r="AA1317" s="35"/>
    </x:row>
    <x:row r="1318">
      <x:c r="A1318" s="136" t="str">
        <x:v>DrillCamp | Skirmish | Union Camp</x:v>
      </x:c>
      <x:c r="B1318" s="136" t="str">
        <x:v>Gun | 12-pounder Napoleon (CSA) · Entity-1481 [map-63/028]</x:v>
      </x:c>
      <x:c r="C1318" s="136" t="str">
        <x:v>gun_spawn</x:v>
      </x:c>
      <x:c r="D1318" s="136" t="str"/>
      <x:c r="E1318" s="136" t="str">
        <x:v>12-pounder Napoleon (CSA) · Entity-1481</x:v>
      </x:c>
      <x:c r="F1318" s="137" t="n">
        <x:v>1640.595703125</x:v>
      </x:c>
      <x:c r="G1318" s="137" t="n">
        <x:v>3365.94970703125</x:v>
      </x:c>
      <x:c r="H1318" s="137" t="n">
        <x:v>57.303977966308594</x:v>
      </x:c>
      <x:c r="I1318" s="137" t="n">
        <x:v>834.9372807295928</x:v>
      </x:c>
      <x:c r="J1318" s="137" t="n">
        <x:v>1361.3483047844518</x:v>
      </x:c>
      <x:c r="K1318" s="136" t="str">
        <x:v>map-63</x:v>
      </x:c>
      <x:c r="L1318" s="136" t="str">
        <x:v>DrillCamp | Skirmish | Union Camp||Gun | 12-pounder Napoleon (CSA) · Entity-1481 [map-63/028]</x:v>
      </x:c>
      <x:c r="M1318" s="35"/>
      <x:c r="N1318" s="35"/>
      <x:c r="O1318" s="35"/>
      <x:c r="P1318" s="35"/>
      <x:c r="Q1318" s="35"/>
      <x:c r="R1318" s="35"/>
      <x:c r="S1318" s="35"/>
      <x:c r="T1318" s="35"/>
      <x:c r="U1318" s="35"/>
      <x:c r="V1318" s="35"/>
      <x:c r="W1318" s="35"/>
      <x:c r="X1318" s="35"/>
      <x:c r="Y1318" s="35"/>
      <x:c r="Z1318" s="35"/>
      <x:c r="AA1318" s="35"/>
    </x:row>
    <x:row r="1319">
      <x:c r="A1319" s="136" t="str">
        <x:v>DrillCamp | Skirmish | Union Camp</x:v>
      </x:c>
      <x:c r="B1319" s="136" t="str">
        <x:v>Gun | 3-inch Ordnance · Entity-1489 [map-63/029]</x:v>
      </x:c>
      <x:c r="C1319" s="136" t="str">
        <x:v>gun_spawn</x:v>
      </x:c>
      <x:c r="D1319" s="136" t="str"/>
      <x:c r="E1319" s="136" t="str">
        <x:v>3-inch Ordnance · Entity-1489</x:v>
      </x:c>
      <x:c r="F1319" s="137" t="n">
        <x:v>1603.611083984375</x:v>
      </x:c>
      <x:c r="G1319" s="137" t="n">
        <x:v>3364.2294921875</x:v>
      </x:c>
      <x:c r="H1319" s="137" t="n">
        <x:v>57.66121292114258</x:v>
      </x:c>
      <x:c r="I1319" s="137" t="n">
        <x:v>758.4063759481407</x:v>
      </x:c>
      <x:c r="J1319" s="137" t="n">
        <x:v>1364.8642728519171</x:v>
      </x:c>
      <x:c r="K1319" s="136" t="str">
        <x:v>map-63</x:v>
      </x:c>
      <x:c r="L1319" s="136" t="str">
        <x:v>DrillCamp | Skirmish | Union Camp||Gun | 3-inch Ordnance · Entity-1489 [map-63/029]</x:v>
      </x:c>
      <x:c r="M1319" s="35"/>
      <x:c r="N1319" s="35"/>
      <x:c r="O1319" s="35"/>
      <x:c r="P1319" s="35"/>
      <x:c r="Q1319" s="35"/>
      <x:c r="R1319" s="35"/>
      <x:c r="S1319" s="35"/>
      <x:c r="T1319" s="35"/>
      <x:c r="U1319" s="35"/>
      <x:c r="V1319" s="35"/>
      <x:c r="W1319" s="35"/>
      <x:c r="X1319" s="35"/>
      <x:c r="Y1319" s="35"/>
      <x:c r="Z1319" s="35"/>
      <x:c r="AA1319" s="35"/>
    </x:row>
    <x:row r="1320">
      <x:c r="A1320" s="136" t="str">
        <x:v>DrillCamp | Skirmish | Union Camp</x:v>
      </x:c>
      <x:c r="B1320" s="136" t="str">
        <x:v>Gun | 12-pounder Napoleon (CSA) · Entity-1482 [map-63/030]</x:v>
      </x:c>
      <x:c r="C1320" s="136" t="str">
        <x:v>gun_spawn</x:v>
      </x:c>
      <x:c r="D1320" s="136" t="str"/>
      <x:c r="E1320" s="136" t="str">
        <x:v>12-pounder Napoleon (CSA) · Entity-1482</x:v>
      </x:c>
      <x:c r="F1320" s="137" t="n">
        <x:v>1632.8575439453125</x:v>
      </x:c>
      <x:c r="G1320" s="137" t="n">
        <x:v>3365.73046875</x:v>
      </x:c>
      <x:c r="H1320" s="137" t="n">
        <x:v>57.540706634521484</x:v>
      </x:c>
      <x:c r="I1320" s="137" t="n">
        <x:v>818.9267366822985</x:v>
      </x:c>
      <x:c r="J1320" s="137" t="n">
        <x:v>1361.7964085773249</x:v>
      </x:c>
      <x:c r="K1320" s="136" t="str">
        <x:v>map-63</x:v>
      </x:c>
      <x:c r="L1320" s="136" t="str">
        <x:v>DrillCamp | Skirmish | Union Camp||Gun | 12-pounder Napoleon (CSA) · Entity-1482 [map-63/030]</x:v>
      </x:c>
      <x:c r="M1320" s="35"/>
      <x:c r="N1320" s="35"/>
      <x:c r="O1320" s="35"/>
      <x:c r="P1320" s="35"/>
      <x:c r="Q1320" s="35"/>
      <x:c r="R1320" s="35"/>
      <x:c r="S1320" s="35"/>
      <x:c r="T1320" s="35"/>
      <x:c r="U1320" s="35"/>
      <x:c r="V1320" s="35"/>
      <x:c r="W1320" s="35"/>
      <x:c r="X1320" s="35"/>
      <x:c r="Y1320" s="35"/>
      <x:c r="Z1320" s="35"/>
      <x:c r="AA1320" s="35"/>
    </x:row>
    <x:row r="1321">
      <x:c r="A1321" s="136" t="str">
        <x:v>DrillCamp | Skirmish | Union Camp</x:v>
      </x:c>
      <x:c r="B1321" s="136" t="str">
        <x:v>Gun | 3-inch Ordnance · Entity-1466 [map-63/031]</x:v>
      </x:c>
      <x:c r="C1321" s="136" t="str">
        <x:v>gun_spawn</x:v>
      </x:c>
      <x:c r="D1321" s="136" t="str"/>
      <x:c r="E1321" s="136" t="str">
        <x:v>3-inch Ordnance · Entity-1466</x:v>
      </x:c>
      <x:c r="F1321" s="137" t="n">
        <x:v>1664.5611572265625</x:v>
      </x:c>
      <x:c r="G1321" s="137" t="n">
        <x:v>3537.099609375</x:v>
      </x:c>
      <x:c r="H1321" s="137" t="n">
        <x:v>60.0147705078125</x:v>
      </x:c>
      <x:c r="I1321" s="137" t="n">
        <x:v>886.6343943891756</x:v>
      </x:c>
      <x:c r="J1321" s="137" t="n">
        <x:v>1011.5329351654786</x:v>
      </x:c>
      <x:c r="K1321" s="136" t="str">
        <x:v>map-63</x:v>
      </x:c>
      <x:c r="L1321" s="136" t="str">
        <x:v>DrillCamp | Skirmish | Union Camp||Gun | 3-inch Ordnance · Entity-1466 [map-63/031]</x:v>
      </x:c>
      <x:c r="M1321" s="35"/>
      <x:c r="N1321" s="35"/>
      <x:c r="O1321" s="35"/>
      <x:c r="P1321" s="35"/>
      <x:c r="Q1321" s="35"/>
      <x:c r="R1321" s="35"/>
      <x:c r="S1321" s="35"/>
      <x:c r="T1321" s="35"/>
      <x:c r="U1321" s="35"/>
      <x:c r="V1321" s="35"/>
      <x:c r="W1321" s="35"/>
      <x:c r="X1321" s="35"/>
      <x:c r="Y1321" s="35"/>
      <x:c r="Z1321" s="35"/>
      <x:c r="AA1321" s="35"/>
    </x:row>
    <x:row r="1322">
      <x:c r="A1322" s="136" t="str">
        <x:v>DrillCamp | Skirmish | Union Camp</x:v>
      </x:c>
      <x:c r="B1322" s="136" t="str">
        <x:v>Gun | 3-inch Ordnance · Entity-1473 [map-63/032]</x:v>
      </x:c>
      <x:c r="C1322" s="136" t="str">
        <x:v>gun_spawn</x:v>
      </x:c>
      <x:c r="D1322" s="136" t="str"/>
      <x:c r="E1322" s="136" t="str">
        <x:v>3-inch Ordnance · Entity-1473</x:v>
      </x:c>
      <x:c r="F1322" s="137" t="n">
        <x:v>1875.183349609375</x:v>
      </x:c>
      <x:c r="G1322" s="137" t="n">
        <x:v>3383.370849609375</x:v>
      </x:c>
      <x:c r="H1322" s="137" t="n">
        <x:v>52.526493072509766</x:v>
      </x:c>
      <x:c r="I1322" s="137" t="n">
        <x:v>1320.441465832723</x:v>
      </x:c>
      <x:c r="J1322" s="137" t="n">
        <x:v>1325.741019318921</x:v>
      </x:c>
      <x:c r="K1322" s="136" t="str">
        <x:v>map-63</x:v>
      </x:c>
      <x:c r="L1322" s="136" t="str">
        <x:v>DrillCamp | Skirmish | Union Camp||Gun | 3-inch Ordnance · Entity-1473 [map-63/032]</x:v>
      </x:c>
      <x:c r="M1322" s="35"/>
      <x:c r="N1322" s="35"/>
      <x:c r="O1322" s="35"/>
      <x:c r="P1322" s="35"/>
      <x:c r="Q1322" s="35"/>
      <x:c r="R1322" s="35"/>
      <x:c r="S1322" s="35"/>
      <x:c r="T1322" s="35"/>
      <x:c r="U1322" s="35"/>
      <x:c r="V1322" s="35"/>
      <x:c r="W1322" s="35"/>
      <x:c r="X1322" s="35"/>
      <x:c r="Y1322" s="35"/>
      <x:c r="Z1322" s="35"/>
      <x:c r="AA1322" s="35"/>
    </x:row>
    <x:row r="1323">
      <x:c r="A1323" s="136" t="str">
        <x:v>DrillCamp | Skirmish | Union Camp</x:v>
      </x:c>
      <x:c r="B1323" s="136" t="str">
        <x:v>Gun | 12-pounder Napoleon (CSA) · Entity-1487 [map-63/033]</x:v>
      </x:c>
      <x:c r="C1323" s="136" t="str">
        <x:v>gun_spawn</x:v>
      </x:c>
      <x:c r="D1323" s="136" t="str"/>
      <x:c r="E1323" s="136" t="str">
        <x:v>12-pounder Napoleon (CSA) · Entity-1487</x:v>
      </x:c>
      <x:c r="F1323" s="137" t="n">
        <x:v>1618.3453369140625</x:v>
      </x:c>
      <x:c r="G1323" s="137" t="n">
        <x:v>3365.075439453125</x:v>
      </x:c>
      <x:c r="H1323" s="137" t="n">
        <x:v>57.660194396972656</x:v>
      </x:c>
      <x:c r="I1323" s="137" t="n">
        <x:v>788.8974105158734</x:v>
      </x:c>
      <x:c r="J1323" s="137" t="n">
        <x:v>1363.1352309339825</x:v>
      </x:c>
      <x:c r="K1323" s="136" t="str">
        <x:v>map-63</x:v>
      </x:c>
      <x:c r="L1323" s="136" t="str">
        <x:v>DrillCamp | Skirmish | Union Camp||Gun | 12-pounder Napoleon (CSA) · Entity-1487 [map-63/033]</x:v>
      </x:c>
      <x:c r="M1323" s="35"/>
      <x:c r="N1323" s="35"/>
      <x:c r="O1323" s="35"/>
      <x:c r="P1323" s="35"/>
      <x:c r="Q1323" s="35"/>
      <x:c r="R1323" s="35"/>
      <x:c r="S1323" s="35"/>
      <x:c r="T1323" s="35"/>
      <x:c r="U1323" s="35"/>
      <x:c r="V1323" s="35"/>
      <x:c r="W1323" s="35"/>
      <x:c r="X1323" s="35"/>
      <x:c r="Y1323" s="35"/>
      <x:c r="Z1323" s="35"/>
      <x:c r="AA1323" s="35"/>
    </x:row>
    <x:row r="1324">
      <x:c r="A1324" s="136" t="str">
        <x:v>DrillCamp | Skirmish | Union Camp</x:v>
      </x:c>
      <x:c r="B1324" s="136" t="str">
        <x:v>Gun | 12-pounder Napoleon (USA) · Entity-1459 [map-63/034]</x:v>
      </x:c>
      <x:c r="C1324" s="136" t="str">
        <x:v>gun_spawn</x:v>
      </x:c>
      <x:c r="D1324" s="136" t="str"/>
      <x:c r="E1324" s="136" t="str">
        <x:v>12-pounder Napoleon (USA) · Entity-1459</x:v>
      </x:c>
      <x:c r="F1324" s="137" t="n">
        <x:v>1554.6290283203125</x:v>
      </x:c>
      <x:c r="G1324" s="137" t="n">
        <x:v>3613.4287109375</x:v>
      </x:c>
      <x:c r="H1324" s="137" t="n">
        <x:v>59.300479888916016</x:v>
      </x:c>
      <x:c r="I1324" s="137" t="n">
        <x:v>660.1647583011505</x:v>
      </x:c>
      <x:c r="J1324" s="137" t="n">
        <x:v>855.5229549661233</x:v>
      </x:c>
      <x:c r="K1324" s="136" t="str">
        <x:v>map-63</x:v>
      </x:c>
      <x:c r="L1324" s="136" t="str">
        <x:v>DrillCamp | Skirmish | Union Camp||Gun | 12-pounder Napoleon (USA) · Entity-1459 [map-63/034]</x:v>
      </x:c>
      <x:c r="M1324" s="35"/>
      <x:c r="N1324" s="35"/>
      <x:c r="O1324" s="35"/>
      <x:c r="P1324" s="35"/>
      <x:c r="Q1324" s="35"/>
      <x:c r="R1324" s="35"/>
      <x:c r="S1324" s="35"/>
      <x:c r="T1324" s="35"/>
      <x:c r="U1324" s="35"/>
      <x:c r="V1324" s="35"/>
      <x:c r="W1324" s="35"/>
      <x:c r="X1324" s="35"/>
      <x:c r="Y1324" s="35"/>
      <x:c r="Z1324" s="35"/>
      <x:c r="AA1324" s="35"/>
    </x:row>
    <x:row r="1325">
      <x:c r="A1325" s="136" t="str">
        <x:v>DrillCamp | Skirmish | Union Camp</x:v>
      </x:c>
      <x:c r="B1325" s="136" t="str">
        <x:v>Gun | 3-inch Ordnance · Entity-1483 [map-63/035]</x:v>
      </x:c>
      <x:c r="C1325" s="136" t="str">
        <x:v>gun_spawn</x:v>
      </x:c>
      <x:c r="D1325" s="136" t="str"/>
      <x:c r="E1325" s="136" t="str">
        <x:v>3-inch Ordnance · Entity-1483</x:v>
      </x:c>
      <x:c r="F1325" s="137" t="n">
        <x:v>1625.861328125</x:v>
      </x:c>
      <x:c r="G1325" s="137" t="n">
        <x:v>3365.10400390625</x:v>
      </x:c>
      <x:c r="H1325" s="137" t="n">
        <x:v>57.588863372802734</x:v>
      </x:c>
      <x:c r="I1325" s="137" t="n">
        <x:v>804.445996660863</x:v>
      </x:c>
      <x:c r="J1325" s="137" t="n">
        <x:v>1363.0768477003899</x:v>
      </x:c>
      <x:c r="K1325" s="136" t="str">
        <x:v>map-63</x:v>
      </x:c>
      <x:c r="L1325" s="136" t="str">
        <x:v>DrillCamp | Skirmish | Union Camp||Gun | 3-inch Ordnance · Entity-1483 [map-63/035]</x:v>
      </x:c>
      <x:c r="M1325" s="35"/>
      <x:c r="N1325" s="35"/>
      <x:c r="O1325" s="35"/>
      <x:c r="P1325" s="35"/>
      <x:c r="Q1325" s="35"/>
      <x:c r="R1325" s="35"/>
      <x:c r="S1325" s="35"/>
      <x:c r="T1325" s="35"/>
      <x:c r="U1325" s="35"/>
      <x:c r="V1325" s="35"/>
      <x:c r="W1325" s="35"/>
      <x:c r="X1325" s="35"/>
      <x:c r="Y1325" s="35"/>
      <x:c r="Z1325" s="35"/>
      <x:c r="AA1325" s="35"/>
    </x:row>
    <x:row r="1326">
      <x:c r="A1326" s="136" t="str">
        <x:v>DrillCamp | Skirmish | Union Camp</x:v>
      </x:c>
      <x:c r="B1326" s="136" t="str">
        <x:v>Gun | 3-inch Ordnance · Entity-1467 [map-63/036]</x:v>
      </x:c>
      <x:c r="C1326" s="136" t="str">
        <x:v>gun_spawn</x:v>
      </x:c>
      <x:c r="D1326" s="136" t="str"/>
      <x:c r="E1326" s="136" t="str">
        <x:v>3-inch Ordnance · Entity-1467</x:v>
      </x:c>
      <x:c r="F1326" s="137" t="n">
        <x:v>1657.1883544921875</x:v>
      </x:c>
      <x:c r="G1326" s="137" t="n">
        <x:v>3536.3916015625</x:v>
      </x:c>
      <x:c r="H1326" s="137" t="n">
        <x:v>60.02959060668945</x:v>
      </x:c>
      <x:c r="I1326" s="137" t="n">
        <x:v>871.3736038633228</x:v>
      </x:c>
      <x:c r="J1326" s="137" t="n">
        <x:v>1012.9800409553808</x:v>
      </x:c>
      <x:c r="K1326" s="136" t="str">
        <x:v>map-63</x:v>
      </x:c>
      <x:c r="L1326" s="136" t="str">
        <x:v>DrillCamp | Skirmish | Union Camp||Gun | 3-inch Ordnance · Entity-1467 [map-63/036]</x:v>
      </x:c>
      <x:c r="M1326" s="35"/>
      <x:c r="N1326" s="35"/>
      <x:c r="O1326" s="35"/>
      <x:c r="P1326" s="35"/>
      <x:c r="Q1326" s="35"/>
      <x:c r="R1326" s="35"/>
      <x:c r="S1326" s="35"/>
      <x:c r="T1326" s="35"/>
      <x:c r="U1326" s="35"/>
      <x:c r="V1326" s="35"/>
      <x:c r="W1326" s="35"/>
      <x:c r="X1326" s="35"/>
      <x:c r="Y1326" s="35"/>
      <x:c r="Z1326" s="35"/>
      <x:c r="AA1326" s="35"/>
    </x:row>
    <x:row r="1327">
      <x:c r="A1327" s="136" t="str">
        <x:v>DrillCamp | Skirmish | Union Camp</x:v>
      </x:c>
      <x:c r="B1327" s="136" t="str">
        <x:v>Gun | 12-pounder Napoleon (USA) · Entity-1457 [map-63/037]</x:v>
      </x:c>
      <x:c r="C1327" s="136" t="str">
        <x:v>gun_spawn</x:v>
      </x:c>
      <x:c r="D1327" s="136" t="str"/>
      <x:c r="E1327" s="136" t="str">
        <x:v>12-pounder Napoleon (USA) · Entity-1457</x:v>
      </x:c>
      <x:c r="F1327" s="137" t="n">
        <x:v>1563.953857421875</x:v>
      </x:c>
      <x:c r="G1327" s="137" t="n">
        <x:v>3615.9697265625</x:v>
      </x:c>
      <x:c r="H1327" s="137" t="n">
        <x:v>59.08800506591797</x:v>
      </x:c>
      <x:c r="I1327" s="137" t="n">
        <x:v>679.4863862427783</x:v>
      </x:c>
      <x:c r="J1327" s="137" t="n">
        <x:v>850.3293421863646</x:v>
      </x:c>
      <x:c r="K1327" s="136" t="str">
        <x:v>map-63</x:v>
      </x:c>
      <x:c r="L1327" s="136" t="str">
        <x:v>DrillCamp | Skirmish | Union Camp||Gun | 12-pounder Napoleon (USA) · Entity-1457 [map-63/037]</x:v>
      </x:c>
      <x:c r="M1327" s="35"/>
      <x:c r="N1327" s="35"/>
      <x:c r="O1327" s="35"/>
      <x:c r="P1327" s="35"/>
      <x:c r="Q1327" s="35"/>
      <x:c r="R1327" s="35"/>
      <x:c r="S1327" s="35"/>
      <x:c r="T1327" s="35"/>
      <x:c r="U1327" s="35"/>
      <x:c r="V1327" s="35"/>
      <x:c r="W1327" s="35"/>
      <x:c r="X1327" s="35"/>
      <x:c r="Y1327" s="35"/>
      <x:c r="Z1327" s="35"/>
      <x:c r="AA1327" s="35"/>
    </x:row>
    <x:row r="1328">
      <x:c r="A1328" s="136" t="str">
        <x:v>DrillCamp | Skirmish | Pat's Turnpike</x:v>
      </x:c>
      <x:c r="B1328" s="136" t="str">
        <x:v>Spawn | CSA Spawnpoint_PT_Base_CSA_Palmetto2 [map-64/001]</x:v>
      </x:c>
      <x:c r="C1328" s="136" t="str">
        <x:v>spawn</x:v>
      </x:c>
      <x:c r="D1328" s="136" t="str">
        <x:v>CSA</x:v>
      </x:c>
      <x:c r="E1328" s="136" t="str">
        <x:v>Spawnpoint_PT_Base_CSA_Palmetto2</x:v>
      </x:c>
      <x:c r="F1328" s="137" t="n">
        <x:v>686.9632568359375</x:v>
      </x:c>
      <x:c r="G1328" s="137" t="n">
        <x:v>3518.9658203125</x:v>
      </x:c>
      <x:c r="H1328" s="137" t="n">
        <x:v>77.39519500732422</x:v>
      </x:c>
      <x:c r="I1328" s="137" t="n">
        <x:v>466.9050964977513</x:v>
      </x:c>
      <x:c r="J1328" s="137" t="n">
        <x:v>1011.9259326761784</x:v>
      </x:c>
      <x:c r="K1328" s="136" t="str">
        <x:v>map-64</x:v>
      </x:c>
      <x:c r="L1328" s="136" t="str">
        <x:v>DrillCamp | Skirmish | Pat's Turnpike||Spawn | CSA Spawnpoint_PT_Base_CSA_Palmetto2 [map-64/001]</x:v>
      </x:c>
      <x:c r="M1328" s="35"/>
      <x:c r="N1328" s="35"/>
      <x:c r="O1328" s="35"/>
      <x:c r="P1328" s="35"/>
      <x:c r="Q1328" s="35"/>
      <x:c r="R1328" s="35"/>
      <x:c r="S1328" s="35"/>
      <x:c r="T1328" s="35"/>
      <x:c r="U1328" s="35"/>
      <x:c r="V1328" s="35"/>
      <x:c r="W1328" s="35"/>
      <x:c r="X1328" s="35"/>
      <x:c r="Y1328" s="35"/>
      <x:c r="Z1328" s="35"/>
      <x:c r="AA1328" s="35"/>
    </x:row>
    <x:row r="1329">
      <x:c r="A1329" s="136" t="str">
        <x:v>DrillCamp | Skirmish | Pat's Turnpike</x:v>
      </x:c>
      <x:c r="B1329" s="136" t="str">
        <x:v>Spawn | USA Spawnpoint_PT_Base_USA_114thPA2 [map-64/002]</x:v>
      </x:c>
      <x:c r="C1329" s="136" t="str">
        <x:v>spawn</x:v>
      </x:c>
      <x:c r="D1329" s="136" t="str">
        <x:v>USA</x:v>
      </x:c>
      <x:c r="E1329" s="136" t="str">
        <x:v>Spawnpoint_PT_Base_USA_114thPA2</x:v>
      </x:c>
      <x:c r="F1329" s="137" t="n">
        <x:v>1420.67333984375</x:v>
      </x:c>
      <x:c r="G1329" s="137" t="n">
        <x:v>3749.673095703125</x:v>
      </x:c>
      <x:c r="H1329" s="137" t="n">
        <x:v>58.6997184753418</x:v>
      </x:c>
      <x:c r="I1329" s="137" t="n">
        <x:v>1869.6181997431459</x:v>
      </x:c>
      <x:c r="J1329" s="137" t="n">
        <x:v>578.1189099137634</x:v>
      </x:c>
      <x:c r="K1329" s="136" t="str">
        <x:v>map-64</x:v>
      </x:c>
      <x:c r="L1329" s="136" t="str">
        <x:v>DrillCamp | Skirmish | Pat's Turnpike||Spawn | USA Spawnpoint_PT_Base_USA_114thPA2 [map-64/002]</x:v>
      </x:c>
      <x:c r="M1329" s="35"/>
      <x:c r="N1329" s="35"/>
      <x:c r="O1329" s="35"/>
      <x:c r="P1329" s="35"/>
      <x:c r="Q1329" s="35"/>
      <x:c r="R1329" s="35"/>
      <x:c r="S1329" s="35"/>
      <x:c r="T1329" s="35"/>
      <x:c r="U1329" s="35"/>
      <x:c r="V1329" s="35"/>
      <x:c r="W1329" s="35"/>
      <x:c r="X1329" s="35"/>
      <x:c r="Y1329" s="35"/>
      <x:c r="Z1329" s="35"/>
      <x:c r="AA1329" s="35"/>
    </x:row>
    <x:row r="1330">
      <x:c r="A1330" s="136" t="str">
        <x:v>DrillCamp | Skirmish | Pat's Turnpike</x:v>
      </x:c>
      <x:c r="B1330" s="136" t="str">
        <x:v>Spawn | USA Spawnpoint_PT_Defend_USA_2ndUS2 [map-64/003]</x:v>
      </x:c>
      <x:c r="C1330" s="136" t="str">
        <x:v>spawn</x:v>
      </x:c>
      <x:c r="D1330" s="136" t="str">
        <x:v>USA</x:v>
      </x:c>
      <x:c r="E1330" s="136" t="str">
        <x:v>Spawnpoint_PT_Defend_USA_2ndUS2</x:v>
      </x:c>
      <x:c r="F1330" s="137" t="n">
        <x:v>1162.68212890625</x:v>
      </x:c>
      <x:c r="G1330" s="137" t="n">
        <x:v>3659.723876953125</x:v>
      </x:c>
      <x:c r="H1330" s="137" t="n">
        <x:v>67.80903625488281</x:v>
      </x:c>
      <x:c r="I1330" s="137" t="n">
        <x:v>1376.4514153823595</x:v>
      </x:c>
      <x:c r="J1330" s="137" t="n">
        <x:v>747.5039671527406</x:v>
      </x:c>
      <x:c r="K1330" s="136" t="str">
        <x:v>map-64</x:v>
      </x:c>
      <x:c r="L1330" s="136" t="str">
        <x:v>DrillCamp | Skirmish | Pat's Turnpike||Spawn | USA Spawnpoint_PT_Defend_USA_2ndUS2 [map-64/003]</x:v>
      </x:c>
      <x:c r="M1330" s="35"/>
      <x:c r="N1330" s="35"/>
      <x:c r="O1330" s="35"/>
      <x:c r="P1330" s="35"/>
      <x:c r="Q1330" s="35"/>
      <x:c r="R1330" s="35"/>
      <x:c r="S1330" s="35"/>
      <x:c r="T1330" s="35"/>
      <x:c r="U1330" s="35"/>
      <x:c r="V1330" s="35"/>
      <x:c r="W1330" s="35"/>
      <x:c r="X1330" s="35"/>
      <x:c r="Y1330" s="35"/>
      <x:c r="Z1330" s="35"/>
      <x:c r="AA1330" s="35"/>
    </x:row>
    <x:row r="1331">
      <x:c r="A1331" s="136" t="str">
        <x:v>DrillCamp | Skirmish | Pat's Turnpike</x:v>
      </x:c>
      <x:c r="B1331" s="136" t="str">
        <x:v>Artillery | USA Spawnpoint_PT_USA_Arty_vonSehlen_Forward [map-64/004]</x:v>
      </x:c>
      <x:c r="C1331" s="136" t="str">
        <x:v>battery</x:v>
      </x:c>
      <x:c r="D1331" s="136" t="str">
        <x:v>USA</x:v>
      </x:c>
      <x:c r="E1331" s="136" t="str">
        <x:v>Spawnpoint_PT_USA_Arty_vonSehlen_Forward</x:v>
      </x:c>
      <x:c r="F1331" s="137" t="n">
        <x:v>1171.7327880859375</x:v>
      </x:c>
      <x:c r="G1331" s="137" t="n">
        <x:v>3684.977294921875</x:v>
      </x:c>
      <x:c r="H1331" s="137" t="n">
        <x:v>66.93891143798828</x:v>
      </x:c>
      <x:c r="I1331" s="137" t="n">
        <x:v>1393.5946565315987</x:v>
      </x:c>
      <x:c r="J1331" s="137" t="n">
        <x:v>699.3834789629282</x:v>
      </x:c>
      <x:c r="K1331" s="136" t="str">
        <x:v>map-64</x:v>
      </x:c>
      <x:c r="L1331" s="136" t="str">
        <x:v>DrillCamp | Skirmish | Pat's Turnpike||Artillery | USA Spawnpoint_PT_USA_Arty_vonSehlen_Forward [map-64/004]</x:v>
      </x:c>
      <x:c r="M1331" s="35"/>
      <x:c r="N1331" s="35"/>
      <x:c r="O1331" s="35"/>
      <x:c r="P1331" s="35"/>
      <x:c r="Q1331" s="35"/>
      <x:c r="R1331" s="35"/>
      <x:c r="S1331" s="35"/>
      <x:c r="T1331" s="35"/>
      <x:c r="U1331" s="35"/>
      <x:c r="V1331" s="35"/>
      <x:c r="W1331" s="35"/>
      <x:c r="X1331" s="35"/>
      <x:c r="Y1331" s="35"/>
      <x:c r="Z1331" s="35"/>
      <x:c r="AA1331" s="35"/>
    </x:row>
    <x:row r="1332">
      <x:c r="A1332" s="136" t="str">
        <x:v>DrillCamp | Skirmish | Pat's Turnpike</x:v>
      </x:c>
      <x:c r="B1332" s="136" t="str">
        <x:v>Spawn | USA Spawnpoint_PT_Defend_USA_2ndUS1 [map-64/005]</x:v>
      </x:c>
      <x:c r="C1332" s="136" t="str">
        <x:v>spawn</x:v>
      </x:c>
      <x:c r="D1332" s="136" t="str">
        <x:v>USA</x:v>
      </x:c>
      <x:c r="E1332" s="136" t="str">
        <x:v>Spawnpoint_PT_Defend_USA_2ndUS1</x:v>
      </x:c>
      <x:c r="F1332" s="137" t="n">
        <x:v>1179.3787841796875</x:v>
      </x:c>
      <x:c r="G1332" s="137" t="n">
        <x:v>3660.802490234375</x:v>
      </x:c>
      <x:c r="H1332" s="137" t="n">
        <x:v>67.30049133300781</x:v>
      </x:c>
      <x:c r="I1332" s="137" t="n">
        <x:v>1408.4019860822393</x:v>
      </x:c>
      <x:c r="J1332" s="137" t="n">
        <x:v>745.5941375499102</x:v>
      </x:c>
      <x:c r="K1332" s="136" t="str">
        <x:v>map-64</x:v>
      </x:c>
      <x:c r="L1332" s="136" t="str">
        <x:v>DrillCamp | Skirmish | Pat's Turnpike||Spawn | USA Spawnpoint_PT_Defend_USA_2ndUS1 [map-64/005]</x:v>
      </x:c>
      <x:c r="M1332" s="35"/>
      <x:c r="N1332" s="35"/>
      <x:c r="O1332" s="35"/>
      <x:c r="P1332" s="35"/>
      <x:c r="Q1332" s="35"/>
      <x:c r="R1332" s="35"/>
      <x:c r="S1332" s="35"/>
      <x:c r="T1332" s="35"/>
      <x:c r="U1332" s="35"/>
      <x:c r="V1332" s="35"/>
      <x:c r="W1332" s="35"/>
      <x:c r="X1332" s="35"/>
      <x:c r="Y1332" s="35"/>
      <x:c r="Z1332" s="35"/>
      <x:c r="AA1332" s="35"/>
    </x:row>
    <x:row r="1333">
      <x:c r="A1333" s="136" t="str">
        <x:v>DrillCamp | Skirmish | Pat's Turnpike</x:v>
      </x:c>
      <x:c r="B1333" s="136" t="str">
        <x:v>Artillery | CSA Spawnpoint_PT_CSA_Arty_Base [map-64/006]</x:v>
      </x:c>
      <x:c r="C1333" s="136" t="str">
        <x:v>battery</x:v>
      </x:c>
      <x:c r="D1333" s="136" t="str">
        <x:v>CSA</x:v>
      </x:c>
      <x:c r="E1333" s="136" t="str">
        <x:v>Spawnpoint_PT_CSA_Arty_Base</x:v>
      </x:c>
      <x:c r="F1333" s="137" t="n">
        <x:v>697.0529174804688</x:v>
      </x:c>
      <x:c r="G1333" s="137" t="n">
        <x:v>3492.518798828125</x:v>
      </x:c>
      <x:c r="H1333" s="137" t="n">
        <x:v>76.70470428466797</x:v>
      </x:c>
      <x:c r="I1333" s="137" t="n">
        <x:v>486.40594016300145</x:v>
      </x:c>
      <x:c r="J1333" s="137" t="n">
        <x:v>1062.495368122808</x:v>
      </x:c>
      <x:c r="K1333" s="136" t="str">
        <x:v>map-64</x:v>
      </x:c>
      <x:c r="L1333" s="136" t="str">
        <x:v>DrillCamp | Skirmish | Pat's Turnpike||Artillery | CSA Spawnpoint_PT_CSA_Arty_Base [map-64/006]</x:v>
      </x:c>
      <x:c r="M1333" s="35"/>
      <x:c r="N1333" s="35"/>
      <x:c r="O1333" s="35"/>
      <x:c r="P1333" s="35"/>
      <x:c r="Q1333" s="35"/>
      <x:c r="R1333" s="35"/>
      <x:c r="S1333" s="35"/>
      <x:c r="T1333" s="35"/>
      <x:c r="U1333" s="35"/>
      <x:c r="V1333" s="35"/>
      <x:c r="W1333" s="35"/>
      <x:c r="X1333" s="35"/>
      <x:c r="Y1333" s="35"/>
      <x:c r="Z1333" s="35"/>
      <x:c r="AA1333" s="35"/>
    </x:row>
    <x:row r="1334">
      <x:c r="A1334" s="136" t="str">
        <x:v>DrillCamp | Skirmish | Pat's Turnpike</x:v>
      </x:c>
      <x:c r="B1334" s="136" t="str">
        <x:v>Objective | Skirmish_11_VictorySequence [map-64/007]</x:v>
      </x:c>
      <x:c r="C1334" s="136" t="str">
        <x:v>objective</x:v>
      </x:c>
      <x:c r="D1334" s="136" t="str"/>
      <x:c r="E1334" s="136" t="str">
        <x:v>Skirmish_11_VictorySequence</x:v>
      </x:c>
      <x:c r="F1334" s="137" t="n">
        <x:v>1170.8997802734375</x:v>
      </x:c>
      <x:c r="G1334" s="137" t="n">
        <x:v>3644.72021484375</x:v>
      </x:c>
      <x:c r="H1334" s="137" t="n">
        <x:v>67.06900024414062</x:v>
      </x:c>
      <x:c r="I1334" s="137" t="n">
        <x:v>1392.2874837503678</x:v>
      </x:c>
      <x:c r="J1334" s="137" t="n">
        <x:v>776.2147596489494</x:v>
      </x:c>
      <x:c r="K1334" s="136" t="str">
        <x:v>map-64</x:v>
      </x:c>
      <x:c r="L1334" s="136" t="str">
        <x:v>DrillCamp | Skirmish | Pat's Turnpike||Objective | Skirmish_11_VictorySequence [map-64/007]</x:v>
      </x:c>
      <x:c r="M1334" s="35"/>
      <x:c r="N1334" s="35"/>
      <x:c r="O1334" s="35"/>
      <x:c r="P1334" s="35"/>
      <x:c r="Q1334" s="35"/>
      <x:c r="R1334" s="35"/>
      <x:c r="S1334" s="35"/>
      <x:c r="T1334" s="35"/>
      <x:c r="U1334" s="35"/>
      <x:c r="V1334" s="35"/>
      <x:c r="W1334" s="35"/>
      <x:c r="X1334" s="35"/>
      <x:c r="Y1334" s="35"/>
      <x:c r="Z1334" s="35"/>
      <x:c r="AA1334" s="35"/>
    </x:row>
    <x:row r="1335">
      <x:c r="A1335" s="136" t="str">
        <x:v>DrillCamp | Skirmish | Pat's Turnpike</x:v>
      </x:c>
      <x:c r="B1335" s="136" t="str">
        <x:v>Spawn | USA Spawnpoint_PT_Base_USA_2ndUS2 [map-64/008]</x:v>
      </x:c>
      <x:c r="C1335" s="136" t="str">
        <x:v>spawn</x:v>
      </x:c>
      <x:c r="D1335" s="136" t="str">
        <x:v>USA</x:v>
      </x:c>
      <x:c r="E1335" s="136" t="str">
        <x:v>Spawnpoint_PT_Base_USA_2ndUS2</x:v>
      </x:c>
      <x:c r="F1335" s="137" t="n">
        <x:v>1419.047119140625</x:v>
      </x:c>
      <x:c r="G1335" s="137" t="n">
        <x:v>3761.2529296875</x:v>
      </x:c>
      <x:c r="H1335" s="137" t="n">
        <x:v>58.476524353027344</x:v>
      </x:c>
      <x:c r="I1335" s="137" t="n">
        <x:v>1866.4229027746783</x:v>
      </x:c>
      <x:c r="J1335" s="137" t="n">
        <x:v>556.0019700306971</x:v>
      </x:c>
      <x:c r="K1335" s="136" t="str">
        <x:v>map-64</x:v>
      </x:c>
      <x:c r="L1335" s="136" t="str">
        <x:v>DrillCamp | Skirmish | Pat's Turnpike||Spawn | USA Spawnpoint_PT_Base_USA_2ndUS2 [map-64/008]</x:v>
      </x:c>
      <x:c r="M1335" s="35"/>
      <x:c r="N1335" s="35"/>
      <x:c r="O1335" s="35"/>
      <x:c r="P1335" s="35"/>
      <x:c r="Q1335" s="35"/>
      <x:c r="R1335" s="35"/>
      <x:c r="S1335" s="35"/>
      <x:c r="T1335" s="35"/>
      <x:c r="U1335" s="35"/>
      <x:c r="V1335" s="35"/>
      <x:c r="W1335" s="35"/>
      <x:c r="X1335" s="35"/>
      <x:c r="Y1335" s="35"/>
      <x:c r="Z1335" s="35"/>
      <x:c r="AA1335" s="35"/>
    </x:row>
    <x:row r="1336">
      <x:c r="A1336" s="136" t="str">
        <x:v>DrillCamp | Skirmish | Pat's Turnpike</x:v>
      </x:c>
      <x:c r="B1336" s="136" t="str">
        <x:v>Spawn | CSA Spawnpoint_PT_Base_CSA_Jeff [map-64/009]</x:v>
      </x:c>
      <x:c r="C1336" s="136" t="str">
        <x:v>spawn</x:v>
      </x:c>
      <x:c r="D1336" s="136" t="str">
        <x:v>CSA</x:v>
      </x:c>
      <x:c r="E1336" s="136" t="str">
        <x:v>Spawnpoint_PT_Base_CSA_Jeff</x:v>
      </x:c>
      <x:c r="F1336" s="137" t="n">
        <x:v>686.3072509765625</x:v>
      </x:c>
      <x:c r="G1336" s="137" t="n">
        <x:v>3527.282470703125</x:v>
      </x:c>
      <x:c r="H1336" s="137" t="n">
        <x:v>77.44966888427734</x:v>
      </x:c>
      <x:c r="I1336" s="137" t="n">
        <x:v>465.59012511172324</x:v>
      </x:c>
      <x:c r="J1336" s="137" t="n">
        <x:v>996.0460865770289</x:v>
      </x:c>
      <x:c r="K1336" s="136" t="str">
        <x:v>map-64</x:v>
      </x:c>
      <x:c r="L1336" s="136" t="str">
        <x:v>DrillCamp | Skirmish | Pat's Turnpike||Spawn | CSA Spawnpoint_PT_Base_CSA_Jeff [map-64/009]</x:v>
      </x:c>
      <x:c r="M1336" s="35"/>
      <x:c r="N1336" s="35"/>
      <x:c r="O1336" s="35"/>
      <x:c r="P1336" s="35"/>
      <x:c r="Q1336" s="35"/>
      <x:c r="R1336" s="35"/>
      <x:c r="S1336" s="35"/>
      <x:c r="T1336" s="35"/>
      <x:c r="U1336" s="35"/>
      <x:c r="V1336" s="35"/>
      <x:c r="W1336" s="35"/>
      <x:c r="X1336" s="35"/>
      <x:c r="Y1336" s="35"/>
      <x:c r="Z1336" s="35"/>
      <x:c r="AA1336" s="35"/>
    </x:row>
    <x:row r="1337">
      <x:c r="A1337" s="136" t="str">
        <x:v>DrillCamp | Skirmish | Pat's Turnpike</x:v>
      </x:c>
      <x:c r="B1337" s="136" t="str">
        <x:v>Spawn | CSA Spawnpoint_PT_Base_CSA_5thVA2 [map-64/010]</x:v>
      </x:c>
      <x:c r="C1337" s="136" t="str">
        <x:v>spawn</x:v>
      </x:c>
      <x:c r="D1337" s="136" t="str">
        <x:v>CSA</x:v>
      </x:c>
      <x:c r="E1337" s="136" t="str">
        <x:v>Spawnpoint_PT_Base_CSA_5thVA2</x:v>
      </x:c>
      <x:c r="F1337" s="137" t="n">
        <x:v>688.047119140625</x:v>
      </x:c>
      <x:c r="G1337" s="137" t="n">
        <x:v>3509.75244140625</x:v>
      </x:c>
      <x:c r="H1337" s="137" t="n">
        <x:v>77.41427612304688</x:v>
      </x:c>
      <x:c r="I1337" s="137" t="n">
        <x:v>469.04540583559066</x:v>
      </x:c>
      <x:c r="J1337" s="137" t="n">
        <x:v>1029.5211810961246</x:v>
      </x:c>
      <x:c r="K1337" s="136" t="str">
        <x:v>map-64</x:v>
      </x:c>
      <x:c r="L1337" s="136" t="str">
        <x:v>DrillCamp | Skirmish | Pat's Turnpike||Spawn | CSA Spawnpoint_PT_Base_CSA_5thVA2 [map-64/010]</x:v>
      </x:c>
      <x:c r="M1337" s="35"/>
      <x:c r="N1337" s="35"/>
      <x:c r="O1337" s="35"/>
      <x:c r="P1337" s="35"/>
      <x:c r="Q1337" s="35"/>
      <x:c r="R1337" s="35"/>
      <x:c r="S1337" s="35"/>
      <x:c r="T1337" s="35"/>
      <x:c r="U1337" s="35"/>
      <x:c r="V1337" s="35"/>
      <x:c r="W1337" s="35"/>
      <x:c r="X1337" s="35"/>
      <x:c r="Y1337" s="35"/>
      <x:c r="Z1337" s="35"/>
      <x:c r="AA1337" s="35"/>
    </x:row>
    <x:row r="1338">
      <x:c r="A1338" s="136" t="str">
        <x:v>DrillCamp | Skirmish | Pat's Turnpike</x:v>
      </x:c>
      <x:c r="B1338" s="136" t="str">
        <x:v>Spawn | Spawnpoint_PT_Defend_4thPA [map-64/011]</x:v>
      </x:c>
      <x:c r="C1338" s="136" t="str">
        <x:v>spawn</x:v>
      </x:c>
      <x:c r="D1338" s="136" t="str"/>
      <x:c r="E1338" s="136" t="str">
        <x:v>Spawnpoint_PT_Defend_4thPA</x:v>
      </x:c>
      <x:c r="F1338" s="137" t="n">
        <x:v>1178.1881103515625</x:v>
      </x:c>
      <x:c r="G1338" s="137" t="n">
        <x:v>3645.21044921875</x:v>
      </x:c>
      <x:c r="H1338" s="137" t="n">
        <x:v>67.05000305175781</x:v>
      </x:c>
      <x:c r="I1338" s="137" t="n">
        <x:v>1406.2342287656936</x:v>
      </x:c>
      <x:c r="J1338" s="137" t="n">
        <x:v>775.344054819024</x:v>
      </x:c>
      <x:c r="K1338" s="136" t="str">
        <x:v>map-64</x:v>
      </x:c>
      <x:c r="L1338" s="136" t="str">
        <x:v>DrillCamp | Skirmish | Pat's Turnpike||Spawn | Spawnpoint_PT_Defend_4thPA [map-64/011]</x:v>
      </x:c>
      <x:c r="M1338" s="35"/>
      <x:c r="N1338" s="35"/>
      <x:c r="O1338" s="35"/>
      <x:c r="P1338" s="35"/>
      <x:c r="Q1338" s="35"/>
      <x:c r="R1338" s="35"/>
      <x:c r="S1338" s="35"/>
      <x:c r="T1338" s="35"/>
      <x:c r="U1338" s="35"/>
      <x:c r="V1338" s="35"/>
      <x:c r="W1338" s="35"/>
      <x:c r="X1338" s="35"/>
      <x:c r="Y1338" s="35"/>
      <x:c r="Z1338" s="35"/>
      <x:c r="AA1338" s="35"/>
    </x:row>
    <x:row r="1339">
      <x:c r="A1339" s="136" t="str">
        <x:v>DrillCamp | Skirmish | Pat's Turnpike</x:v>
      </x:c>
      <x:c r="B1339" s="136" t="str">
        <x:v>Spawn | USA Spawnpoint_PT_Base_USA_114thPA1 [map-64/012]</x:v>
      </x:c>
      <x:c r="C1339" s="136" t="str">
        <x:v>spawn</x:v>
      </x:c>
      <x:c r="D1339" s="136" t="str">
        <x:v>USA</x:v>
      </x:c>
      <x:c r="E1339" s="136" t="str">
        <x:v>Spawnpoint_PT_Base_USA_114thPA1</x:v>
      </x:c>
      <x:c r="F1339" s="137" t="n">
        <x:v>1402.85302734375</x:v>
      </x:c>
      <x:c r="G1339" s="137" t="n">
        <x:v>3750.256591796875</x:v>
      </x:c>
      <x:c r="H1339" s="137" t="n">
        <x:v>59.85292434692383</x:v>
      </x:c>
      <x:c r="I1339" s="137" t="n">
        <x:v>1835.5050309476237</x:v>
      </x:c>
      <x:c r="J1339" s="137" t="n">
        <x:v>576.8462483786626</x:v>
      </x:c>
      <x:c r="K1339" s="136" t="str">
        <x:v>map-64</x:v>
      </x:c>
      <x:c r="L1339" s="136" t="str">
        <x:v>DrillCamp | Skirmish | Pat's Turnpike||Spawn | USA Spawnpoint_PT_Base_USA_114thPA1 [map-64/012]</x:v>
      </x:c>
      <x:c r="M1339" s="35"/>
      <x:c r="N1339" s="35"/>
      <x:c r="O1339" s="35"/>
      <x:c r="P1339" s="35"/>
      <x:c r="Q1339" s="35"/>
      <x:c r="R1339" s="35"/>
      <x:c r="S1339" s="35"/>
      <x:c r="T1339" s="35"/>
      <x:c r="U1339" s="35"/>
      <x:c r="V1339" s="35"/>
      <x:c r="W1339" s="35"/>
      <x:c r="X1339" s="35"/>
      <x:c r="Y1339" s="35"/>
      <x:c r="Z1339" s="35"/>
      <x:c r="AA1339" s="35"/>
    </x:row>
    <x:row r="1340">
      <x:c r="A1340" s="136" t="str">
        <x:v>DrillCamp | Skirmish | Pat's Turnpike</x:v>
      </x:c>
      <x:c r="B1340" s="136" t="str">
        <x:v>Spawn | CSA Spawnpoint_PT_Base_CSA_Palmetto1 [map-64/013]</x:v>
      </x:c>
      <x:c r="C1340" s="136" t="str">
        <x:v>spawn</x:v>
      </x:c>
      <x:c r="D1340" s="136" t="str">
        <x:v>CSA</x:v>
      </x:c>
      <x:c r="E1340" s="136" t="str">
        <x:v>Spawnpoint_PT_Base_CSA_Palmetto1</x:v>
      </x:c>
      <x:c r="F1340" s="137" t="n">
        <x:v>705.5418090820312</x:v>
      </x:c>
      <x:c r="G1340" s="137" t="n">
        <x:v>3520.32275390625</x:v>
      </x:c>
      <x:c r="H1340" s="137" t="n">
        <x:v>76.62139892578125</x:v>
      </x:c>
      <x:c r="I1340" s="137" t="n">
        <x:v>502.45573001590833</x:v>
      </x:c>
      <x:c r="J1340" s="137" t="n">
        <x:v>1009.5016578841447</x:v>
      </x:c>
      <x:c r="K1340" s="136" t="str">
        <x:v>map-64</x:v>
      </x:c>
      <x:c r="L1340" s="136" t="str">
        <x:v>DrillCamp | Skirmish | Pat's Turnpike||Spawn | CSA Spawnpoint_PT_Base_CSA_Palmetto1 [map-64/013]</x:v>
      </x:c>
      <x:c r="M1340" s="35"/>
      <x:c r="N1340" s="35"/>
      <x:c r="O1340" s="35"/>
      <x:c r="P1340" s="35"/>
      <x:c r="Q1340" s="35"/>
      <x:c r="R1340" s="35"/>
      <x:c r="S1340" s="35"/>
      <x:c r="T1340" s="35"/>
      <x:c r="U1340" s="35"/>
      <x:c r="V1340" s="35"/>
      <x:c r="W1340" s="35"/>
      <x:c r="X1340" s="35"/>
      <x:c r="Y1340" s="35"/>
      <x:c r="Z1340" s="35"/>
      <x:c r="AA1340" s="35"/>
    </x:row>
    <x:row r="1341">
      <x:c r="A1341" s="136" t="str">
        <x:v>DrillCamp | Skirmish | Pat's Turnpike</x:v>
      </x:c>
      <x:c r="B1341" s="136" t="str">
        <x:v>Artillery | USA Spawnpoint_PT_USA_Arty_Cooper_Forward [map-64/014]</x:v>
      </x:c>
      <x:c r="C1341" s="136" t="str">
        <x:v>battery</x:v>
      </x:c>
      <x:c r="D1341" s="136" t="str">
        <x:v>USA</x:v>
      </x:c>
      <x:c r="E1341" s="136" t="str">
        <x:v>Spawnpoint_PT_USA_Arty_Cooper_Forward</x:v>
      </x:c>
      <x:c r="F1341" s="137" t="n">
        <x:v>1173.6453857421875</x:v>
      </x:c>
      <x:c r="G1341" s="137" t="n">
        <x:v>3599.358642578125</x:v>
      </x:c>
      <x:c r="H1341" s="137" t="n">
        <x:v>69.78174591064453</x:v>
      </x:c>
      <x:c r="I1341" s="137" t="n">
        <x:v>1397.866385225022</x:v>
      </x:c>
      <x:c r="J1341" s="137" t="n">
        <x:v>862.8209055472338</x:v>
      </x:c>
      <x:c r="K1341" s="136" t="str">
        <x:v>map-64</x:v>
      </x:c>
      <x:c r="L1341" s="136" t="str">
        <x:v>DrillCamp | Skirmish | Pat's Turnpike||Artillery | USA Spawnpoint_PT_USA_Arty_Cooper_Forward [map-64/014]</x:v>
      </x:c>
      <x:c r="M1341" s="35"/>
      <x:c r="N1341" s="35"/>
      <x:c r="O1341" s="35"/>
      <x:c r="P1341" s="35"/>
      <x:c r="Q1341" s="35"/>
      <x:c r="R1341" s="35"/>
      <x:c r="S1341" s="35"/>
      <x:c r="T1341" s="35"/>
      <x:c r="U1341" s="35"/>
      <x:c r="V1341" s="35"/>
      <x:c r="W1341" s="35"/>
      <x:c r="X1341" s="35"/>
      <x:c r="Y1341" s="35"/>
      <x:c r="Z1341" s="35"/>
      <x:c r="AA1341" s="35"/>
    </x:row>
    <x:row r="1342">
      <x:c r="A1342" s="136" t="str">
        <x:v>DrillCamp | Skirmish | Pat's Turnpike</x:v>
      </x:c>
      <x:c r="B1342" s="136" t="str">
        <x:v>Spawn | Spawnpoint_PT_Base_4thPA [map-64/015]</x:v>
      </x:c>
      <x:c r="C1342" s="136" t="str">
        <x:v>spawn</x:v>
      </x:c>
      <x:c r="D1342" s="136" t="str"/>
      <x:c r="E1342" s="136" t="str">
        <x:v>Spawnpoint_PT_Base_4thPA</x:v>
      </x:c>
      <x:c r="F1342" s="137" t="n">
        <x:v>1423.8419189453125</x:v>
      </x:c>
      <x:c r="G1342" s="137" t="n">
        <x:v>3733.7470703125</x:v>
      </x:c>
      <x:c r="H1342" s="137" t="n">
        <x:v>58.76580810546875</x:v>
      </x:c>
      <x:c r="I1342" s="137" t="n">
        <x:v>1875.7966624449036</x:v>
      </x:c>
      <x:c r="J1342" s="137" t="n">
        <x:v>608.5451842156493</x:v>
      </x:c>
      <x:c r="K1342" s="136" t="str">
        <x:v>map-64</x:v>
      </x:c>
      <x:c r="L1342" s="136" t="str">
        <x:v>DrillCamp | Skirmish | Pat's Turnpike||Spawn | Spawnpoint_PT_Base_4thPA [map-64/015]</x:v>
      </x:c>
      <x:c r="M1342" s="35"/>
      <x:c r="N1342" s="35"/>
      <x:c r="O1342" s="35"/>
      <x:c r="P1342" s="35"/>
      <x:c r="Q1342" s="35"/>
      <x:c r="R1342" s="35"/>
      <x:c r="S1342" s="35"/>
      <x:c r="T1342" s="35"/>
      <x:c r="U1342" s="35"/>
      <x:c r="V1342" s="35"/>
      <x:c r="W1342" s="35"/>
      <x:c r="X1342" s="35"/>
      <x:c r="Y1342" s="35"/>
      <x:c r="Z1342" s="35"/>
      <x:c r="AA1342" s="35"/>
    </x:row>
    <x:row r="1343">
      <x:c r="A1343" s="136" t="str">
        <x:v>DrillCamp | Skirmish | Pat's Turnpike</x:v>
      </x:c>
      <x:c r="B1343" s="136" t="str">
        <x:v>Spawn | USA Spawnpoint_PT_Base_USA_2ndUS1 [map-64/016]</x:v>
      </x:c>
      <x:c r="C1343" s="136" t="str">
        <x:v>spawn</x:v>
      </x:c>
      <x:c r="D1343" s="136" t="str">
        <x:v>USA</x:v>
      </x:c>
      <x:c r="E1343" s="136" t="str">
        <x:v>Spawnpoint_PT_Base_USA_2ndUS1</x:v>
      </x:c>
      <x:c r="F1343" s="137" t="n">
        <x:v>1402.4378662109375</x:v>
      </x:c>
      <x:c r="G1343" s="137" t="n">
        <x:v>3761.70068359375</x:v>
      </x:c>
      <x:c r="H1343" s="137" t="n">
        <x:v>59.59027099609375</x:v>
      </x:c>
      <x:c r="I1343" s="137" t="n">
        <x:v>1834.6287335762677</x:v>
      </x:c>
      <x:c r="J1343" s="137" t="n">
        <x:v>554.9992013165993</x:v>
      </x:c>
      <x:c r="K1343" s="136" t="str">
        <x:v>map-64</x:v>
      </x:c>
      <x:c r="L1343" s="136" t="str">
        <x:v>DrillCamp | Skirmish | Pat's Turnpike||Spawn | USA Spawnpoint_PT_Base_USA_2ndUS1 [map-64/016]</x:v>
      </x:c>
      <x:c r="M1343" s="35"/>
      <x:c r="N1343" s="35"/>
      <x:c r="O1343" s="35"/>
      <x:c r="P1343" s="35"/>
      <x:c r="Q1343" s="35"/>
      <x:c r="R1343" s="35"/>
      <x:c r="S1343" s="35"/>
      <x:c r="T1343" s="35"/>
      <x:c r="U1343" s="35"/>
      <x:c r="V1343" s="35"/>
      <x:c r="W1343" s="35"/>
      <x:c r="X1343" s="35"/>
      <x:c r="Y1343" s="35"/>
      <x:c r="Z1343" s="35"/>
      <x:c r="AA1343" s="35"/>
    </x:row>
    <x:row r="1344">
      <x:c r="A1344" s="136" t="str">
        <x:v>DrillCamp | Skirmish | Pat's Turnpike</x:v>
      </x:c>
      <x:c r="B1344" s="136" t="str">
        <x:v>Artillery | CSA Spawnpoint_PT_CSA_Arty_Reily_Forward [map-64/017]</x:v>
      </x:c>
      <x:c r="C1344" s="136" t="str">
        <x:v>battery</x:v>
      </x:c>
      <x:c r="D1344" s="136" t="str">
        <x:v>CSA</x:v>
      </x:c>
      <x:c r="E1344" s="136" t="str">
        <x:v>Spawnpoint_PT_CSA_Arty_Reily_Forward</x:v>
      </x:c>
      <x:c r="F1344" s="137" t="n">
        <x:v>867.1221923828125</x:v>
      </x:c>
      <x:c r="G1344" s="137" t="n">
        <x:v>3670.71875</x:v>
      </x:c>
      <x:c r="H1344" s="137" t="n">
        <x:v>74.28409576416016</x:v>
      </x:c>
      <x:c r="I1344" s="137" t="n">
        <x:v>810.6558661421252</x:v>
      </x:c>
      <x:c r="J1344" s="137" t="n">
        <x:v>723.8819005463955</x:v>
      </x:c>
      <x:c r="K1344" s="136" t="str">
        <x:v>map-64</x:v>
      </x:c>
      <x:c r="L1344" s="136" t="str">
        <x:v>DrillCamp | Skirmish | Pat's Turnpike||Artillery | CSA Spawnpoint_PT_CSA_Arty_Reily_Forward [map-64/017]</x:v>
      </x:c>
      <x:c r="M1344" s="35"/>
      <x:c r="N1344" s="35"/>
      <x:c r="O1344" s="35"/>
      <x:c r="P1344" s="35"/>
      <x:c r="Q1344" s="35"/>
      <x:c r="R1344" s="35"/>
      <x:c r="S1344" s="35"/>
      <x:c r="T1344" s="35"/>
      <x:c r="U1344" s="35"/>
      <x:c r="V1344" s="35"/>
      <x:c r="W1344" s="35"/>
      <x:c r="X1344" s="35"/>
      <x:c r="Y1344" s="35"/>
      <x:c r="Z1344" s="35"/>
      <x:c r="AA1344" s="35"/>
    </x:row>
    <x:row r="1345">
      <x:c r="A1345" s="136" t="str">
        <x:v>DrillCamp | Skirmish | Pat's Turnpike</x:v>
      </x:c>
      <x:c r="B1345" s="136" t="str">
        <x:v>Spawn | USA Spawnpoint_PT_Defend_USA_114thPA2 [map-64/018]</x:v>
      </x:c>
      <x:c r="C1345" s="136" t="str">
        <x:v>spawn</x:v>
      </x:c>
      <x:c r="D1345" s="136" t="str">
        <x:v>USA</x:v>
      </x:c>
      <x:c r="E1345" s="136" t="str">
        <x:v>Spawnpoint_PT_Defend_USA_114thPA2</x:v>
      </x:c>
      <x:c r="F1345" s="137" t="n">
        <x:v>1178.924072265625</x:v>
      </x:c>
      <x:c r="G1345" s="137" t="n">
        <x:v>3624.09716796875</x:v>
      </x:c>
      <x:c r="H1345" s="137" t="n">
        <x:v>67.77156829833984</x:v>
      </x:c>
      <x:c r="I1345" s="137" t="n">
        <x:v>1407.7935483733604</x:v>
      </x:c>
      <x:c r="J1345" s="137" t="n">
        <x:v>815.6495502690486</x:v>
      </x:c>
      <x:c r="K1345" s="136" t="str">
        <x:v>map-64</x:v>
      </x:c>
      <x:c r="L1345" s="136" t="str">
        <x:v>DrillCamp | Skirmish | Pat's Turnpike||Spawn | USA Spawnpoint_PT_Defend_USA_114thPA2 [map-64/018]</x:v>
      </x:c>
      <x:c r="M1345" s="35"/>
      <x:c r="N1345" s="35"/>
      <x:c r="O1345" s="35"/>
      <x:c r="P1345" s="35"/>
      <x:c r="Q1345" s="35"/>
      <x:c r="R1345" s="35"/>
      <x:c r="S1345" s="35"/>
      <x:c r="T1345" s="35"/>
      <x:c r="U1345" s="35"/>
      <x:c r="V1345" s="35"/>
      <x:c r="W1345" s="35"/>
      <x:c r="X1345" s="35"/>
      <x:c r="Y1345" s="35"/>
      <x:c r="Z1345" s="35"/>
      <x:c r="AA1345" s="35"/>
    </x:row>
    <x:row r="1346">
      <x:c r="A1346" s="136" t="str">
        <x:v>DrillCamp | Skirmish | Pat's Turnpike</x:v>
      </x:c>
      <x:c r="B1346" s="136" t="str">
        <x:v>Artillery | CSA Spawnpoint_PT_CSA_Arty_Braxton_Forward [map-64/019]</x:v>
      </x:c>
      <x:c r="C1346" s="136" t="str">
        <x:v>battery</x:v>
      </x:c>
      <x:c r="D1346" s="136" t="str">
        <x:v>CSA</x:v>
      </x:c>
      <x:c r="E1346" s="136" t="str">
        <x:v>Spawnpoint_PT_CSA_Arty_Braxton_Forward</x:v>
      </x:c>
      <x:c r="F1346" s="137" t="n">
        <x:v>936.9505615234375</x:v>
      </x:c>
      <x:c r="G1346" s="137" t="n">
        <x:v>3490.446044921875</x:v>
      </x:c>
      <x:c r="H1346" s="137" t="n">
        <x:v>71.17601013183594</x:v>
      </x:c>
      <x:c r="I1346" s="137" t="n">
        <x:v>945.5973030958155</x:v>
      </x:c>
      <x:c r="J1346" s="137" t="n">
        <x:v>1068.5913202035902</x:v>
      </x:c>
      <x:c r="K1346" s="136" t="str">
        <x:v>map-64</x:v>
      </x:c>
      <x:c r="L1346" s="136" t="str">
        <x:v>DrillCamp | Skirmish | Pat's Turnpike||Artillery | CSA Spawnpoint_PT_CSA_Arty_Braxton_Forward [map-64/019]</x:v>
      </x:c>
      <x:c r="M1346" s="35"/>
      <x:c r="N1346" s="35"/>
      <x:c r="O1346" s="35"/>
      <x:c r="P1346" s="35"/>
      <x:c r="Q1346" s="35"/>
      <x:c r="R1346" s="35"/>
      <x:c r="S1346" s="35"/>
      <x:c r="T1346" s="35"/>
      <x:c r="U1346" s="35"/>
      <x:c r="V1346" s="35"/>
      <x:c r="W1346" s="35"/>
      <x:c r="X1346" s="35"/>
      <x:c r="Y1346" s="35"/>
      <x:c r="Z1346" s="35"/>
      <x:c r="AA1346" s="35"/>
    </x:row>
    <x:row r="1347">
      <x:c r="A1347" s="136" t="str">
        <x:v>DrillCamp | Skirmish | Pat's Turnpike</x:v>
      </x:c>
      <x:c r="B1347" s="136" t="str">
        <x:v>Spawn | USA Spawnpoint_PT_Defend_USA_114thPA1 [map-64/020]</x:v>
      </x:c>
      <x:c r="C1347" s="136" t="str">
        <x:v>spawn</x:v>
      </x:c>
      <x:c r="D1347" s="136" t="str">
        <x:v>USA</x:v>
      </x:c>
      <x:c r="E1347" s="136" t="str">
        <x:v>Spawnpoint_PT_Defend_USA_114thPA1</x:v>
      </x:c>
      <x:c r="F1347" s="137" t="n">
        <x:v>1167.126953125</x:v>
      </x:c>
      <x:c r="G1347" s="137" t="n">
        <x:v>3622.844970703125</x:v>
      </x:c>
      <x:c r="H1347" s="137" t="n">
        <x:v>69.19551086425781</x:v>
      </x:c>
      <x:c r="I1347" s="137" t="n">
        <x:v>1385.2221833452277</x:v>
      </x:c>
      <x:c r="J1347" s="137" t="n">
        <x:v>817.9343994653075</x:v>
      </x:c>
      <x:c r="K1347" s="136" t="str">
        <x:v>map-64</x:v>
      </x:c>
      <x:c r="L1347" s="136" t="str">
        <x:v>DrillCamp | Skirmish | Pat's Turnpike||Spawn | USA Spawnpoint_PT_Defend_USA_114thPA1 [map-64/020]</x:v>
      </x:c>
      <x:c r="M1347" s="35"/>
      <x:c r="N1347" s="35"/>
      <x:c r="O1347" s="35"/>
      <x:c r="P1347" s="35"/>
      <x:c r="Q1347" s="35"/>
      <x:c r="R1347" s="35"/>
      <x:c r="S1347" s="35"/>
      <x:c r="T1347" s="35"/>
      <x:c r="U1347" s="35"/>
      <x:c r="V1347" s="35"/>
      <x:c r="W1347" s="35"/>
      <x:c r="X1347" s="35"/>
      <x:c r="Y1347" s="35"/>
      <x:c r="Z1347" s="35"/>
      <x:c r="AA1347" s="35"/>
    </x:row>
    <x:row r="1348">
      <x:c r="A1348" s="136" t="str">
        <x:v>DrillCamp | Skirmish | Pat's Turnpike</x:v>
      </x:c>
      <x:c r="B1348" s="136" t="str">
        <x:v>Spawn | CSA Spawnpoint_PT_Base_CSA_5thVA1 [map-64/021]</x:v>
      </x:c>
      <x:c r="C1348" s="136" t="str">
        <x:v>spawn</x:v>
      </x:c>
      <x:c r="D1348" s="136" t="str">
        <x:v>CSA</x:v>
      </x:c>
      <x:c r="E1348" s="136" t="str">
        <x:v>Spawnpoint_PT_Base_CSA_5thVA1</x:v>
      </x:c>
      <x:c r="F1348" s="137" t="n">
        <x:v>706.3419799804688</x:v>
      </x:c>
      <x:c r="G1348" s="137" t="n">
        <x:v>3511.08154296875</x:v>
      </x:c>
      <x:c r="H1348" s="137" t="n">
        <x:v>77.09121704101562</x:v>
      </x:c>
      <x:c r="I1348" s="137" t="n">
        <x:v>504.05323783173947</x:v>
      </x:c>
      <x:c r="J1348" s="137" t="n">
        <x:v>1027.1474990279432</x:v>
      </x:c>
      <x:c r="K1348" s="136" t="str">
        <x:v>map-64</x:v>
      </x:c>
      <x:c r="L1348" s="136" t="str">
        <x:v>DrillCamp | Skirmish | Pat's Turnpike||Spawn | CSA Spawnpoint_PT_Base_CSA_5thVA1 [map-64/021]</x:v>
      </x:c>
      <x:c r="M1348" s="35"/>
      <x:c r="N1348" s="35"/>
      <x:c r="O1348" s="35"/>
      <x:c r="P1348" s="35"/>
      <x:c r="Q1348" s="35"/>
      <x:c r="R1348" s="35"/>
      <x:c r="S1348" s="35"/>
      <x:c r="T1348" s="35"/>
      <x:c r="U1348" s="35"/>
      <x:c r="V1348" s="35"/>
      <x:c r="W1348" s="35"/>
      <x:c r="X1348" s="35"/>
      <x:c r="Y1348" s="35"/>
      <x:c r="Z1348" s="35"/>
      <x:c r="AA1348" s="35"/>
    </x:row>
    <x:row r="1349">
      <x:c r="A1349" s="136" t="str">
        <x:v>DrillCamp | Skirmish | Pat's Turnpike</x:v>
      </x:c>
      <x:c r="B1349" s="136" t="str">
        <x:v>Spawn | CSA Spawnpoint_PT_Mounted_CSA_Jeff [map-64/022]</x:v>
      </x:c>
      <x:c r="C1349" s="136" t="str">
        <x:v>spawn</x:v>
      </x:c>
      <x:c r="D1349" s="136" t="str">
        <x:v>CSA</x:v>
      </x:c>
      <x:c r="E1349" s="136" t="str">
        <x:v>Spawnpoint_PT_Mounted_CSA_Jeff</x:v>
      </x:c>
      <x:c r="F1349" s="137" t="n">
        <x:v>531.9383544921875</x:v>
      </x:c>
      <x:c r="G1349" s="137" t="n">
        <x:v>3594.62646484375</x:v>
      </x:c>
      <x:c r="H1349" s="137" t="n">
        <x:v>78.59414672851562</x:v>
      </x:c>
      <x:c r="I1349" s="137" t="n">
        <x:v>169.63950349278772</x:v>
      </x:c>
      <x:c r="J1349" s="137" t="n">
        <x:v>866.1297277484315</x:v>
      </x:c>
      <x:c r="K1349" s="136" t="str">
        <x:v>map-64</x:v>
      </x:c>
      <x:c r="L1349" s="136" t="str">
        <x:v>DrillCamp | Skirmish | Pat's Turnpike||Spawn | CSA Spawnpoint_PT_Mounted_CSA_Jeff [map-64/022]</x:v>
      </x:c>
      <x:c r="M1349" s="35"/>
      <x:c r="N1349" s="35"/>
      <x:c r="O1349" s="35"/>
      <x:c r="P1349" s="35"/>
      <x:c r="Q1349" s="35"/>
      <x:c r="R1349" s="35"/>
      <x:c r="S1349" s="35"/>
      <x:c r="T1349" s="35"/>
      <x:c r="U1349" s="35"/>
      <x:c r="V1349" s="35"/>
      <x:c r="W1349" s="35"/>
      <x:c r="X1349" s="35"/>
      <x:c r="Y1349" s="35"/>
      <x:c r="Z1349" s="35"/>
      <x:c r="AA1349" s="35"/>
    </x:row>
    <x:row r="1350">
      <x:c r="A1350" s="136" t="str">
        <x:v>DrillCamp | Skirmish | Pat's Turnpike</x:v>
      </x:c>
      <x:c r="B1350" s="136" t="str">
        <x:v>Artillery | USA Spawnpoint_PT_USA_Arty_Base [map-64/023]</x:v>
      </x:c>
      <x:c r="C1350" s="136" t="str">
        <x:v>battery</x:v>
      </x:c>
      <x:c r="D1350" s="136" t="str">
        <x:v>USA</x:v>
      </x:c>
      <x:c r="E1350" s="136" t="str">
        <x:v>Spawnpoint_PT_USA_Arty_Base</x:v>
      </x:c>
      <x:c r="F1350" s="137" t="n">
        <x:v>1408.8856201171875</x:v>
      </x:c>
      <x:c r="G1350" s="137" t="n">
        <x:v>3735.502685546875</x:v>
      </x:c>
      <x:c r="H1350" s="137" t="n">
        <x:v>59.826473236083984</x:v>
      </x:c>
      <x:c r="I1350" s="137" t="n">
        <x:v>1847.1570013830699</x:v>
      </x:c>
      <x:c r="J1350" s="137" t="n">
        <x:v>605.0608428433943</x:v>
      </x:c>
      <x:c r="K1350" s="136" t="str">
        <x:v>map-64</x:v>
      </x:c>
      <x:c r="L1350" s="136" t="str">
        <x:v>DrillCamp | Skirmish | Pat's Turnpike||Artillery | USA Spawnpoint_PT_USA_Arty_Base [map-64/023]</x:v>
      </x:c>
      <x:c r="M1350" s="35"/>
      <x:c r="N1350" s="35"/>
      <x:c r="O1350" s="35"/>
      <x:c r="P1350" s="35"/>
      <x:c r="Q1350" s="35"/>
      <x:c r="R1350" s="35"/>
      <x:c r="S1350" s="35"/>
      <x:c r="T1350" s="35"/>
      <x:c r="U1350" s="35"/>
      <x:c r="V1350" s="35"/>
      <x:c r="W1350" s="35"/>
      <x:c r="X1350" s="35"/>
      <x:c r="Y1350" s="35"/>
      <x:c r="Z1350" s="35"/>
      <x:c r="AA1350" s="35"/>
    </x:row>
    <x:row r="1351">
      <x:c r="A1351" s="136" t="str">
        <x:v>DrillCamp | Skirmish | Pat's Turnpike</x:v>
      </x:c>
      <x:c r="B1351" s="136" t="str">
        <x:v>Gun | 3-inch Ordnance · Entity-1503 [map-64/024]</x:v>
      </x:c>
      <x:c r="C1351" s="136" t="str">
        <x:v>gun_spawn</x:v>
      </x:c>
      <x:c r="D1351" s="136" t="str"/>
      <x:c r="E1351" s="136" t="str">
        <x:v>3-inch Ordnance · Entity-1503</x:v>
      </x:c>
      <x:c r="F1351" s="137" t="n">
        <x:v>907.0885009765625</x:v>
      </x:c>
      <x:c r="G1351" s="137" t="n">
        <x:v>3675.33154296875</x:v>
      </x:c>
      <x:c r="H1351" s="137" t="n">
        <x:v>74.0020751953125</x:v>
      </x:c>
      <x:c r="I1351" s="137" t="n">
        <x:v>887.1205465380962</x:v>
      </x:c>
      <x:c r="J1351" s="137" t="n">
        <x:v>715.433926043604</x:v>
      </x:c>
      <x:c r="K1351" s="136" t="str">
        <x:v>map-64</x:v>
      </x:c>
      <x:c r="L1351" s="136" t="str">
        <x:v>DrillCamp | Skirmish | Pat's Turnpike||Gun | 3-inch Ordnance · Entity-1503 [map-64/024]</x:v>
      </x:c>
      <x:c r="M1351" s="35"/>
      <x:c r="N1351" s="35"/>
      <x:c r="O1351" s="35"/>
      <x:c r="P1351" s="35"/>
      <x:c r="Q1351" s="35"/>
      <x:c r="R1351" s="35"/>
      <x:c r="S1351" s="35"/>
      <x:c r="T1351" s="35"/>
      <x:c r="U1351" s="35"/>
      <x:c r="V1351" s="35"/>
      <x:c r="W1351" s="35"/>
      <x:c r="X1351" s="35"/>
      <x:c r="Y1351" s="35"/>
      <x:c r="Z1351" s="35"/>
      <x:c r="AA1351" s="35"/>
    </x:row>
    <x:row r="1352">
      <x:c r="A1352" s="136" t="str">
        <x:v>DrillCamp | Skirmish | Pat's Turnpike</x:v>
      </x:c>
      <x:c r="B1352" s="136" t="str">
        <x:v>Gun | 12-pounder Napoleon (CSA) · Entity-1508 [map-64/025]</x:v>
      </x:c>
      <x:c r="C1352" s="136" t="str">
        <x:v>gun_spawn</x:v>
      </x:c>
      <x:c r="D1352" s="136" t="str"/>
      <x:c r="E1352" s="136" t="str">
        <x:v>12-pounder Napoleon (CSA) · Entity-1508</x:v>
      </x:c>
      <x:c r="F1352" s="137" t="n">
        <x:v>1133.5919189453125</x:v>
      </x:c>
      <x:c r="G1352" s="137" t="n">
        <x:v>3595.034423828125</x:v>
      </x:c>
      <x:c r="H1352" s="137" t="n">
        <x:v>72.88040924072266</x:v>
      </x:c>
      <x:c r="I1352" s="137" t="n">
        <x:v>1321.2328204211951</x:v>
      </x:c>
      <x:c r="J1352" s="137" t="n">
        <x:v>870.7173009053514</x:v>
      </x:c>
      <x:c r="K1352" s="136" t="str">
        <x:v>map-64</x:v>
      </x:c>
      <x:c r="L1352" s="136" t="str">
        <x:v>DrillCamp | Skirmish | Pat's Turnpike||Gun | 12-pounder Napoleon (CSA) · Entity-1508 [map-64/025]</x:v>
      </x:c>
      <x:c r="M1352" s="35"/>
      <x:c r="N1352" s="35"/>
      <x:c r="O1352" s="35"/>
      <x:c r="P1352" s="35"/>
      <x:c r="Q1352" s="35"/>
      <x:c r="R1352" s="35"/>
      <x:c r="S1352" s="35"/>
      <x:c r="T1352" s="35"/>
      <x:c r="U1352" s="35"/>
      <x:c r="V1352" s="35"/>
      <x:c r="W1352" s="35"/>
      <x:c r="X1352" s="35"/>
      <x:c r="Y1352" s="35"/>
      <x:c r="Z1352" s="35"/>
      <x:c r="AA1352" s="35"/>
    </x:row>
    <x:row r="1353">
      <x:c r="A1353" s="136" t="str">
        <x:v>DrillCamp | Skirmish | Pat's Turnpike</x:v>
      </x:c>
      <x:c r="B1353" s="136" t="str">
        <x:v>Gun | 12-pounder Napoleon (USA) · Entity-1504 [map-64/026]</x:v>
      </x:c>
      <x:c r="C1353" s="136" t="str">
        <x:v>gun_spawn</x:v>
      </x:c>
      <x:c r="D1353" s="136" t="str"/>
      <x:c r="E1353" s="136" t="str">
        <x:v>12-pounder Napoleon (USA) · Entity-1504</x:v>
      </x:c>
      <x:c r="F1353" s="137" t="n">
        <x:v>907.4239501953125</x:v>
      </x:c>
      <x:c r="G1353" s="137" t="n">
        <x:v>3666.10009765625</x:v>
      </x:c>
      <x:c r="H1353" s="137" t="n">
        <x:v>74.72256469726562</x:v>
      </x:c>
      <x:c r="I1353" s="137" t="n">
        <x:v>887.8284831974669</x:v>
      </x:c>
      <x:c r="J1353" s="137" t="n">
        <x:v>733.056982606472</x:v>
      </x:c>
      <x:c r="K1353" s="136" t="str">
        <x:v>map-64</x:v>
      </x:c>
      <x:c r="L1353" s="136" t="str">
        <x:v>DrillCamp | Skirmish | Pat's Turnpike||Gun | 12-pounder Napoleon (USA) · Entity-1504 [map-64/026]</x:v>
      </x:c>
      <x:c r="M1353" s="35"/>
      <x:c r="N1353" s="35"/>
      <x:c r="O1353" s="35"/>
      <x:c r="P1353" s="35"/>
      <x:c r="Q1353" s="35"/>
      <x:c r="R1353" s="35"/>
      <x:c r="S1353" s="35"/>
      <x:c r="T1353" s="35"/>
      <x:c r="U1353" s="35"/>
      <x:c r="V1353" s="35"/>
      <x:c r="W1353" s="35"/>
      <x:c r="X1353" s="35"/>
      <x:c r="Y1353" s="35"/>
      <x:c r="Z1353" s="35"/>
      <x:c r="AA1353" s="35"/>
    </x:row>
    <x:row r="1354">
      <x:c r="A1354" s="136" t="str">
        <x:v>DrillCamp | Skirmish | Pat's Turnpike</x:v>
      </x:c>
      <x:c r="B1354" s="136" t="str">
        <x:v>Gun | 3-inch Ordnance · Entity-1519 [map-64/027]</x:v>
      </x:c>
      <x:c r="C1354" s="136" t="str">
        <x:v>gun_spawn</x:v>
      </x:c>
      <x:c r="D1354" s="136" t="str"/>
      <x:c r="E1354" s="136" t="str">
        <x:v>3-inch Ordnance · Entity-1519</x:v>
      </x:c>
      <x:c r="F1354" s="137" t="n">
        <x:v>1134.44287109375</x:v>
      </x:c>
      <x:c r="G1354" s="137" t="n">
        <x:v>3689.1826171875</x:v>
      </x:c>
      <x:c r="H1354" s="137" t="n">
        <x:v>67.77191162109375</x:v>
      </x:c>
      <x:c r="I1354" s="137" t="n">
        <x:v>1322.1898087658185</x:v>
      </x:c>
      <x:c r="J1354" s="137" t="n">
        <x:v>691.0241833370665</x:v>
      </x:c>
      <x:c r="K1354" s="136" t="str">
        <x:v>map-64</x:v>
      </x:c>
      <x:c r="L1354" s="136" t="str">
        <x:v>DrillCamp | Skirmish | Pat's Turnpike||Gun | 3-inch Ordnance · Entity-1519 [map-64/027]</x:v>
      </x:c>
      <x:c r="M1354" s="35"/>
      <x:c r="N1354" s="35"/>
      <x:c r="O1354" s="35"/>
      <x:c r="P1354" s="35"/>
      <x:c r="Q1354" s="35"/>
      <x:c r="R1354" s="35"/>
      <x:c r="S1354" s="35"/>
      <x:c r="T1354" s="35"/>
      <x:c r="U1354" s="35"/>
      <x:c r="V1354" s="35"/>
      <x:c r="W1354" s="35"/>
      <x:c r="X1354" s="35"/>
      <x:c r="Y1354" s="35"/>
      <x:c r="Z1354" s="35"/>
      <x:c r="AA1354" s="35"/>
    </x:row>
    <x:row r="1355">
      <x:c r="A1355" s="136" t="str">
        <x:v>DrillCamp | Skirmish | Pat's Turnpike</x:v>
      </x:c>
      <x:c r="B1355" s="136" t="str">
        <x:v>Gun | 3-inch Ordnance · Entity-1509 [map-64/028]</x:v>
      </x:c>
      <x:c r="C1355" s="136" t="str">
        <x:v>gun_spawn</x:v>
      </x:c>
      <x:c r="D1355" s="136" t="str"/>
      <x:c r="E1355" s="136" t="str">
        <x:v>3-inch Ordnance · Entity-1509</x:v>
      </x:c>
      <x:c r="F1355" s="137" t="n">
        <x:v>1137.5303955078125</x:v>
      </x:c>
      <x:c r="G1355" s="137" t="n">
        <x:v>3580.810791015625</x:v>
      </x:c>
      <x:c r="H1355" s="137" t="n">
        <x:v>73.65093994140625</x:v>
      </x:c>
      <x:c r="I1355" s="137" t="n">
        <x:v>1328.8727597914935</x:v>
      </x:c>
      <x:c r="J1355" s="137" t="n">
        <x:v>897.9010844159367</x:v>
      </x:c>
      <x:c r="K1355" s="136" t="str">
        <x:v>map-64</x:v>
      </x:c>
      <x:c r="L1355" s="136" t="str">
        <x:v>DrillCamp | Skirmish | Pat's Turnpike||Gun | 3-inch Ordnance · Entity-1509 [map-64/028]</x:v>
      </x:c>
      <x:c r="M1355" s="35"/>
      <x:c r="N1355" s="35"/>
      <x:c r="O1355" s="35"/>
      <x:c r="P1355" s="35"/>
      <x:c r="Q1355" s="35"/>
      <x:c r="R1355" s="35"/>
      <x:c r="S1355" s="35"/>
      <x:c r="T1355" s="35"/>
      <x:c r="U1355" s="35"/>
      <x:c r="V1355" s="35"/>
      <x:c r="W1355" s="35"/>
      <x:c r="X1355" s="35"/>
      <x:c r="Y1355" s="35"/>
      <x:c r="Z1355" s="35"/>
      <x:c r="AA1355" s="35"/>
    </x:row>
    <x:row r="1356">
      <x:c r="A1356" s="136" t="str">
        <x:v>DrillCamp | Skirmish | Pat's Turnpike</x:v>
      </x:c>
      <x:c r="B1356" s="136" t="str">
        <x:v>Gun | 12-pounder Napoleon (USA) · Entity-1493 [map-64/029]</x:v>
      </x:c>
      <x:c r="C1356" s="136" t="str">
        <x:v>gun_spawn</x:v>
      </x:c>
      <x:c r="D1356" s="136" t="str"/>
      <x:c r="E1356" s="136" t="str">
        <x:v>12-pounder Napoleon (USA) · Entity-1493</x:v>
      </x:c>
      <x:c r="F1356" s="137" t="n">
        <x:v>961.025390625</x:v>
      </x:c>
      <x:c r="G1356" s="137" t="n">
        <x:v>3487.241943359375</x:v>
      </x:c>
      <x:c r="H1356" s="137" t="n">
        <x:v>70.62823486328125</x:v>
      </x:c>
      <x:c r="I1356" s="137" t="n">
        <x:v>991.7006409868019</x:v>
      </x:c>
      <x:c r="J1356" s="137" t="n">
        <x:v>1074.9217178448678</x:v>
      </x:c>
      <x:c r="K1356" s="136" t="str">
        <x:v>map-64</x:v>
      </x:c>
      <x:c r="L1356" s="136" t="str">
        <x:v>DrillCamp | Skirmish | Pat's Turnpike||Gun | 12-pounder Napoleon (USA) · Entity-1493 [map-64/029]</x:v>
      </x:c>
      <x:c r="M1356" s="35"/>
      <x:c r="N1356" s="35"/>
      <x:c r="O1356" s="35"/>
      <x:c r="P1356" s="35"/>
      <x:c r="Q1356" s="35"/>
      <x:c r="R1356" s="35"/>
      <x:c r="S1356" s="35"/>
      <x:c r="T1356" s="35"/>
      <x:c r="U1356" s="35"/>
      <x:c r="V1356" s="35"/>
      <x:c r="W1356" s="35"/>
      <x:c r="X1356" s="35"/>
      <x:c r="Y1356" s="35"/>
      <x:c r="Z1356" s="35"/>
      <x:c r="AA1356" s="35"/>
    </x:row>
    <x:row r="1357">
      <x:c r="A1357" s="136" t="str">
        <x:v>DrillCamp | Skirmish | Pat's Turnpike</x:v>
      </x:c>
      <x:c r="B1357" s="136" t="str">
        <x:v>Gun | 10-pounder Parrott · Entity-1491 [map-64/030]</x:v>
      </x:c>
      <x:c r="C1357" s="136" t="str">
        <x:v>gun_spawn</x:v>
      </x:c>
      <x:c r="D1357" s="136" t="str"/>
      <x:c r="E1357" s="136" t="str">
        <x:v>10-pounder Parrott · Entity-1491</x:v>
      </x:c>
      <x:c r="F1357" s="137" t="n">
        <x:v>944.2030029296875</x:v>
      </x:c>
      <x:c r="G1357" s="137" t="n">
        <x:v>3516.66650390625</x:v>
      </x:c>
      <x:c r="H1357" s="137" t="n">
        <x:v>72.51812744140625</x:v>
      </x:c>
      <x:c r="I1357" s="137" t="n">
        <x:v>959.2917617051779</x:v>
      </x:c>
      <x:c r="J1357" s="137" t="n">
        <x:v>1018.6090017137898</x:v>
      </x:c>
      <x:c r="K1357" s="136" t="str">
        <x:v>map-64</x:v>
      </x:c>
      <x:c r="L1357" s="136" t="str">
        <x:v>DrillCamp | Skirmish | Pat's Turnpike||Gun | 10-pounder Parrott · Entity-1491 [map-64/030]</x:v>
      </x:c>
      <x:c r="M1357" s="35"/>
      <x:c r="N1357" s="35"/>
      <x:c r="O1357" s="35"/>
      <x:c r="P1357" s="35"/>
      <x:c r="Q1357" s="35"/>
      <x:c r="R1357" s="35"/>
      <x:c r="S1357" s="35"/>
      <x:c r="T1357" s="35"/>
      <x:c r="U1357" s="35"/>
      <x:c r="V1357" s="35"/>
      <x:c r="W1357" s="35"/>
      <x:c r="X1357" s="35"/>
      <x:c r="Y1357" s="35"/>
      <x:c r="Z1357" s="35"/>
      <x:c r="AA1357" s="35"/>
    </x:row>
    <x:row r="1358">
      <x:c r="A1358" s="136" t="str">
        <x:v>DrillCamp | Skirmish | Pat's Turnpike</x:v>
      </x:c>
      <x:c r="B1358" s="136" t="str">
        <x:v>Gun | 12-pounder Napoleon (CSA) · Entity-1524 [map-64/031]</x:v>
      </x:c>
      <x:c r="C1358" s="136" t="str">
        <x:v>gun_spawn</x:v>
      </x:c>
      <x:c r="D1358" s="136" t="str"/>
      <x:c r="E1358" s="136" t="str">
        <x:v>12-pounder Napoleon (CSA) · Entity-1524</x:v>
      </x:c>
      <x:c r="F1358" s="137" t="n">
        <x:v>1137.9063720703125</x:v>
      </x:c>
      <x:c r="G1358" s="137" t="n">
        <x:v>3674.324951171875</x:v>
      </x:c>
      <x:c r="H1358" s="137" t="n">
        <x:v>68.29945373535156</x:v>
      </x:c>
      <x:c r="I1358" s="137" t="n">
        <x:v>1328.9251441860765</x:v>
      </x:c>
      <x:c r="J1358" s="137" t="n">
        <x:v>719.413909980299</x:v>
      </x:c>
      <x:c r="K1358" s="136" t="str">
        <x:v>map-64</x:v>
      </x:c>
      <x:c r="L1358" s="136" t="str">
        <x:v>DrillCamp | Skirmish | Pat's Turnpike||Gun | 12-pounder Napoleon (CSA) · Entity-1524 [map-64/031]</x:v>
      </x:c>
      <x:c r="M1358" s="35"/>
      <x:c r="N1358" s="35"/>
      <x:c r="O1358" s="35"/>
      <x:c r="P1358" s="35"/>
      <x:c r="Q1358" s="35"/>
      <x:c r="R1358" s="35"/>
      <x:c r="S1358" s="35"/>
      <x:c r="T1358" s="35"/>
      <x:c r="U1358" s="35"/>
      <x:c r="V1358" s="35"/>
      <x:c r="W1358" s="35"/>
      <x:c r="X1358" s="35"/>
      <x:c r="Y1358" s="35"/>
      <x:c r="Z1358" s="35"/>
      <x:c r="AA1358" s="35"/>
    </x:row>
    <x:row r="1359">
      <x:c r="A1359" s="136" t="str">
        <x:v>DrillCamp | Skirmish | Pat's Turnpike</x:v>
      </x:c>
      <x:c r="B1359" s="136" t="str">
        <x:v>Gun | 12-pounder Napoleon (CSA) · Entity-1523 [map-64/032]</x:v>
      </x:c>
      <x:c r="C1359" s="136" t="str">
        <x:v>gun_spawn</x:v>
      </x:c>
      <x:c r="D1359" s="136" t="str"/>
      <x:c r="E1359" s="136" t="str">
        <x:v>12-pounder Napoleon (CSA) · Entity-1523</x:v>
      </x:c>
      <x:c r="F1359" s="137" t="n">
        <x:v>1136.0579833984375</x:v>
      </x:c>
      <x:c r="G1359" s="137" t="n">
        <x:v>3681.84228515625</x:v>
      </x:c>
      <x:c r="H1359" s="137" t="n">
        <x:v>68.07141876220703</x:v>
      </x:c>
      <x:c r="I1359" s="137" t="n">
        <x:v>1325.3335934399888</x:v>
      </x:c>
      <x:c r="J1359" s="137" t="n">
        <x:v>705.0490844823993</x:v>
      </x:c>
      <x:c r="K1359" s="136" t="str">
        <x:v>map-64</x:v>
      </x:c>
      <x:c r="L1359" s="136" t="str">
        <x:v>DrillCamp | Skirmish | Pat's Turnpike||Gun | 12-pounder Napoleon (CSA) · Entity-1523 [map-64/032]</x:v>
      </x:c>
      <x:c r="M1359" s="35"/>
      <x:c r="N1359" s="35"/>
      <x:c r="O1359" s="35"/>
      <x:c r="P1359" s="35"/>
      <x:c r="Q1359" s="35"/>
      <x:c r="R1359" s="35"/>
      <x:c r="S1359" s="35"/>
      <x:c r="T1359" s="35"/>
      <x:c r="U1359" s="35"/>
      <x:c r="V1359" s="35"/>
      <x:c r="W1359" s="35"/>
      <x:c r="X1359" s="35"/>
      <x:c r="Y1359" s="35"/>
      <x:c r="Z1359" s="35"/>
      <x:c r="AA1359" s="35"/>
    </x:row>
    <x:row r="1360">
      <x:c r="A1360" s="136" t="str">
        <x:v>DrillCamp | Skirmish | Pat's Turnpike</x:v>
      </x:c>
      <x:c r="B1360" s="136" t="str">
        <x:v>Gun | 12-pounder Napoleon (CSA) · Entity-1517 [map-64/033]</x:v>
      </x:c>
      <x:c r="C1360" s="136" t="str">
        <x:v>gun_spawn</x:v>
      </x:c>
      <x:c r="D1360" s="136" t="str"/>
      <x:c r="E1360" s="136" t="str">
        <x:v>12-pounder Napoleon (CSA) · Entity-1517</x:v>
      </x:c>
      <x:c r="F1360" s="137" t="n">
        <x:v>1129.8927001953125</x:v>
      </x:c>
      <x:c r="G1360" s="137" t="n">
        <x:v>3705.922607421875</x:v>
      </x:c>
      <x:c r="H1360" s="137" t="n">
        <x:v>68.36263275146484</x:v>
      </x:c>
      <x:c r="I1360" s="137" t="n">
        <x:v>1313.3610995702443</x:v>
      </x:c>
      <x:c r="J1360" s="137" t="n">
        <x:v>659.0319712607967</x:v>
      </x:c>
      <x:c r="K1360" s="136" t="str">
        <x:v>map-64</x:v>
      </x:c>
      <x:c r="L1360" s="136" t="str">
        <x:v>DrillCamp | Skirmish | Pat's Turnpike||Gun | 12-pounder Napoleon (CSA) · Entity-1517 [map-64/033]</x:v>
      </x:c>
      <x:c r="M1360" s="35"/>
      <x:c r="N1360" s="35"/>
      <x:c r="O1360" s="35"/>
      <x:c r="P1360" s="35"/>
      <x:c r="Q1360" s="35"/>
      <x:c r="R1360" s="35"/>
      <x:c r="S1360" s="35"/>
      <x:c r="T1360" s="35"/>
      <x:c r="U1360" s="35"/>
      <x:c r="V1360" s="35"/>
      <x:c r="W1360" s="35"/>
      <x:c r="X1360" s="35"/>
      <x:c r="Y1360" s="35"/>
      <x:c r="Z1360" s="35"/>
      <x:c r="AA1360" s="35"/>
    </x:row>
    <x:row r="1361">
      <x:c r="A1361" s="136" t="str">
        <x:v>DrillCamp | Skirmish | Pat's Turnpike</x:v>
      </x:c>
      <x:c r="B1361" s="136" t="str">
        <x:v>Gun | 10-pounder Parrott · Entity-1492 [map-64/034]</x:v>
      </x:c>
      <x:c r="C1361" s="136" t="str">
        <x:v>gun_spawn</x:v>
      </x:c>
      <x:c r="D1361" s="136" t="str"/>
      <x:c r="E1361" s="136" t="str">
        <x:v>10-pounder Parrott · Entity-1492</x:v>
      </x:c>
      <x:c r="F1361" s="137" t="n">
        <x:v>952.120849609375</x:v>
      </x:c>
      <x:c r="G1361" s="137" t="n">
        <x:v>3502.5126953125</x:v>
      </x:c>
      <x:c r="H1361" s="137" t="n">
        <x:v>71.40975189208984</x:v>
      </x:c>
      <x:c r="I1361" s="137" t="n">
        <x:v>974.5479243172219</x:v>
      </x:c>
      <x:c r="J1361" s="137" t="n">
        <x:v>1045.6950043411123</x:v>
      </x:c>
      <x:c r="K1361" s="136" t="str">
        <x:v>map-64</x:v>
      </x:c>
      <x:c r="L1361" s="136" t="str">
        <x:v>DrillCamp | Skirmish | Pat's Turnpike||Gun | 10-pounder Parrott · Entity-1492 [map-64/034]</x:v>
      </x:c>
      <x:c r="M1361" s="35"/>
      <x:c r="N1361" s="35"/>
      <x:c r="O1361" s="35"/>
      <x:c r="P1361" s="35"/>
      <x:c r="Q1361" s="35"/>
      <x:c r="R1361" s="35"/>
      <x:c r="S1361" s="35"/>
      <x:c r="T1361" s="35"/>
      <x:c r="U1361" s="35"/>
      <x:c r="V1361" s="35"/>
      <x:c r="W1361" s="35"/>
      <x:c r="X1361" s="35"/>
      <x:c r="Y1361" s="35"/>
      <x:c r="Z1361" s="35"/>
      <x:c r="AA1361" s="35"/>
    </x:row>
    <x:row r="1362">
      <x:c r="A1362" s="136" t="str">
        <x:v>DrillCamp | Skirmish | Pat's Turnpike</x:v>
      </x:c>
      <x:c r="B1362" s="136" t="str">
        <x:v>Gun | 12-pounder Napoleon (USA) · Entity-1495 [map-64/035]</x:v>
      </x:c>
      <x:c r="C1362" s="136" t="str">
        <x:v>gun_spawn</x:v>
      </x:c>
      <x:c r="D1362" s="136" t="str"/>
      <x:c r="E1362" s="136" t="str">
        <x:v>12-pounder Napoleon (USA) · Entity-1495</x:v>
      </x:c>
      <x:c r="F1362" s="137" t="n">
        <x:v>965.6148681640625</x:v>
      </x:c>
      <x:c r="G1362" s="137" t="n">
        <x:v>3478.736328125</x:v>
      </x:c>
      <x:c r="H1362" s="137" t="n">
        <x:v>70.60986328125</x:v>
      </x:c>
      <x:c r="I1362" s="137" t="n">
        <x:v>1000.5458301621247</x:v>
      </x:c>
      <x:c r="J1362" s="137" t="n">
        <x:v>1091.197324508131</x:v>
      </x:c>
      <x:c r="K1362" s="136" t="str">
        <x:v>map-64</x:v>
      </x:c>
      <x:c r="L1362" s="136" t="str">
        <x:v>DrillCamp | Skirmish | Pat's Turnpike||Gun | 12-pounder Napoleon (USA) · Entity-1495 [map-64/035]</x:v>
      </x:c>
      <x:c r="M1362" s="35"/>
      <x:c r="N1362" s="35"/>
      <x:c r="O1362" s="35"/>
      <x:c r="P1362" s="35"/>
      <x:c r="Q1362" s="35"/>
      <x:c r="R1362" s="35"/>
      <x:c r="S1362" s="35"/>
      <x:c r="T1362" s="35"/>
      <x:c r="U1362" s="35"/>
      <x:c r="V1362" s="35"/>
      <x:c r="W1362" s="35"/>
      <x:c r="X1362" s="35"/>
      <x:c r="Y1362" s="35"/>
      <x:c r="Z1362" s="35"/>
      <x:c r="AA1362" s="35"/>
    </x:row>
    <x:row r="1363">
      <x:c r="A1363" s="136" t="str">
        <x:v>DrillCamp | Skirmish | Pat's Turnpike</x:v>
      </x:c>
      <x:c r="B1363" s="136" t="str">
        <x:v>Gun | 12-pounder Napoleon (CSA) · Entity-1510 [map-64/036]</x:v>
      </x:c>
      <x:c r="C1363" s="136" t="str">
        <x:v>gun_spawn</x:v>
      </x:c>
      <x:c r="D1363" s="136" t="str"/>
      <x:c r="E1363" s="136" t="str">
        <x:v>12-pounder Napoleon (CSA) · Entity-1510</x:v>
      </x:c>
      <x:c r="F1363" s="137" t="n">
        <x:v>1135.440185546875</x:v>
      </x:c>
      <x:c r="G1363" s="137" t="n">
        <x:v>3587.51708984375</x:v>
      </x:c>
      <x:c r="H1363" s="137" t="n">
        <x:v>73.12989044189453</x:v>
      </x:c>
      <x:c r="I1363" s="137" t="n">
        <x:v>1324.8241375183534</x:v>
      </x:c>
      <x:c r="J1363" s="137" t="n">
        <x:v>885.0821253144865</x:v>
      </x:c>
      <x:c r="K1363" s="136" t="str">
        <x:v>map-64</x:v>
      </x:c>
      <x:c r="L1363" s="136" t="str">
        <x:v>DrillCamp | Skirmish | Pat's Turnpike||Gun | 12-pounder Napoleon (CSA) · Entity-1510 [map-64/036]</x:v>
      </x:c>
      <x:c r="M1363" s="35"/>
      <x:c r="N1363" s="35"/>
      <x:c r="O1363" s="35"/>
      <x:c r="P1363" s="35"/>
      <x:c r="Q1363" s="35"/>
      <x:c r="R1363" s="35"/>
      <x:c r="S1363" s="35"/>
      <x:c r="T1363" s="35"/>
      <x:c r="U1363" s="35"/>
      <x:c r="V1363" s="35"/>
      <x:c r="W1363" s="35"/>
      <x:c r="X1363" s="35"/>
      <x:c r="Y1363" s="35"/>
      <x:c r="Z1363" s="35"/>
      <x:c r="AA1363" s="35"/>
    </x:row>
    <x:row r="1364">
      <x:c r="A1364" s="136" t="str">
        <x:v>DrillCamp | Skirmish | Pat's Turnpike</x:v>
      </x:c>
      <x:c r="B1364" s="136" t="str">
        <x:v>Gun | 3-inch Ordnance · Entity-1502 [map-64/037]</x:v>
      </x:c>
      <x:c r="C1364" s="136" t="str">
        <x:v>gun_spawn</x:v>
      </x:c>
      <x:c r="D1364" s="136" t="str"/>
      <x:c r="E1364" s="136" t="str">
        <x:v>3-inch Ordnance · Entity-1502</x:v>
      </x:c>
      <x:c r="F1364" s="137" t="n">
        <x:v>906.139404296875</x:v>
      </x:c>
      <x:c r="G1364" s="137" t="n">
        <x:v>3681.631591796875</x:v>
      </x:c>
      <x:c r="H1364" s="137" t="n">
        <x:v>73.71263122558594</x:v>
      </x:c>
      <x:c r="I1364" s="137" t="n">
        <x:v>885.2589731875963</x:v>
      </x:c>
      <x:c r="J1364" s="137" t="n">
        <x:v>703.4005543083193</x:v>
      </x:c>
      <x:c r="K1364" s="136" t="str">
        <x:v>map-64</x:v>
      </x:c>
      <x:c r="L1364" s="136" t="str">
        <x:v>DrillCamp | Skirmish | Pat's Turnpike||Gun | 3-inch Ordnance · Entity-1502 [map-64/037]</x:v>
      </x:c>
      <x:c r="M1364" s="35"/>
      <x:c r="N1364" s="35"/>
      <x:c r="O1364" s="35"/>
      <x:c r="P1364" s="35"/>
      <x:c r="Q1364" s="35"/>
      <x:c r="R1364" s="35"/>
      <x:c r="S1364" s="35"/>
      <x:c r="T1364" s="35"/>
      <x:c r="U1364" s="35"/>
      <x:c r="V1364" s="35"/>
      <x:c r="W1364" s="35"/>
      <x:c r="X1364" s="35"/>
      <x:c r="Y1364" s="35"/>
      <x:c r="Z1364" s="35"/>
      <x:c r="AA1364" s="35"/>
    </x:row>
    <x:row r="1365">
      <x:c r="A1365" s="136" t="str">
        <x:v>DrillCamp | Skirmish | Pat's Turnpike</x:v>
      </x:c>
      <x:c r="B1365" s="136" t="str">
        <x:v>Gun | 12-pounder Napoleon (CSA) · Entity-1518 [map-64/038]</x:v>
      </x:c>
      <x:c r="C1365" s="136" t="str">
        <x:v>gun_spawn</x:v>
      </x:c>
      <x:c r="D1365" s="136" t="str"/>
      <x:c r="E1365" s="136" t="str">
        <x:v>12-pounder Napoleon (CSA) · Entity-1518</x:v>
      </x:c>
      <x:c r="F1365" s="137" t="n">
        <x:v>1132.3529052734375</x:v>
      </x:c>
      <x:c r="G1365" s="137" t="n">
        <x:v>3695.888916015625</x:v>
      </x:c>
      <x:c r="H1365" s="137" t="n">
        <x:v>68.04956817626953</x:v>
      </x:c>
      <x:c r="I1365" s="137" t="n">
        <x:v>1318.141653790538</x:v>
      </x:c>
      <x:c r="J1365" s="137" t="n">
        <x:v>678.2052264131456</x:v>
      </x:c>
      <x:c r="K1365" s="136" t="str">
        <x:v>map-64</x:v>
      </x:c>
      <x:c r="L1365" s="136" t="str">
        <x:v>DrillCamp | Skirmish | Pat's Turnpike||Gun | 12-pounder Napoleon (CSA) · Entity-1518 [map-64/038]</x:v>
      </x:c>
      <x:c r="M1365" s="35"/>
      <x:c r="N1365" s="35"/>
      <x:c r="O1365" s="35"/>
      <x:c r="P1365" s="35"/>
      <x:c r="Q1365" s="35"/>
      <x:c r="R1365" s="35"/>
      <x:c r="S1365" s="35"/>
      <x:c r="T1365" s="35"/>
      <x:c r="U1365" s="35"/>
      <x:c r="V1365" s="35"/>
      <x:c r="W1365" s="35"/>
      <x:c r="X1365" s="35"/>
      <x:c r="Y1365" s="35"/>
      <x:c r="Z1365" s="35"/>
      <x:c r="AA1365" s="35"/>
    </x:row>
    <x:row r="1366">
      <x:c r="A1366" s="136" t="str">
        <x:v>DrillCamp | Skirmish | Pat's Turnpike</x:v>
      </x:c>
      <x:c r="B1366" s="136" t="str">
        <x:v>Gun | 10-pounder Parrott · Entity-1490 [map-64/039]</x:v>
      </x:c>
      <x:c r="C1366" s="136" t="str">
        <x:v>gun_spawn</x:v>
      </x:c>
      <x:c r="D1366" s="136" t="str"/>
      <x:c r="E1366" s="136" t="str">
        <x:v>10-pounder Parrott · Entity-1490</x:v>
      </x:c>
      <x:c r="F1366" s="137" t="n">
        <x:v>948.463134765625</x:v>
      </x:c>
      <x:c r="G1366" s="137" t="n">
        <x:v>3508.946044921875</x:v>
      </x:c>
      <x:c r="H1366" s="137" t="n">
        <x:v>71.81321716308594</x:v>
      </x:c>
      <x:c r="I1366" s="137" t="n">
        <x:v>967.5009637198228</x:v>
      </x:c>
      <x:c r="J1366" s="137" t="n">
        <x:v>1033.383042732834</x:v>
      </x:c>
      <x:c r="K1366" s="136" t="str">
        <x:v>map-64</x:v>
      </x:c>
      <x:c r="L1366" s="136" t="str">
        <x:v>DrillCamp | Skirmish | Pat's Turnpike||Gun | 10-pounder Parrott · Entity-1490 [map-64/039]</x:v>
      </x:c>
      <x:c r="M1366" s="35"/>
      <x:c r="N1366" s="35"/>
      <x:c r="O1366" s="35"/>
      <x:c r="P1366" s="35"/>
      <x:c r="Q1366" s="35"/>
      <x:c r="R1366" s="35"/>
      <x:c r="S1366" s="35"/>
      <x:c r="T1366" s="35"/>
      <x:c r="U1366" s="35"/>
      <x:c r="V1366" s="35"/>
      <x:c r="W1366" s="35"/>
      <x:c r="X1366" s="35"/>
      <x:c r="Y1366" s="35"/>
      <x:c r="Z1366" s="35"/>
      <x:c r="AA1366" s="35"/>
    </x:row>
    <x:row r="1367">
      <x:c r="A1367" s="136" t="str">
        <x:v>DrillCamp | Skirmish | Pat's Turnpike</x:v>
      </x:c>
      <x:c r="B1367" s="136" t="str">
        <x:v>Gun | 12-pounder Napoleon (USA) · Entity-1494 [map-64/040]</x:v>
      </x:c>
      <x:c r="C1367" s="136" t="str">
        <x:v>gun_spawn</x:v>
      </x:c>
      <x:c r="D1367" s="136" t="str"/>
      <x:c r="E1367" s="136" t="str">
        <x:v>12-pounder Napoleon (USA) · Entity-1494</x:v>
      </x:c>
      <x:c r="F1367" s="137" t="n">
        <x:v>956.2373046875</x:v>
      </x:c>
      <x:c r="G1367" s="137" t="n">
        <x:v>3495.458251953125</x:v>
      </x:c>
      <x:c r="H1367" s="137" t="n">
        <x:v>70.8482437133789</x:v>
      </x:c>
      <x:c r="I1367" s="137" t="n">
        <x:v>982.4773693008893</x:v>
      </x:c>
      <x:c r="J1367" s="137" t="n">
        <x:v>1059.1965395021293</x:v>
      </x:c>
      <x:c r="K1367" s="136" t="str">
        <x:v>map-64</x:v>
      </x:c>
      <x:c r="L1367" s="136" t="str">
        <x:v>DrillCamp | Skirmish | Pat's Turnpike||Gun | 12-pounder Napoleon (USA) · Entity-1494 [map-64/040]</x:v>
      </x:c>
      <x:c r="M1367" s="35"/>
      <x:c r="N1367" s="35"/>
      <x:c r="O1367" s="35"/>
      <x:c r="P1367" s="35"/>
      <x:c r="Q1367" s="35"/>
      <x:c r="R1367" s="35"/>
      <x:c r="S1367" s="35"/>
      <x:c r="T1367" s="35"/>
      <x:c r="U1367" s="35"/>
      <x:c r="V1367" s="35"/>
      <x:c r="W1367" s="35"/>
      <x:c r="X1367" s="35"/>
      <x:c r="Y1367" s="35"/>
      <x:c r="Z1367" s="35"/>
      <x:c r="AA1367" s="35"/>
    </x:row>
    <x:row r="1368">
      <x:c r="A1368" s="136" t="str">
        <x:v>DrillCamp | Skirmish | Pat's Turnpike</x:v>
      </x:c>
      <x:c r="B1368" s="136" t="str">
        <x:v>Gun | 3-inch Ordnance · Entity-1525 [map-64/041]</x:v>
      </x:c>
      <x:c r="C1368" s="136" t="str">
        <x:v>gun_spawn</x:v>
      </x:c>
      <x:c r="D1368" s="136" t="str"/>
      <x:c r="E1368" s="136" t="str">
        <x:v>3-inch Ordnance · Entity-1525</x:v>
      </x:c>
      <x:c r="F1368" s="137" t="n">
        <x:v>1139.996337890625</x:v>
      </x:c>
      <x:c r="G1368" s="137" t="n">
        <x:v>3667.618896484375</x:v>
      </x:c>
      <x:c r="H1368" s="137" t="n">
        <x:v>68.24620819091797</x:v>
      </x:c>
      <x:c r="I1368" s="137" t="n">
        <x:v>1332.9732974193337</x:v>
      </x:c>
      <x:c r="J1368" s="137" t="n">
        <x:v>732.2324009128774</x:v>
      </x:c>
      <x:c r="K1368" s="136" t="str">
        <x:v>map-64</x:v>
      </x:c>
      <x:c r="L1368" s="136" t="str">
        <x:v>DrillCamp | Skirmish | Pat's Turnpike||Gun | 3-inch Ordnance · Entity-1525 [map-64/041]</x:v>
      </x:c>
      <x:c r="M1368" s="35"/>
      <x:c r="N1368" s="35"/>
      <x:c r="O1368" s="35"/>
      <x:c r="P1368" s="35"/>
      <x:c r="Q1368" s="35"/>
      <x:c r="R1368" s="35"/>
      <x:c r="S1368" s="35"/>
      <x:c r="T1368" s="35"/>
      <x:c r="U1368" s="35"/>
      <x:c r="V1368" s="35"/>
      <x:c r="W1368" s="35"/>
      <x:c r="X1368" s="35"/>
      <x:c r="Y1368" s="35"/>
      <x:c r="Z1368" s="35"/>
      <x:c r="AA1368" s="35"/>
    </x:row>
    <x:row r="1369">
      <x:c r="A1369" s="136" t="str">
        <x:v>DrillCamp | Skirmish | Stefan's Lot</x:v>
      </x:c>
      <x:c r="B1369" s="136" t="str">
        <x:v>Spawn | USA Spawnpoint_SL_Base_USA_9thVT1 [map-65/001]</x:v>
      </x:c>
      <x:c r="C1369" s="136" t="str">
        <x:v>spawn</x:v>
      </x:c>
      <x:c r="D1369" s="136" t="str">
        <x:v>USA</x:v>
      </x:c>
      <x:c r="E1369" s="136" t="str">
        <x:v>Spawnpoint_SL_Base_USA_9thVT1</x:v>
      </x:c>
      <x:c r="F1369" s="137" t="n">
        <x:v>1262.01025390625</x:v>
      </x:c>
      <x:c r="G1369" s="137" t="n">
        <x:v>419.5763854980469</x:v>
      </x:c>
      <x:c r="H1369" s="137" t="n">
        <x:v>56.852394104003906</x:v>
      </x:c>
      <x:c r="I1369" s="137" t="n">
        <x:v>930.6633550605488</x:v>
      </x:c>
      <x:c r="J1369" s="137" t="n">
        <x:v>1753.9888468115423</x:v>
      </x:c>
      <x:c r="K1369" s="136" t="str">
        <x:v>map-65</x:v>
      </x:c>
      <x:c r="L1369" s="136" t="str">
        <x:v>DrillCamp | Skirmish | Stefan's Lot||Spawn | USA Spawnpoint_SL_Base_USA_9thVT1 [map-65/001]</x:v>
      </x:c>
      <x:c r="M1369" s="35"/>
      <x:c r="N1369" s="35"/>
      <x:c r="O1369" s="35"/>
      <x:c r="P1369" s="35"/>
      <x:c r="Q1369" s="35"/>
      <x:c r="R1369" s="35"/>
      <x:c r="S1369" s="35"/>
      <x:c r="T1369" s="35"/>
      <x:c r="U1369" s="35"/>
      <x:c r="V1369" s="35"/>
      <x:c r="W1369" s="35"/>
      <x:c r="X1369" s="35"/>
      <x:c r="Y1369" s="35"/>
      <x:c r="Z1369" s="35"/>
      <x:c r="AA1369" s="35"/>
    </x:row>
    <x:row r="1370">
      <x:c r="A1370" s="136" t="str">
        <x:v>DrillCamp | Skirmish | Stefan's Lot</x:v>
      </x:c>
      <x:c r="B1370" s="136" t="str">
        <x:v>Spawn | USA Spawnpoint_SL_Base_USA_14thBK2 [map-65/002]</x:v>
      </x:c>
      <x:c r="C1370" s="136" t="str">
        <x:v>spawn</x:v>
      </x:c>
      <x:c r="D1370" s="136" t="str">
        <x:v>USA</x:v>
      </x:c>
      <x:c r="E1370" s="136" t="str">
        <x:v>Spawnpoint_SL_Base_USA_14thBK2</x:v>
      </x:c>
      <x:c r="F1370" s="137" t="n">
        <x:v>1274.0821533203125</x:v>
      </x:c>
      <x:c r="G1370" s="137" t="n">
        <x:v>398.6033630371094</x:v>
      </x:c>
      <x:c r="H1370" s="137" t="n">
        <x:v>57.05269241333008</x:v>
      </x:c>
      <x:c r="I1370" s="137" t="n">
        <x:v>952.9512020539506</x:v>
      </x:c>
      <x:c r="J1370" s="137" t="n">
        <x:v>1792.5368876290977</x:v>
      </x:c>
      <x:c r="K1370" s="136" t="str">
        <x:v>map-65</x:v>
      </x:c>
      <x:c r="L1370" s="136" t="str">
        <x:v>DrillCamp | Skirmish | Stefan's Lot||Spawn | USA Spawnpoint_SL_Base_USA_14thBK2 [map-65/002]</x:v>
      </x:c>
      <x:c r="M1370" s="35"/>
      <x:c r="N1370" s="35"/>
      <x:c r="O1370" s="35"/>
      <x:c r="P1370" s="35"/>
      <x:c r="Q1370" s="35"/>
      <x:c r="R1370" s="35"/>
      <x:c r="S1370" s="35"/>
      <x:c r="T1370" s="35"/>
      <x:c r="U1370" s="35"/>
      <x:c r="V1370" s="35"/>
      <x:c r="W1370" s="35"/>
      <x:c r="X1370" s="35"/>
      <x:c r="Y1370" s="35"/>
      <x:c r="Z1370" s="35"/>
      <x:c r="AA1370" s="35"/>
    </x:row>
    <x:row r="1371">
      <x:c r="A1371" s="136" t="str">
        <x:v>DrillCamp | Skirmish | Stefan's Lot</x:v>
      </x:c>
      <x:c r="B1371" s="136" t="str">
        <x:v>Spawn | USA Spawnpoint_SL_Base_USA_14thBK1 [map-65/003]</x:v>
      </x:c>
      <x:c r="C1371" s="136" t="str">
        <x:v>spawn</x:v>
      </x:c>
      <x:c r="D1371" s="136" t="str">
        <x:v>USA</x:v>
      </x:c>
      <x:c r="E1371" s="136" t="str">
        <x:v>Spawnpoint_SL_Base_USA_14thBK1</x:v>
      </x:c>
      <x:c r="F1371" s="137" t="n">
        <x:v>1276.7735595703125</x:v>
      </x:c>
      <x:c r="G1371" s="137" t="n">
        <x:v>416.8644104003906</x:v>
      </x:c>
      <x:c r="H1371" s="137" t="n">
        <x:v>56.9745979309082</x:v>
      </x:c>
      <x:c r="I1371" s="137" t="n">
        <x:v>957.8823469303416</x:v>
      </x:c>
      <x:c r="J1371" s="137" t="n">
        <x:v>1759.0388306731425</x:v>
      </x:c>
      <x:c r="K1371" s="136" t="str">
        <x:v>map-65</x:v>
      </x:c>
      <x:c r="L1371" s="136" t="str">
        <x:v>DrillCamp | Skirmish | Stefan's Lot||Spawn | USA Spawnpoint_SL_Base_USA_14thBK1 [map-65/003]</x:v>
      </x:c>
      <x:c r="M1371" s="35"/>
      <x:c r="N1371" s="35"/>
      <x:c r="O1371" s="35"/>
      <x:c r="P1371" s="35"/>
      <x:c r="Q1371" s="35"/>
      <x:c r="R1371" s="35"/>
      <x:c r="S1371" s="35"/>
      <x:c r="T1371" s="35"/>
      <x:c r="U1371" s="35"/>
      <x:c r="V1371" s="35"/>
      <x:c r="W1371" s="35"/>
      <x:c r="X1371" s="35"/>
      <x:c r="Y1371" s="35"/>
      <x:c r="Z1371" s="35"/>
      <x:c r="AA1371" s="35"/>
    </x:row>
    <x:row r="1372">
      <x:c r="A1372" s="136" t="str">
        <x:v>DrillCamp | Skirmish | Stefan's Lot</x:v>
      </x:c>
      <x:c r="B1372" s="136" t="str">
        <x:v>Spawn | USA Spawnpoint_SL_Defend_USA_6thPA [map-65/004]</x:v>
      </x:c>
      <x:c r="C1372" s="136" t="str">
        <x:v>spawn</x:v>
      </x:c>
      <x:c r="D1372" s="136" t="str">
        <x:v>USA</x:v>
      </x:c>
      <x:c r="E1372" s="136" t="str">
        <x:v>Spawnpoint_SL_Defend_USA_6thPA</x:v>
      </x:c>
      <x:c r="F1372" s="137" t="n">
        <x:v>1315.384765625</x:v>
      </x:c>
      <x:c r="G1372" s="137" t="n">
        <x:v>593.8153076171875</x:v>
      </x:c>
      <x:c r="H1372" s="137" t="n">
        <x:v>64.89002227783203</x:v>
      </x:c>
      <x:c r="I1372" s="137" t="n">
        <x:v>1028.7655274717936</x:v>
      </x:c>
      <x:c r="J1372" s="137" t="n">
        <x:v>1434.5022823558634</x:v>
      </x:c>
      <x:c r="K1372" s="136" t="str">
        <x:v>map-65</x:v>
      </x:c>
      <x:c r="L1372" s="136" t="str">
        <x:v>DrillCamp | Skirmish | Stefan's Lot||Spawn | USA Spawnpoint_SL_Defend_USA_6thPA [map-65/004]</x:v>
      </x:c>
      <x:c r="M1372" s="35"/>
      <x:c r="N1372" s="35"/>
      <x:c r="O1372" s="35"/>
      <x:c r="P1372" s="35"/>
      <x:c r="Q1372" s="35"/>
      <x:c r="R1372" s="35"/>
      <x:c r="S1372" s="35"/>
      <x:c r="T1372" s="35"/>
      <x:c r="U1372" s="35"/>
      <x:c r="V1372" s="35"/>
      <x:c r="W1372" s="35"/>
      <x:c r="X1372" s="35"/>
      <x:c r="Y1372" s="35"/>
      <x:c r="Z1372" s="35"/>
      <x:c r="AA1372" s="35"/>
    </x:row>
    <x:row r="1373">
      <x:c r="A1373" s="136" t="str">
        <x:v>DrillCamp | Skirmish | Stefan's Lot</x:v>
      </x:c>
      <x:c r="B1373" s="136" t="str">
        <x:v>Spawn | CSA Spawnpoint_SL_Base_CSA_4thTX1 [map-65/005]</x:v>
      </x:c>
      <x:c r="C1373" s="136" t="str">
        <x:v>spawn</x:v>
      </x:c>
      <x:c r="D1373" s="136" t="str">
        <x:v>CSA</x:v>
      </x:c>
      <x:c r="E1373" s="136" t="str">
        <x:v>Spawnpoint_SL_Base_CSA_4thTX1</x:v>
      </x:c>
      <x:c r="F1373" s="137" t="n">
        <x:v>1356.6514892578125</x:v>
      </x:c>
      <x:c r="G1373" s="137" t="n">
        <x:v>1211.054443359375</x:v>
      </x:c>
      <x:c r="H1373" s="137" t="n">
        <x:v>58.87458801269531</x:v>
      </x:c>
      <x:c r="I1373" s="137" t="n">
        <x:v>1103.816599520513</x:v>
      </x:c>
      <x:c r="J1373" s="137" t="n">
        <x:v>301.99278706426134</x:v>
      </x:c>
      <x:c r="K1373" s="136" t="str">
        <x:v>map-65</x:v>
      </x:c>
      <x:c r="L1373" s="136" t="str">
        <x:v>DrillCamp | Skirmish | Stefan's Lot||Spawn | CSA Spawnpoint_SL_Base_CSA_4thTX1 [map-65/005]</x:v>
      </x:c>
      <x:c r="M1373" s="35"/>
      <x:c r="N1373" s="35"/>
      <x:c r="O1373" s="35"/>
      <x:c r="P1373" s="35"/>
      <x:c r="Q1373" s="35"/>
      <x:c r="R1373" s="35"/>
      <x:c r="S1373" s="35"/>
      <x:c r="T1373" s="35"/>
      <x:c r="U1373" s="35"/>
      <x:c r="V1373" s="35"/>
      <x:c r="W1373" s="35"/>
      <x:c r="X1373" s="35"/>
      <x:c r="Y1373" s="35"/>
      <x:c r="Z1373" s="35"/>
      <x:c r="AA1373" s="35"/>
    </x:row>
    <x:row r="1374">
      <x:c r="A1374" s="136" t="str">
        <x:v>DrillCamp | Skirmish | Stefan's Lot</x:v>
      </x:c>
      <x:c r="B1374" s="136" t="str">
        <x:v>Spawn | USA Spawnpoint_SL_Base_USA_9thVT2 [map-65/006]</x:v>
      </x:c>
      <x:c r="C1374" s="136" t="str">
        <x:v>spawn</x:v>
      </x:c>
      <x:c r="D1374" s="136" t="str">
        <x:v>USA</x:v>
      </x:c>
      <x:c r="E1374" s="136" t="str">
        <x:v>Spawnpoint_SL_Base_USA_9thVT2</x:v>
      </x:c>
      <x:c r="F1374" s="137" t="n">
        <x:v>1259.71533203125</x:v>
      </x:c>
      <x:c r="G1374" s="137" t="n">
        <x:v>398.92486572265625</x:v>
      </x:c>
      <x:c r="H1374" s="137" t="n">
        <x:v>56.865482330322266</x:v>
      </x:c>
      <x:c r="I1374" s="137" t="n">
        <x:v>926.4670335770155</x:v>
      </x:c>
      <x:c r="J1374" s="137" t="n">
        <x:v>1791.8756958558085</x:v>
      </x:c>
      <x:c r="K1374" s="136" t="str">
        <x:v>map-65</x:v>
      </x:c>
      <x:c r="L1374" s="136" t="str">
        <x:v>DrillCamp | Skirmish | Stefan's Lot||Spawn | USA Spawnpoint_SL_Base_USA_9thVT2 [map-65/006]</x:v>
      </x:c>
      <x:c r="M1374" s="35"/>
      <x:c r="N1374" s="35"/>
      <x:c r="O1374" s="35"/>
      <x:c r="P1374" s="35"/>
      <x:c r="Q1374" s="35"/>
      <x:c r="R1374" s="35"/>
      <x:c r="S1374" s="35"/>
      <x:c r="T1374" s="35"/>
      <x:c r="U1374" s="35"/>
      <x:c r="V1374" s="35"/>
      <x:c r="W1374" s="35"/>
      <x:c r="X1374" s="35"/>
      <x:c r="Y1374" s="35"/>
      <x:c r="Z1374" s="35"/>
      <x:c r="AA1374" s="35"/>
    </x:row>
    <x:row r="1375">
      <x:c r="A1375" s="136" t="str">
        <x:v>DrillCamp | Skirmish | Stefan's Lot</x:v>
      </x:c>
      <x:c r="B1375" s="136" t="str">
        <x:v>Spawn | USA Spawnpoint_SL_Mounted_USA_6thPA [map-65/007]</x:v>
      </x:c>
      <x:c r="C1375" s="136" t="str">
        <x:v>spawn</x:v>
      </x:c>
      <x:c r="D1375" s="136" t="str">
        <x:v>USA</x:v>
      </x:c>
      <x:c r="E1375" s="136" t="str">
        <x:v>Spawnpoint_SL_Mounted_USA_6thPA</x:v>
      </x:c>
      <x:c r="F1375" s="137" t="n">
        <x:v>1141.8853759765625</x:v>
      </x:c>
      <x:c r="G1375" s="137" t="n">
        <x:v>345.235107421875</x:v>
      </x:c>
      <x:c r="H1375" s="137" t="n">
        <x:v>60.824562072753906</x:v>
      </x:c>
      <x:c r="I1375" s="137" t="n">
        <x:v>709.349296270843</x:v>
      </x:c>
      <x:c r="J1375" s="137" t="n">
        <x:v>1889.819487681003</x:v>
      </x:c>
      <x:c r="K1375" s="136" t="str">
        <x:v>map-65</x:v>
      </x:c>
      <x:c r="L1375" s="136" t="str">
        <x:v>DrillCamp | Skirmish | Stefan's Lot||Spawn | USA Spawnpoint_SL_Mounted_USA_6thPA [map-65/007]</x:v>
      </x:c>
      <x:c r="M1375" s="35"/>
      <x:c r="N1375" s="35"/>
      <x:c r="O1375" s="35"/>
      <x:c r="P1375" s="35"/>
      <x:c r="Q1375" s="35"/>
      <x:c r="R1375" s="35"/>
      <x:c r="S1375" s="35"/>
      <x:c r="T1375" s="35"/>
      <x:c r="U1375" s="35"/>
      <x:c r="V1375" s="35"/>
      <x:c r="W1375" s="35"/>
      <x:c r="X1375" s="35"/>
      <x:c r="Y1375" s="35"/>
      <x:c r="Z1375" s="35"/>
      <x:c r="AA1375" s="35"/>
    </x:row>
    <x:row r="1376">
      <x:c r="A1376" s="136" t="str">
        <x:v>DrillCamp | Skirmish | Stefan's Lot</x:v>
      </x:c>
      <x:c r="B1376" s="136" t="str">
        <x:v>Spawn | USA Spawnpoint_SL_Defend_USA_9thVT1 [map-65/008]</x:v>
      </x:c>
      <x:c r="C1376" s="136" t="str">
        <x:v>spawn</x:v>
      </x:c>
      <x:c r="D1376" s="136" t="str">
        <x:v>USA</x:v>
      </x:c>
      <x:c r="E1376" s="136" t="str">
        <x:v>Spawnpoint_SL_Defend_USA_9thVT1</x:v>
      </x:c>
      <x:c r="F1376" s="137" t="n">
        <x:v>1283.1314697265625</x:v>
      </x:c>
      <x:c r="G1376" s="137" t="n">
        <x:v>617.5396728515625</x:v>
      </x:c>
      <x:c r="H1376" s="137" t="n">
        <x:v>62.25346374511719</x:v>
      </x:c>
      <x:c r="I1376" s="137" t="n">
        <x:v>969.2709756579646</x:v>
      </x:c>
      <x:c r="J1376" s="137" t="n">
        <x:v>1390.8051643577426</x:v>
      </x:c>
      <x:c r="K1376" s="136" t="str">
        <x:v>map-65</x:v>
      </x:c>
      <x:c r="L1376" s="136" t="str">
        <x:v>DrillCamp | Skirmish | Stefan's Lot||Spawn | USA Spawnpoint_SL_Defend_USA_9thVT1 [map-65/008]</x:v>
      </x:c>
      <x:c r="M1376" s="35"/>
      <x:c r="N1376" s="35"/>
      <x:c r="O1376" s="35"/>
      <x:c r="P1376" s="35"/>
      <x:c r="Q1376" s="35"/>
      <x:c r="R1376" s="35"/>
      <x:c r="S1376" s="35"/>
      <x:c r="T1376" s="35"/>
      <x:c r="U1376" s="35"/>
      <x:c r="V1376" s="35"/>
      <x:c r="W1376" s="35"/>
      <x:c r="X1376" s="35"/>
      <x:c r="Y1376" s="35"/>
      <x:c r="Z1376" s="35"/>
      <x:c r="AA1376" s="35"/>
    </x:row>
    <x:row r="1377">
      <x:c r="A1377" s="136" t="str">
        <x:v>DrillCamp | Skirmish | Stefan's Lot</x:v>
      </x:c>
      <x:c r="B1377" s="136" t="str">
        <x:v>Spawn | CSA Spawnpoint_SL_Base_CSA_4thTX2 [map-65/009]</x:v>
      </x:c>
      <x:c r="C1377" s="136" t="str">
        <x:v>spawn</x:v>
      </x:c>
      <x:c r="D1377" s="136" t="str">
        <x:v>CSA</x:v>
      </x:c>
      <x:c r="E1377" s="136" t="str">
        <x:v>Spawnpoint_SL_Base_CSA_4thTX2</x:v>
      </x:c>
      <x:c r="F1377" s="137" t="n">
        <x:v>1362.2310791015625</x:v>
      </x:c>
      <x:c r="G1377" s="137" t="n">
        <x:v>1232.6827392578125</x:v>
      </x:c>
      <x:c r="H1377" s="137" t="n">
        <x:v>58.99448776245117</x:v>
      </x:c>
      <x:c r="I1377" s="137" t="n">
        <x:v>1114.066227721798</x:v>
      </x:c>
      <x:c r="J1377" s="137" t="n">
        <x:v>262.3297036322288</x:v>
      </x:c>
      <x:c r="K1377" s="136" t="str">
        <x:v>map-65</x:v>
      </x:c>
      <x:c r="L1377" s="136" t="str">
        <x:v>DrillCamp | Skirmish | Stefan's Lot||Spawn | CSA Spawnpoint_SL_Base_CSA_4thTX2 [map-65/009]</x:v>
      </x:c>
      <x:c r="M1377" s="35"/>
      <x:c r="N1377" s="35"/>
      <x:c r="O1377" s="35"/>
      <x:c r="P1377" s="35"/>
      <x:c r="Q1377" s="35"/>
      <x:c r="R1377" s="35"/>
      <x:c r="S1377" s="35"/>
      <x:c r="T1377" s="35"/>
      <x:c r="U1377" s="35"/>
      <x:c r="V1377" s="35"/>
      <x:c r="W1377" s="35"/>
      <x:c r="X1377" s="35"/>
      <x:c r="Y1377" s="35"/>
      <x:c r="Z1377" s="35"/>
      <x:c r="AA1377" s="35"/>
    </x:row>
    <x:row r="1378">
      <x:c r="A1378" s="136" t="str">
        <x:v>DrillCamp | Skirmish | Stefan's Lot</x:v>
      </x:c>
      <x:c r="B1378" s="136" t="str">
        <x:v>Spawn | USA Spawnpoint_SL_Defend_USA_14thBK2 [map-65/010]</x:v>
      </x:c>
      <x:c r="C1378" s="136" t="str">
        <x:v>spawn</x:v>
      </x:c>
      <x:c r="D1378" s="136" t="str">
        <x:v>USA</x:v>
      </x:c>
      <x:c r="E1378" s="136" t="str">
        <x:v>Spawnpoint_SL_Defend_USA_14thBK2</x:v>
      </x:c>
      <x:c r="F1378" s="137" t="n">
        <x:v>1309.7928466796875</x:v>
      </x:c>
      <x:c r="G1378" s="137" t="n">
        <x:v>620.1779174804688</x:v>
      </x:c>
      <x:c r="H1378" s="137" t="n">
        <x:v>64.72761535644531</x:v>
      </x:c>
      <x:c r="I1378" s="137" t="n">
        <x:v>1018.413901465395</x:v>
      </x:c>
      <x:c r="J1378" s="137" t="n">
        <x:v>1386.0957591629249</x:v>
      </x:c>
      <x:c r="K1378" s="136" t="str">
        <x:v>map-65</x:v>
      </x:c>
      <x:c r="L1378" s="136" t="str">
        <x:v>DrillCamp | Skirmish | Stefan's Lot||Spawn | USA Spawnpoint_SL_Defend_USA_14thBK2 [map-65/010]</x:v>
      </x:c>
      <x:c r="M1378" s="35"/>
      <x:c r="N1378" s="35"/>
      <x:c r="O1378" s="35"/>
      <x:c r="P1378" s="35"/>
      <x:c r="Q1378" s="35"/>
      <x:c r="R1378" s="35"/>
      <x:c r="S1378" s="35"/>
      <x:c r="T1378" s="35"/>
      <x:c r="U1378" s="35"/>
      <x:c r="V1378" s="35"/>
      <x:c r="W1378" s="35"/>
      <x:c r="X1378" s="35"/>
      <x:c r="Y1378" s="35"/>
      <x:c r="Z1378" s="35"/>
      <x:c r="AA1378" s="35"/>
    </x:row>
    <x:row r="1379">
      <x:c r="A1379" s="136" t="str">
        <x:v>DrillCamp | Skirmish | Stefan's Lot</x:v>
      </x:c>
      <x:c r="B1379" s="136" t="str">
        <x:v>Artillery | CSA Spawnpoint_SL_CSA_Arty_Brown_Forward [map-65/011]</x:v>
      </x:c>
      <x:c r="C1379" s="136" t="str">
        <x:v>battery</x:v>
      </x:c>
      <x:c r="D1379" s="136" t="str">
        <x:v>CSA</x:v>
      </x:c>
      <x:c r="E1379" s="136" t="str">
        <x:v>Spawnpoint_SL_CSA_Arty_Brown_Forward</x:v>
      </x:c>
      <x:c r="F1379" s="137" t="n">
        <x:v>1339.017822265625</x:v>
      </x:c>
      <x:c r="G1379" s="137" t="n">
        <x:v>859.1326293945312</x:v>
      </x:c>
      <x:c r="H1379" s="137" t="n">
        <x:v>61.26512145996094</x:v>
      </x:c>
      <x:c r="I1379" s="137" t="n">
        <x:v>1071.8921931694247</x:v>
      </x:c>
      <x:c r="J1379" s="137" t="n">
        <x:v>947.7276452762698</x:v>
      </x:c>
      <x:c r="K1379" s="136" t="str">
        <x:v>map-65</x:v>
      </x:c>
      <x:c r="L1379" s="136" t="str">
        <x:v>DrillCamp | Skirmish | Stefan's Lot||Artillery | CSA Spawnpoint_SL_CSA_Arty_Brown_Forward [map-65/011]</x:v>
      </x:c>
      <x:c r="M1379" s="35"/>
      <x:c r="N1379" s="35"/>
      <x:c r="O1379" s="35"/>
      <x:c r="P1379" s="35"/>
      <x:c r="Q1379" s="35"/>
      <x:c r="R1379" s="35"/>
      <x:c r="S1379" s="35"/>
      <x:c r="T1379" s="35"/>
      <x:c r="U1379" s="35"/>
      <x:c r="V1379" s="35"/>
      <x:c r="W1379" s="35"/>
      <x:c r="X1379" s="35"/>
      <x:c r="Y1379" s="35"/>
      <x:c r="Z1379" s="35"/>
      <x:c r="AA1379" s="35"/>
    </x:row>
    <x:row r="1380">
      <x:c r="A1380" s="136" t="str">
        <x:v>DrillCamp | Skirmish | Stefan's Lot</x:v>
      </x:c>
      <x:c r="B1380" s="136" t="str">
        <x:v>Spawn | USA Spawnpoint_SL_Base_USA_6thPA [map-65/012]</x:v>
      </x:c>
      <x:c r="C1380" s="136" t="str">
        <x:v>spawn</x:v>
      </x:c>
      <x:c r="D1380" s="136" t="str">
        <x:v>USA</x:v>
      </x:c>
      <x:c r="E1380" s="136" t="str">
        <x:v>Spawnpoint_SL_Base_USA_6thPA</x:v>
      </x:c>
      <x:c r="F1380" s="137" t="n">
        <x:v>1246.6553955078125</x:v>
      </x:c>
      <x:c r="G1380" s="137" t="n">
        <x:v>423.9531555175781</x:v>
      </x:c>
      <x:c r="H1380" s="137" t="n">
        <x:v>57.705810546875</x:v>
      </x:c>
      <x:c r="I1380" s="137" t="n">
        <x:v>902.3511516298713</x:v>
      </x:c>
      <x:c r="J1380" s="137" t="n">
        <x:v>1745.8808166818042</x:v>
      </x:c>
      <x:c r="K1380" s="136" t="str">
        <x:v>map-65</x:v>
      </x:c>
      <x:c r="L1380" s="136" t="str">
        <x:v>DrillCamp | Skirmish | Stefan's Lot||Spawn | USA Spawnpoint_SL_Base_USA_6thPA [map-65/012]</x:v>
      </x:c>
      <x:c r="M1380" s="35"/>
      <x:c r="N1380" s="35"/>
      <x:c r="O1380" s="35"/>
      <x:c r="P1380" s="35"/>
      <x:c r="Q1380" s="35"/>
      <x:c r="R1380" s="35"/>
      <x:c r="S1380" s="35"/>
      <x:c r="T1380" s="35"/>
      <x:c r="U1380" s="35"/>
      <x:c r="V1380" s="35"/>
      <x:c r="W1380" s="35"/>
      <x:c r="X1380" s="35"/>
      <x:c r="Y1380" s="35"/>
      <x:c r="Z1380" s="35"/>
      <x:c r="AA1380" s="35"/>
    </x:row>
    <x:row r="1381">
      <x:c r="A1381" s="136" t="str">
        <x:v>DrillCamp | Skirmish | Stefan's Lot</x:v>
      </x:c>
      <x:c r="B1381" s="136" t="str">
        <x:v>Objective | Skirmish_12_VictorySequence [map-65/013]</x:v>
      </x:c>
      <x:c r="C1381" s="136" t="str">
        <x:v>objective</x:v>
      </x:c>
      <x:c r="D1381" s="136" t="str"/>
      <x:c r="E1381" s="136" t="str">
        <x:v>Skirmish_12_VictorySequence</x:v>
      </x:c>
      <x:c r="F1381" s="137" t="n">
        <x:v>1270.293701171875</x:v>
      </x:c>
      <x:c r="G1381" s="137" t="n">
        <x:v>605.0919189453125</x:v>
      </x:c>
      <x:c r="H1381" s="137" t="n">
        <x:v>61.2293701171875</x:v>
      </x:c>
      <x:c r="I1381" s="137" t="n">
        <x:v>945.6265378812584</x:v>
      </x:c>
      <x:c r="J1381" s="137" t="n">
        <x:v>1413.5847939944488</x:v>
      </x:c>
      <x:c r="K1381" s="136" t="str">
        <x:v>map-65</x:v>
      </x:c>
      <x:c r="L1381" s="136" t="str">
        <x:v>DrillCamp | Skirmish | Stefan's Lot||Objective | Skirmish_12_VictorySequence [map-65/013]</x:v>
      </x:c>
      <x:c r="M1381" s="35"/>
      <x:c r="N1381" s="35"/>
      <x:c r="O1381" s="35"/>
      <x:c r="P1381" s="35"/>
      <x:c r="Q1381" s="35"/>
      <x:c r="R1381" s="35"/>
      <x:c r="S1381" s="35"/>
      <x:c r="T1381" s="35"/>
      <x:c r="U1381" s="35"/>
      <x:c r="V1381" s="35"/>
      <x:c r="W1381" s="35"/>
      <x:c r="X1381" s="35"/>
      <x:c r="Y1381" s="35"/>
      <x:c r="Z1381" s="35"/>
      <x:c r="AA1381" s="35"/>
    </x:row>
    <x:row r="1382">
      <x:c r="A1382" s="136" t="str">
        <x:v>DrillCamp | Skirmish | Stefan's Lot</x:v>
      </x:c>
      <x:c r="B1382" s="136" t="str">
        <x:v>Artillery | USA Spawnpoint_SL_USA_Arty_Base [map-65/014]</x:v>
      </x:c>
      <x:c r="C1382" s="136" t="str">
        <x:v>battery</x:v>
      </x:c>
      <x:c r="D1382" s="136" t="str">
        <x:v>USA</x:v>
      </x:c>
      <x:c r="E1382" s="136" t="str">
        <x:v>Spawnpoint_SL_USA_Arty_Base</x:v>
      </x:c>
      <x:c r="F1382" s="137" t="n">
        <x:v>1245.97802734375</x:v>
      </x:c>
      <x:c r="G1382" s="137" t="n">
        <x:v>409.5424499511719</x:v>
      </x:c>
      <x:c r="H1382" s="137" t="n">
        <x:v>57.70829772949219</x:v>
      </x:c>
      <x:c r="I1382" s="137" t="n">
        <x:v>901.1263020772078</x:v>
      </x:c>
      <x:c r="J1382" s="137" t="n">
        <x:v>1772.3229765838785</x:v>
      </x:c>
      <x:c r="K1382" s="136" t="str">
        <x:v>map-65</x:v>
      </x:c>
      <x:c r="L1382" s="136" t="str">
        <x:v>DrillCamp | Skirmish | Stefan's Lot||Artillery | USA Spawnpoint_SL_USA_Arty_Base [map-65/014]</x:v>
      </x:c>
      <x:c r="M1382" s="35"/>
      <x:c r="N1382" s="35"/>
      <x:c r="O1382" s="35"/>
      <x:c r="P1382" s="35"/>
      <x:c r="Q1382" s="35"/>
      <x:c r="R1382" s="35"/>
      <x:c r="S1382" s="35"/>
      <x:c r="T1382" s="35"/>
      <x:c r="U1382" s="35"/>
      <x:c r="V1382" s="35"/>
      <x:c r="W1382" s="35"/>
      <x:c r="X1382" s="35"/>
      <x:c r="Y1382" s="35"/>
      <x:c r="Z1382" s="35"/>
      <x:c r="AA1382" s="35"/>
    </x:row>
    <x:row r="1383">
      <x:c r="A1383" s="136" t="str">
        <x:v>DrillCamp | Skirmish | Stefan's Lot</x:v>
      </x:c>
      <x:c r="B1383" s="136" t="str">
        <x:v>Artillery | USA Spawnpoint_SL_USA_Arty_Weaver_Forward [map-65/015]</x:v>
      </x:c>
      <x:c r="C1383" s="136" t="str">
        <x:v>battery</x:v>
      </x:c>
      <x:c r="D1383" s="136" t="str">
        <x:v>USA</x:v>
      </x:c>
      <x:c r="E1383" s="136" t="str">
        <x:v>Spawnpoint_SL_USA_Arty_Weaver_Forward</x:v>
      </x:c>
      <x:c r="F1383" s="137" t="n">
        <x:v>1358.1771240234375</x:v>
      </x:c>
      <x:c r="G1383" s="137" t="n">
        <x:v>578.22265625</x:v>
      </x:c>
      <x:c r="H1383" s="137" t="n">
        <x:v>58.07917022705078</x:v>
      </x:c>
      <x:c r="I1383" s="137" t="n">
        <x:v>1107.6742372255194</x:v>
      </x:c>
      <x:c r="J1383" s="137" t="n">
        <x:v>1463.32887390574</x:v>
      </x:c>
      <x:c r="K1383" s="136" t="str">
        <x:v>map-65</x:v>
      </x:c>
      <x:c r="L1383" s="136" t="str">
        <x:v>DrillCamp | Skirmish | Stefan's Lot||Artillery | USA Spawnpoint_SL_USA_Arty_Weaver_Forward [map-65/015]</x:v>
      </x:c>
      <x:c r="M1383" s="35"/>
      <x:c r="N1383" s="35"/>
      <x:c r="O1383" s="35"/>
      <x:c r="P1383" s="35"/>
      <x:c r="Q1383" s="35"/>
      <x:c r="R1383" s="35"/>
      <x:c r="S1383" s="35"/>
      <x:c r="T1383" s="35"/>
      <x:c r="U1383" s="35"/>
      <x:c r="V1383" s="35"/>
      <x:c r="W1383" s="35"/>
      <x:c r="X1383" s="35"/>
      <x:c r="Y1383" s="35"/>
      <x:c r="Z1383" s="35"/>
      <x:c r="AA1383" s="35"/>
    </x:row>
    <x:row r="1384">
      <x:c r="A1384" s="136" t="str">
        <x:v>DrillCamp | Skirmish | Stefan's Lot</x:v>
      </x:c>
      <x:c r="B1384" s="136" t="str">
        <x:v>Artillery | CSA Spawnpoint_SL_CSA_Arty_Wooding_Forward [map-65/016]</x:v>
      </x:c>
      <x:c r="C1384" s="136" t="str">
        <x:v>battery</x:v>
      </x:c>
      <x:c r="D1384" s="136" t="str">
        <x:v>CSA</x:v>
      </x:c>
      <x:c r="E1384" s="136" t="str">
        <x:v>Spawnpoint_SL_CSA_Arty_Wooding_Forward</x:v>
      </x:c>
      <x:c r="F1384" s="137" t="n">
        <x:v>1160.6900634765625</x:v>
      </x:c>
      <x:c r="G1384" s="137" t="n">
        <x:v>941.341064453125</x:v>
      </x:c>
      <x:c r="H1384" s="137" t="n">
        <x:v>64.31490325927734</x:v>
      </x:c>
      <x:c r="I1384" s="137" t="n">
        <x:v>743.0290099235991</x:v>
      </x:c>
      <x:c r="J1384" s="137" t="n">
        <x:v>795.9808130915786</x:v>
      </x:c>
      <x:c r="K1384" s="136" t="str">
        <x:v>map-65</x:v>
      </x:c>
      <x:c r="L1384" s="136" t="str">
        <x:v>DrillCamp | Skirmish | Stefan's Lot||Artillery | CSA Spawnpoint_SL_CSA_Arty_Wooding_Forward [map-65/016]</x:v>
      </x:c>
      <x:c r="M1384" s="35"/>
      <x:c r="N1384" s="35"/>
      <x:c r="O1384" s="35"/>
      <x:c r="P1384" s="35"/>
      <x:c r="Q1384" s="35"/>
      <x:c r="R1384" s="35"/>
      <x:c r="S1384" s="35"/>
      <x:c r="T1384" s="35"/>
      <x:c r="U1384" s="35"/>
      <x:c r="V1384" s="35"/>
      <x:c r="W1384" s="35"/>
      <x:c r="X1384" s="35"/>
      <x:c r="Y1384" s="35"/>
      <x:c r="Z1384" s="35"/>
      <x:c r="AA1384" s="35"/>
    </x:row>
    <x:row r="1385">
      <x:c r="A1385" s="136" t="str">
        <x:v>DrillCamp | Skirmish | Stefan's Lot</x:v>
      </x:c>
      <x:c r="B1385" s="136" t="str">
        <x:v>Artillery | CSA Spawnpoint_SL_CSA_Arty_Base [map-65/017]</x:v>
      </x:c>
      <x:c r="C1385" s="136" t="str">
        <x:v>battery</x:v>
      </x:c>
      <x:c r="D1385" s="136" t="str">
        <x:v>CSA</x:v>
      </x:c>
      <x:c r="E1385" s="136" t="str">
        <x:v>Spawnpoint_SL_CSA_Arty_Base</x:v>
      </x:c>
      <x:c r="F1385" s="137" t="n">
        <x:v>1367.719482421875</x:v>
      </x:c>
      <x:c r="G1385" s="137" t="n">
        <x:v>1253.736572265625</x:v>
      </x:c>
      <x:c r="H1385" s="137" t="n">
        <x:v>58.815731048583984</x:v>
      </x:c>
      <x:c r="I1385" s="137" t="n">
        <x:v>1124.1487125942851</x:v>
      </x:c>
      <x:c r="J1385" s="137" t="n">
        <x:v>223.72038235962995</x:v>
      </x:c>
      <x:c r="K1385" s="136" t="str">
        <x:v>map-65</x:v>
      </x:c>
      <x:c r="L1385" s="136" t="str">
        <x:v>DrillCamp | Skirmish | Stefan's Lot||Artillery | CSA Spawnpoint_SL_CSA_Arty_Base [map-65/017]</x:v>
      </x:c>
      <x:c r="M1385" s="35"/>
      <x:c r="N1385" s="35"/>
      <x:c r="O1385" s="35"/>
      <x:c r="P1385" s="35"/>
      <x:c r="Q1385" s="35"/>
      <x:c r="R1385" s="35"/>
      <x:c r="S1385" s="35"/>
      <x:c r="T1385" s="35"/>
      <x:c r="U1385" s="35"/>
      <x:c r="V1385" s="35"/>
      <x:c r="W1385" s="35"/>
      <x:c r="X1385" s="35"/>
      <x:c r="Y1385" s="35"/>
      <x:c r="Z1385" s="35"/>
      <x:c r="AA1385" s="35"/>
    </x:row>
    <x:row r="1386">
      <x:c r="A1386" s="136" t="str">
        <x:v>DrillCamp | Skirmish | Stefan's Lot</x:v>
      </x:c>
      <x:c r="B1386" s="136" t="str">
        <x:v>Spawn | CSA Spawnpoint_SL_Base_CSA_1stVA [map-65/018]</x:v>
      </x:c>
      <x:c r="C1386" s="136" t="str">
        <x:v>spawn</x:v>
      </x:c>
      <x:c r="D1386" s="136" t="str">
        <x:v>CSA</x:v>
      </x:c>
      <x:c r="E1386" s="136" t="str">
        <x:v>Spawnpoint_SL_Base_CSA_1stVA</x:v>
      </x:c>
      <x:c r="F1386" s="137" t="n">
        <x:v>1373.2427978515625</x:v>
      </x:c>
      <x:c r="G1386" s="137" t="n">
        <x:v>1274.8023681640625</x:v>
      </x:c>
      <x:c r="H1386" s="137" t="n">
        <x:v>58.528175354003906</x:v>
      </x:c>
      <x:c r="I1386" s="137" t="n">
        <x:v>1134.2955342980247</x:v>
      </x:c>
      <x:c r="J1386" s="137" t="n">
        <x:v>185.08928063051383</x:v>
      </x:c>
      <x:c r="K1386" s="136" t="str">
        <x:v>map-65</x:v>
      </x:c>
      <x:c r="L1386" s="136" t="str">
        <x:v>DrillCamp | Skirmish | Stefan's Lot||Spawn | CSA Spawnpoint_SL_Base_CSA_1stVA [map-65/018]</x:v>
      </x:c>
      <x:c r="M1386" s="35"/>
      <x:c r="N1386" s="35"/>
      <x:c r="O1386" s="35"/>
      <x:c r="P1386" s="35"/>
      <x:c r="Q1386" s="35"/>
      <x:c r="R1386" s="35"/>
      <x:c r="S1386" s="35"/>
      <x:c r="T1386" s="35"/>
      <x:c r="U1386" s="35"/>
      <x:c r="V1386" s="35"/>
      <x:c r="W1386" s="35"/>
      <x:c r="X1386" s="35"/>
      <x:c r="Y1386" s="35"/>
      <x:c r="Z1386" s="35"/>
      <x:c r="AA1386" s="35"/>
    </x:row>
    <x:row r="1387">
      <x:c r="A1387" s="136" t="str">
        <x:v>DrillCamp | Skirmish | Stefan's Lot</x:v>
      </x:c>
      <x:c r="B1387" s="136" t="str">
        <x:v>Artillery | USA Spawnpoint_SL_USA_Arty_Cook_Forward [map-65/019]</x:v>
      </x:c>
      <x:c r="C1387" s="136" t="str">
        <x:v>battery</x:v>
      </x:c>
      <x:c r="D1387" s="136" t="str">
        <x:v>USA</x:v>
      </x:c>
      <x:c r="E1387" s="136" t="str">
        <x:v>Spawnpoint_SL_USA_Arty_Cook_Forward</x:v>
      </x:c>
      <x:c r="F1387" s="137" t="n">
        <x:v>1181.344482421875</x:v>
      </x:c>
      <x:c r="G1387" s="137" t="n">
        <x:v>604.8079223632812</x:v>
      </x:c>
      <x:c r="H1387" s="137" t="n">
        <x:v>64.67259979248047</x:v>
      </x:c>
      <x:c r="I1387" s="137" t="n">
        <x:v>781.6590135610741</x:v>
      </x:c>
      <x:c r="J1387" s="137" t="n">
        <x:v>1413.6651903592228</x:v>
      </x:c>
      <x:c r="K1387" s="136" t="str">
        <x:v>map-65</x:v>
      </x:c>
      <x:c r="L1387" s="136" t="str">
        <x:v>DrillCamp | Skirmish | Stefan's Lot||Artillery | USA Spawnpoint_SL_USA_Arty_Cook_Forward [map-65/019]</x:v>
      </x:c>
      <x:c r="M1387" s="35"/>
      <x:c r="N1387" s="35"/>
      <x:c r="O1387" s="35"/>
      <x:c r="P1387" s="35"/>
      <x:c r="Q1387" s="35"/>
      <x:c r="R1387" s="35"/>
      <x:c r="S1387" s="35"/>
      <x:c r="T1387" s="35"/>
      <x:c r="U1387" s="35"/>
      <x:c r="V1387" s="35"/>
      <x:c r="W1387" s="35"/>
      <x:c r="X1387" s="35"/>
      <x:c r="Y1387" s="35"/>
      <x:c r="Z1387" s="35"/>
      <x:c r="AA1387" s="35"/>
    </x:row>
    <x:row r="1388">
      <x:c r="A1388" s="136" t="str">
        <x:v>DrillCamp | Skirmish | Stefan's Lot</x:v>
      </x:c>
      <x:c r="B1388" s="136" t="str">
        <x:v>Spawn | CSA Spawnpoint_SL_Base_CSA_56thVA1 [map-65/020]</x:v>
      </x:c>
      <x:c r="C1388" s="136" t="str">
        <x:v>spawn</x:v>
      </x:c>
      <x:c r="D1388" s="136" t="str">
        <x:v>CSA</x:v>
      </x:c>
      <x:c r="E1388" s="136" t="str">
        <x:v>Spawnpoint_SL_Base_CSA_56thVA1</x:v>
      </x:c>
      <x:c r="F1388" s="137" t="n">
        <x:v>1346.33203125</x:v>
      </x:c>
      <x:c r="G1388" s="137" t="n">
        <x:v>1169.5498046875</x:v>
      </x:c>
      <x:c r="H1388" s="137" t="n">
        <x:v>58.538246154785156</x:v>
      </x:c>
      <x:c r="I1388" s="137" t="n">
        <x:v>1084.862382812293</x:v>
      </x:c>
      <x:c r="J1388" s="137" t="n">
        <x:v>378.10805349810613</x:v>
      </x:c>
      <x:c r="K1388" s="136" t="str">
        <x:v>map-65</x:v>
      </x:c>
      <x:c r="L1388" s="136" t="str">
        <x:v>DrillCamp | Skirmish | Stefan's Lot||Spawn | CSA Spawnpoint_SL_Base_CSA_56thVA1 [map-65/020]</x:v>
      </x:c>
      <x:c r="M1388" s="35"/>
      <x:c r="N1388" s="35"/>
      <x:c r="O1388" s="35"/>
      <x:c r="P1388" s="35"/>
      <x:c r="Q1388" s="35"/>
      <x:c r="R1388" s="35"/>
      <x:c r="S1388" s="35"/>
      <x:c r="T1388" s="35"/>
      <x:c r="U1388" s="35"/>
      <x:c r="V1388" s="35"/>
      <x:c r="W1388" s="35"/>
      <x:c r="X1388" s="35"/>
      <x:c r="Y1388" s="35"/>
      <x:c r="Z1388" s="35"/>
      <x:c r="AA1388" s="35"/>
    </x:row>
    <x:row r="1389">
      <x:c r="A1389" s="136" t="str">
        <x:v>DrillCamp | Skirmish | Stefan's Lot</x:v>
      </x:c>
      <x:c r="B1389" s="136" t="str">
        <x:v>Spawn | USA Spawnpoint_SL_Defend_USA_9thVT2 [map-65/021]</x:v>
      </x:c>
      <x:c r="C1389" s="136" t="str">
        <x:v>spawn</x:v>
      </x:c>
      <x:c r="D1389" s="136" t="str">
        <x:v>USA</x:v>
      </x:c>
      <x:c r="E1389" s="136" t="str">
        <x:v>Spawnpoint_SL_Defend_USA_9thVT2</x:v>
      </x:c>
      <x:c r="F1389" s="137" t="n">
        <x:v>1279.923828125</x:v>
      </x:c>
      <x:c r="G1389" s="137" t="n">
        <x:v>601.6168212890625</x:v>
      </x:c>
      <x:c r="H1389" s="137" t="n">
        <x:v>62.33739471435547</x:v>
      </x:c>
      <x:c r="I1389" s="137" t="n">
        <x:v>963.3843461295156</x:v>
      </x:c>
      <x:c r="J1389" s="137" t="n">
        <x:v>1420.0097701896427</x:v>
      </x:c>
      <x:c r="K1389" s="136" t="str">
        <x:v>map-65</x:v>
      </x:c>
      <x:c r="L1389" s="136" t="str">
        <x:v>DrillCamp | Skirmish | Stefan's Lot||Spawn | USA Spawnpoint_SL_Defend_USA_9thVT2 [map-65/021]</x:v>
      </x:c>
      <x:c r="M1389" s="35"/>
      <x:c r="N1389" s="35"/>
      <x:c r="O1389" s="35"/>
      <x:c r="P1389" s="35"/>
      <x:c r="Q1389" s="35"/>
      <x:c r="R1389" s="35"/>
      <x:c r="S1389" s="35"/>
      <x:c r="T1389" s="35"/>
      <x:c r="U1389" s="35"/>
      <x:c r="V1389" s="35"/>
      <x:c r="W1389" s="35"/>
      <x:c r="X1389" s="35"/>
      <x:c r="Y1389" s="35"/>
      <x:c r="Z1389" s="35"/>
      <x:c r="AA1389" s="35"/>
    </x:row>
    <x:row r="1390">
      <x:c r="A1390" s="136" t="str">
        <x:v>DrillCamp | Skirmish | Stefan's Lot</x:v>
      </x:c>
      <x:c r="B1390" s="136" t="str">
        <x:v>Spawn | CSA Spawnpoint_SL_Base_CSA_56thVA2 [map-65/022]</x:v>
      </x:c>
      <x:c r="C1390" s="136" t="str">
        <x:v>spawn</x:v>
      </x:c>
      <x:c r="D1390" s="136" t="str">
        <x:v>CSA</x:v>
      </x:c>
      <x:c r="E1390" s="136" t="str">
        <x:v>Spawnpoint_SL_Base_CSA_56thVA2</x:v>
      </x:c>
      <x:c r="F1390" s="137" t="n">
        <x:v>1351.49560546875</x:v>
      </x:c>
      <x:c r="G1390" s="137" t="n">
        <x:v>1190.2696533203125</x:v>
      </x:c>
      <x:c r="H1390" s="137" t="n">
        <x:v>58.34379577636719</x:v>
      </x:c>
      <x:c r="I1390" s="137" t="n">
        <x:v>1094.346633026869</x:v>
      </x:c>
      <x:c r="J1390" s="137" t="n">
        <x:v>340.1100272933567</x:v>
      </x:c>
      <x:c r="K1390" s="136" t="str">
        <x:v>map-65</x:v>
      </x:c>
      <x:c r="L1390" s="136" t="str">
        <x:v>DrillCamp | Skirmish | Stefan's Lot||Spawn | CSA Spawnpoint_SL_Base_CSA_56thVA2 [map-65/022]</x:v>
      </x:c>
      <x:c r="M1390" s="35"/>
      <x:c r="N1390" s="35"/>
      <x:c r="O1390" s="35"/>
      <x:c r="P1390" s="35"/>
      <x:c r="Q1390" s="35"/>
      <x:c r="R1390" s="35"/>
      <x:c r="S1390" s="35"/>
      <x:c r="T1390" s="35"/>
      <x:c r="U1390" s="35"/>
      <x:c r="V1390" s="35"/>
      <x:c r="W1390" s="35"/>
      <x:c r="X1390" s="35"/>
      <x:c r="Y1390" s="35"/>
      <x:c r="Z1390" s="35"/>
      <x:c r="AA1390" s="35"/>
    </x:row>
    <x:row r="1391">
      <x:c r="A1391" s="136" t="str">
        <x:v>DrillCamp | Skirmish | Stefan's Lot</x:v>
      </x:c>
      <x:c r="B1391" s="136" t="str">
        <x:v>Spawn | CSA Spawnpoint_SL_Mounted_CSA_1stVA [map-65/023]</x:v>
      </x:c>
      <x:c r="C1391" s="136" t="str">
        <x:v>spawn</x:v>
      </x:c>
      <x:c r="D1391" s="136" t="str">
        <x:v>CSA</x:v>
      </x:c>
      <x:c r="E1391" s="136" t="str">
        <x:v>Spawnpoint_SL_Mounted_CSA_1stVA</x:v>
      </x:c>
      <x:c r="F1391" s="137" t="n">
        <x:v>1541.408935546875</x:v>
      </x:c>
      <x:c r="G1391" s="137" t="n">
        <x:v>1308.5963134765625</x:v>
      </x:c>
      <x:c r="H1391" s="137" t="n">
        <x:v>58.26108169555664</x:v>
      </x:c>
      <x:c r="I1391" s="137" t="n">
        <x:v>1444.2352884970605</x:v>
      </x:c>
      <x:c r="J1391" s="137" t="n">
        <x:v>123.9063231227058</x:v>
      </x:c>
      <x:c r="K1391" s="136" t="str">
        <x:v>map-65</x:v>
      </x:c>
      <x:c r="L1391" s="136" t="str">
        <x:v>DrillCamp | Skirmish | Stefan's Lot||Spawn | CSA Spawnpoint_SL_Mounted_CSA_1stVA [map-65/023]</x:v>
      </x:c>
      <x:c r="M1391" s="35"/>
      <x:c r="N1391" s="35"/>
      <x:c r="O1391" s="35"/>
      <x:c r="P1391" s="35"/>
      <x:c r="Q1391" s="35"/>
      <x:c r="R1391" s="35"/>
      <x:c r="S1391" s="35"/>
      <x:c r="T1391" s="35"/>
      <x:c r="U1391" s="35"/>
      <x:c r="V1391" s="35"/>
      <x:c r="W1391" s="35"/>
      <x:c r="X1391" s="35"/>
      <x:c r="Y1391" s="35"/>
      <x:c r="Z1391" s="35"/>
      <x:c r="AA1391" s="35"/>
    </x:row>
    <x:row r="1392">
      <x:c r="A1392" s="136" t="str">
        <x:v>DrillCamp | Skirmish | Stefan's Lot</x:v>
      </x:c>
      <x:c r="B1392" s="136" t="str">
        <x:v>Spawn | USA Spawnpoint_SL_Defend_USA_14thBK1 [map-65/024]</x:v>
      </x:c>
      <x:c r="C1392" s="136" t="str">
        <x:v>spawn</x:v>
      </x:c>
      <x:c r="D1392" s="136" t="str">
        <x:v>USA</x:v>
      </x:c>
      <x:c r="E1392" s="136" t="str">
        <x:v>Spawnpoint_SL_Defend_USA_14thBK1</x:v>
      </x:c>
      <x:c r="F1392" s="137" t="n">
        <x:v>1299.0926513671875</x:v>
      </x:c>
      <x:c r="G1392" s="137" t="n">
        <x:v>611.9417724609375</x:v>
      </x:c>
      <x:c r="H1392" s="137" t="n">
        <x:v>63.90459442138672</x:v>
      </x:c>
      <x:c r="I1392" s="137" t="n">
        <x:v>998.7028856013885</x:v>
      </x:c>
      <x:c r="J1392" s="137" t="n">
        <x:v>1401.1571318710935</x:v>
      </x:c>
      <x:c r="K1392" s="136" t="str">
        <x:v>map-65</x:v>
      </x:c>
      <x:c r="L1392" s="136" t="str">
        <x:v>DrillCamp | Skirmish | Stefan's Lot||Spawn | USA Spawnpoint_SL_Defend_USA_14thBK1 [map-65/024]</x:v>
      </x:c>
      <x:c r="M1392" s="35"/>
      <x:c r="N1392" s="35"/>
      <x:c r="O1392" s="35"/>
      <x:c r="P1392" s="35"/>
      <x:c r="Q1392" s="35"/>
      <x:c r="R1392" s="35"/>
      <x:c r="S1392" s="35"/>
      <x:c r="T1392" s="35"/>
      <x:c r="U1392" s="35"/>
      <x:c r="V1392" s="35"/>
      <x:c r="W1392" s="35"/>
      <x:c r="X1392" s="35"/>
      <x:c r="Y1392" s="35"/>
      <x:c r="Z1392" s="35"/>
      <x:c r="AA1392" s="35"/>
    </x:row>
    <x:row r="1393">
      <x:c r="A1393" s="136" t="str">
        <x:v>DrillCamp | Skirmish | Stefan's Lot</x:v>
      </x:c>
      <x:c r="B1393" s="136" t="str">
        <x:v>Gun | 12-pounder Napoleon (CSA) · Entity-1544 [map-65/025]</x:v>
      </x:c>
      <x:c r="C1393" s="136" t="str">
        <x:v>gun_spawn</x:v>
      </x:c>
      <x:c r="D1393" s="136" t="str"/>
      <x:c r="E1393" s="136" t="str">
        <x:v>12-pounder Napoleon (CSA) · Entity-1544</x:v>
      </x:c>
      <x:c r="F1393" s="137" t="n">
        <x:v>1376.553466796875</x:v>
      </x:c>
      <x:c r="G1393" s="137" t="n">
        <x:v>627.2811889648438</x:v>
      </x:c>
      <x:c r="H1393" s="137" t="n">
        <x:v>57.23499298095703</x:v>
      </x:c>
      <x:c r="I1393" s="137" t="n">
        <x:v>1141.4679476757813</x:v>
      </x:c>
      <x:c r="J1393" s="137" t="n">
        <x:v>1373.391155400949</x:v>
      </x:c>
      <x:c r="K1393" s="136" t="str">
        <x:v>map-65</x:v>
      </x:c>
      <x:c r="L1393" s="136" t="str">
        <x:v>DrillCamp | Skirmish | Stefan's Lot||Gun | 12-pounder Napoleon (CSA) · Entity-1544 [map-65/025]</x:v>
      </x:c>
      <x:c r="M1393" s="35"/>
      <x:c r="N1393" s="35"/>
      <x:c r="O1393" s="35"/>
      <x:c r="P1393" s="35"/>
      <x:c r="Q1393" s="35"/>
      <x:c r="R1393" s="35"/>
      <x:c r="S1393" s="35"/>
      <x:c r="T1393" s="35"/>
      <x:c r="U1393" s="35"/>
      <x:c r="V1393" s="35"/>
      <x:c r="W1393" s="35"/>
      <x:c r="X1393" s="35"/>
      <x:c r="Y1393" s="35"/>
      <x:c r="Z1393" s="35"/>
      <x:c r="AA1393" s="35"/>
    </x:row>
    <x:row r="1394">
      <x:c r="A1394" s="136" t="str">
        <x:v>DrillCamp | Skirmish | Stefan's Lot</x:v>
      </x:c>
      <x:c r="B1394" s="136" t="str">
        <x:v>Gun | 3-inch Ordnance · Entity-1555 [map-65/026]</x:v>
      </x:c>
      <x:c r="C1394" s="136" t="str">
        <x:v>gun_spawn</x:v>
      </x:c>
      <x:c r="D1394" s="136" t="str"/>
      <x:c r="E1394" s="136" t="str">
        <x:v>3-inch Ordnance · Entity-1555</x:v>
      </x:c>
      <x:c r="F1394" s="137" t="n">
        <x:v>1200.402099609375</x:v>
      </x:c>
      <x:c r="G1394" s="137" t="n">
        <x:v>636.6182861328125</x:v>
      </x:c>
      <x:c r="H1394" s="137" t="n">
        <x:v>64.61292266845703</x:v>
      </x:c>
      <x:c r="I1394" s="137" t="n">
        <x:v>816.7370678362106</x:v>
      </x:c>
      <x:c r="J1394" s="137" t="n">
        <x:v>1355.3834781556254</x:v>
      </x:c>
      <x:c r="K1394" s="136" t="str">
        <x:v>map-65</x:v>
      </x:c>
      <x:c r="L1394" s="136" t="str">
        <x:v>DrillCamp | Skirmish | Stefan's Lot||Gun | 3-inch Ordnance · Entity-1555 [map-65/026]</x:v>
      </x:c>
      <x:c r="M1394" s="35"/>
      <x:c r="N1394" s="35"/>
      <x:c r="O1394" s="35"/>
      <x:c r="P1394" s="35"/>
      <x:c r="Q1394" s="35"/>
      <x:c r="R1394" s="35"/>
      <x:c r="S1394" s="35"/>
      <x:c r="T1394" s="35"/>
      <x:c r="U1394" s="35"/>
      <x:c r="V1394" s="35"/>
      <x:c r="W1394" s="35"/>
      <x:c r="X1394" s="35"/>
      <x:c r="Y1394" s="35"/>
      <x:c r="Z1394" s="35"/>
      <x:c r="AA1394" s="35"/>
    </x:row>
    <x:row r="1395">
      <x:c r="A1395" s="136" t="str">
        <x:v>DrillCamp | Skirmish | Stefan's Lot</x:v>
      </x:c>
      <x:c r="B1395" s="136" t="str">
        <x:v>Gun | 12-pounder Napoleon (CSA) · Entity-1559 [map-65/027]</x:v>
      </x:c>
      <x:c r="C1395" s="136" t="str">
        <x:v>gun_spawn</x:v>
      </x:c>
      <x:c r="D1395" s="136" t="str"/>
      <x:c r="E1395" s="136" t="str">
        <x:v>12-pounder Napoleon (CSA) · Entity-1559</x:v>
      </x:c>
      <x:c r="F1395" s="137" t="n">
        <x:v>1193.2236328125</x:v>
      </x:c>
      <x:c r="G1395" s="137" t="n">
        <x:v>638.845947265625</x:v>
      </x:c>
      <x:c r="H1395" s="137" t="n">
        <x:v>65.16984558105469</x:v>
      </x:c>
      <x:c r="I1395" s="137" t="n">
        <x:v>803.5006829483331</x:v>
      </x:c>
      <x:c r="J1395" s="137" t="n">
        <x:v>1351.2598588353383</x:v>
      </x:c>
      <x:c r="K1395" s="136" t="str">
        <x:v>map-65</x:v>
      </x:c>
      <x:c r="L1395" s="136" t="str">
        <x:v>DrillCamp | Skirmish | Stefan's Lot||Gun | 12-pounder Napoleon (CSA) · Entity-1559 [map-65/027]</x:v>
      </x:c>
      <x:c r="M1395" s="35"/>
      <x:c r="N1395" s="35"/>
      <x:c r="O1395" s="35"/>
      <x:c r="P1395" s="35"/>
      <x:c r="Q1395" s="35"/>
      <x:c r="R1395" s="35"/>
      <x:c r="S1395" s="35"/>
      <x:c r="T1395" s="35"/>
      <x:c r="U1395" s="35"/>
      <x:c r="V1395" s="35"/>
      <x:c r="W1395" s="35"/>
      <x:c r="X1395" s="35"/>
      <x:c r="Y1395" s="35"/>
      <x:c r="Z1395" s="35"/>
      <x:c r="AA1395" s="35"/>
    </x:row>
    <x:row r="1396">
      <x:c r="A1396" s="136" t="str">
        <x:v>DrillCamp | Skirmish | Stefan's Lot</x:v>
      </x:c>
      <x:c r="B1396" s="136" t="str">
        <x:v>Gun | 12-pounder Napoleon (USA) · Entity-1529 [map-65/028]</x:v>
      </x:c>
      <x:c r="C1396" s="136" t="str">
        <x:v>gun_spawn</x:v>
      </x:c>
      <x:c r="D1396" s="136" t="str"/>
      <x:c r="E1396" s="136" t="str">
        <x:v>12-pounder Napoleon (USA) · Entity-1529</x:v>
      </x:c>
      <x:c r="F1396" s="137" t="n">
        <x:v>1158.466064453125</x:v>
      </x:c>
      <x:c r="G1396" s="137" t="n">
        <x:v>899.9841918945312</x:v>
      </x:c>
      <x:c r="H1396" s="137" t="n">
        <x:v>65.21463775634766</x:v>
      </x:c>
      <x:c r="I1396" s="137" t="n">
        <x:v>738.9976275432599</x:v>
      </x:c>
      <x:c r="J1396" s="137" t="n">
        <x:v>871.8650253234737</x:v>
      </x:c>
      <x:c r="K1396" s="136" t="str">
        <x:v>map-65</x:v>
      </x:c>
      <x:c r="L1396" s="136" t="str">
        <x:v>DrillCamp | Skirmish | Stefan's Lot||Gun | 12-pounder Napoleon (USA) · Entity-1529 [map-65/028]</x:v>
      </x:c>
      <x:c r="M1396" s="35"/>
      <x:c r="N1396" s="35"/>
      <x:c r="O1396" s="35"/>
      <x:c r="P1396" s="35"/>
      <x:c r="Q1396" s="35"/>
      <x:c r="R1396" s="35"/>
      <x:c r="S1396" s="35"/>
      <x:c r="T1396" s="35"/>
      <x:c r="U1396" s="35"/>
      <x:c r="V1396" s="35"/>
      <x:c r="W1396" s="35"/>
      <x:c r="X1396" s="35"/>
      <x:c r="Y1396" s="35"/>
      <x:c r="Z1396" s="35"/>
      <x:c r="AA1396" s="35"/>
    </x:row>
    <x:row r="1397">
      <x:c r="A1397" s="136" t="str">
        <x:v>DrillCamp | Skirmish | Stefan's Lot</x:v>
      </x:c>
      <x:c r="B1397" s="136" t="str">
        <x:v>Gun | 12-pounder Napoleon (CSA) · Entity-1560 [map-65/029]</x:v>
      </x:c>
      <x:c r="C1397" s="136" t="str">
        <x:v>gun_spawn</x:v>
      </x:c>
      <x:c r="D1397" s="136" t="str"/>
      <x:c r="E1397" s="136" t="str">
        <x:v>12-pounder Napoleon (CSA) · Entity-1560</x:v>
      </x:c>
      <x:c r="F1397" s="137" t="n">
        <x:v>1185.776123046875</x:v>
      </x:c>
      <x:c r="G1397" s="137" t="n">
        <x:v>640.9581909179688</x:v>
      </x:c>
      <x:c r="H1397" s="137" t="n">
        <x:v>65.5551986694336</x:v>
      </x:c>
      <x:c r="I1397" s="137" t="n">
        <x:v>789.768537910152</x:v>
      </x:c>
      <x:c r="J1397" s="137" t="n">
        <x:v>1347.3467123818027</x:v>
      </x:c>
      <x:c r="K1397" s="136" t="str">
        <x:v>map-65</x:v>
      </x:c>
      <x:c r="L1397" s="136" t="str">
        <x:v>DrillCamp | Skirmish | Stefan's Lot||Gun | 12-pounder Napoleon (CSA) · Entity-1560 [map-65/029]</x:v>
      </x:c>
      <x:c r="M1397" s="35"/>
      <x:c r="N1397" s="35"/>
      <x:c r="O1397" s="35"/>
      <x:c r="P1397" s="35"/>
      <x:c r="Q1397" s="35"/>
      <x:c r="R1397" s="35"/>
      <x:c r="S1397" s="35"/>
      <x:c r="T1397" s="35"/>
      <x:c r="U1397" s="35"/>
      <x:c r="V1397" s="35"/>
      <x:c r="W1397" s="35"/>
      <x:c r="X1397" s="35"/>
      <x:c r="Y1397" s="35"/>
      <x:c r="Z1397" s="35"/>
      <x:c r="AA1397" s="35"/>
    </x:row>
    <x:row r="1398">
      <x:c r="A1398" s="136" t="str">
        <x:v>DrillCamp | Skirmish | Stefan's Lot</x:v>
      </x:c>
      <x:c r="B1398" s="136" t="str">
        <x:v>Gun | 12-pounder Napoleon (USA) · Entity-1530 [map-65/030]</x:v>
      </x:c>
      <x:c r="C1398" s="136" t="str">
        <x:v>gun_spawn</x:v>
      </x:c>
      <x:c r="D1398" s="136" t="str"/>
      <x:c r="E1398" s="136" t="str">
        <x:v>12-pounder Napoleon (USA) · Entity-1530</x:v>
      </x:c>
      <x:c r="F1398" s="137" t="n">
        <x:v>1167.63623046875</x:v>
      </x:c>
      <x:c r="G1398" s="137" t="n">
        <x:v>902.502685546875</x:v>
      </x:c>
      <x:c r="H1398" s="137" t="n">
        <x:v>64.88814544677734</x:v>
      </x:c>
      <x:c r="I1398" s="137" t="n">
        <x:v>755.8976488502543</x:v>
      </x:c>
      <x:c r="J1398" s="137" t="n">
        <x:v>867.2887037039162</x:v>
      </x:c>
      <x:c r="K1398" s="136" t="str">
        <x:v>map-65</x:v>
      </x:c>
      <x:c r="L1398" s="136" t="str">
        <x:v>DrillCamp | Skirmish | Stefan's Lot||Gun | 12-pounder Napoleon (USA) · Entity-1530 [map-65/030]</x:v>
      </x:c>
      <x:c r="M1398" s="35"/>
      <x:c r="N1398" s="35"/>
      <x:c r="O1398" s="35"/>
      <x:c r="P1398" s="35"/>
      <x:c r="Q1398" s="35"/>
      <x:c r="R1398" s="35"/>
      <x:c r="S1398" s="35"/>
      <x:c r="T1398" s="35"/>
      <x:c r="U1398" s="35"/>
      <x:c r="V1398" s="35"/>
      <x:c r="W1398" s="35"/>
      <x:c r="X1398" s="35"/>
      <x:c r="Y1398" s="35"/>
      <x:c r="Z1398" s="35"/>
      <x:c r="AA1398" s="35"/>
    </x:row>
    <x:row r="1399">
      <x:c r="A1399" s="136" t="str">
        <x:v>DrillCamp | Skirmish | Stefan's Lot</x:v>
      </x:c>
      <x:c r="B1399" s="136" t="str">
        <x:v>Gun | 12-pounder Napoleon (CSA) · Entity-1546 [map-65/031]</x:v>
      </x:c>
      <x:c r="C1399" s="136" t="str">
        <x:v>gun_spawn</x:v>
      </x:c>
      <x:c r="D1399" s="136" t="str"/>
      <x:c r="E1399" s="136" t="str">
        <x:v>12-pounder Napoleon (CSA) · Entity-1546</x:v>
      </x:c>
      <x:c r="F1399" s="137" t="n">
        <x:v>1369.21728515625</x:v>
      </x:c>
      <x:c r="G1399" s="137" t="n">
        <x:v>629.752197265625</x:v>
      </x:c>
      <x:c r="H1399" s="137" t="n">
        <x:v>58.00431442260742</x:v>
      </x:c>
      <x:c r="I1399" s="137" t="n">
        <x:v>1127.9404310553973</x:v>
      </x:c>
      <x:c r="J1399" s="137" t="n">
        <x:v>1368.8201808876988</x:v>
      </x:c>
      <x:c r="K1399" s="136" t="str">
        <x:v>map-65</x:v>
      </x:c>
      <x:c r="L1399" s="136" t="str">
        <x:v>DrillCamp | Skirmish | Stefan's Lot||Gun | 12-pounder Napoleon (CSA) · Entity-1546 [map-65/031]</x:v>
      </x:c>
      <x:c r="M1399" s="35"/>
      <x:c r="N1399" s="35"/>
      <x:c r="O1399" s="35"/>
      <x:c r="P1399" s="35"/>
      <x:c r="Q1399" s="35"/>
      <x:c r="R1399" s="35"/>
      <x:c r="S1399" s="35"/>
      <x:c r="T1399" s="35"/>
      <x:c r="U1399" s="35"/>
      <x:c r="V1399" s="35"/>
      <x:c r="W1399" s="35"/>
      <x:c r="X1399" s="35"/>
      <x:c r="Y1399" s="35"/>
      <x:c r="Z1399" s="35"/>
      <x:c r="AA1399" s="35"/>
    </x:row>
    <x:row r="1400">
      <x:c r="A1400" s="136" t="str">
        <x:v>DrillCamp | Skirmish | Stefan's Lot</x:v>
      </x:c>
      <x:c r="B1400" s="136" t="str">
        <x:v>Gun | 12-pounder Napoleon (USA) · Entity-1531 [map-65/032]</x:v>
      </x:c>
      <x:c r="C1400" s="136" t="str">
        <x:v>gun_spawn</x:v>
      </x:c>
      <x:c r="D1400" s="136" t="str"/>
      <x:c r="E1400" s="136" t="str">
        <x:v>12-pounder Napoleon (USA) · Entity-1531</x:v>
      </x:c>
      <x:c r="F1400" s="137" t="n">
        <x:v>1149.0673828125</x:v>
      </x:c>
      <x:c r="G1400" s="137" t="n">
        <x:v>897.7318115234375</x:v>
      </x:c>
      <x:c r="H1400" s="137" t="n">
        <x:v>65.75080871582031</x:v>
      </x:c>
      <x:c r="I1400" s="137" t="n">
        <x:v>721.6759235320858</x:v>
      </x:c>
      <x:c r="J1400" s="137" t="n">
        <x:v>875.9518621327012</x:v>
      </x:c>
      <x:c r="K1400" s="136" t="str">
        <x:v>map-65</x:v>
      </x:c>
      <x:c r="L1400" s="136" t="str">
        <x:v>DrillCamp | Skirmish | Stefan's Lot||Gun | 12-pounder Napoleon (USA) · Entity-1531 [map-65/032]</x:v>
      </x:c>
      <x:c r="M1400" s="35"/>
      <x:c r="N1400" s="35"/>
      <x:c r="O1400" s="35"/>
      <x:c r="P1400" s="35"/>
      <x:c r="Q1400" s="35"/>
      <x:c r="R1400" s="35"/>
      <x:c r="S1400" s="35"/>
      <x:c r="T1400" s="35"/>
      <x:c r="U1400" s="35"/>
      <x:c r="V1400" s="35"/>
      <x:c r="W1400" s="35"/>
      <x:c r="X1400" s="35"/>
      <x:c r="Y1400" s="35"/>
      <x:c r="Z1400" s="35"/>
      <x:c r="AA1400" s="35"/>
    </x:row>
    <x:row r="1401">
      <x:c r="A1401" s="136" t="str">
        <x:v>DrillCamp | Skirmish | Stefan's Lot</x:v>
      </x:c>
      <x:c r="B1401" s="136" t="str">
        <x:v>Gun | 3-inch Ordnance · Entity-1545 [map-65/033]</x:v>
      </x:c>
      <x:c r="C1401" s="136" t="str">
        <x:v>gun_spawn</x:v>
      </x:c>
      <x:c r="D1401" s="136" t="str"/>
      <x:c r="E1401" s="136" t="str">
        <x:v>3-inch Ordnance · Entity-1545</x:v>
      </x:c>
      <x:c r="F1401" s="137" t="n">
        <x:v>1362.43603515625</x:v>
      </x:c>
      <x:c r="G1401" s="137" t="n">
        <x:v>631.5840454101562</x:v>
      </x:c>
      <x:c r="H1401" s="137" t="n">
        <x:v>58.90918731689453</x:v>
      </x:c>
      <x:c r="I1401" s="137" t="n">
        <x:v>1115.4369249576582</x:v>
      </x:c>
      <x:c r="J1401" s="137" t="n">
        <x:v>1365.4248981594774</x:v>
      </x:c>
      <x:c r="K1401" s="136" t="str">
        <x:v>map-65</x:v>
      </x:c>
      <x:c r="L1401" s="136" t="str">
        <x:v>DrillCamp | Skirmish | Stefan's Lot||Gun | 3-inch Ordnance · Entity-1545 [map-65/033]</x:v>
      </x:c>
      <x:c r="M1401" s="35"/>
      <x:c r="N1401" s="35"/>
      <x:c r="O1401" s="35"/>
      <x:c r="P1401" s="35"/>
      <x:c r="Q1401" s="35"/>
      <x:c r="R1401" s="35"/>
      <x:c r="S1401" s="35"/>
      <x:c r="T1401" s="35"/>
      <x:c r="U1401" s="35"/>
      <x:c r="V1401" s="35"/>
      <x:c r="W1401" s="35"/>
      <x:c r="X1401" s="35"/>
      <x:c r="Y1401" s="35"/>
      <x:c r="Z1401" s="35"/>
      <x:c r="AA1401" s="35"/>
    </x:row>
    <x:row r="1402">
      <x:c r="A1402" s="136" t="str">
        <x:v>DrillCamp | Skirmish | Stefan's Lot</x:v>
      </x:c>
      <x:c r="B1402" s="136" t="str">
        <x:v>Gun | 12-pounder Napoleon (USA) · Entity-1540 [map-65/034]</x:v>
      </x:c>
      <x:c r="C1402" s="136" t="str">
        <x:v>gun_spawn</x:v>
      </x:c>
      <x:c r="D1402" s="136" t="str"/>
      <x:c r="E1402" s="136" t="str">
        <x:v>12-pounder Napoleon (USA) · Entity-1540</x:v>
      </x:c>
      <x:c r="F1402" s="137" t="n">
        <x:v>1323.8243408203125</x:v>
      </x:c>
      <x:c r="G1402" s="137" t="n">
        <x:v>822.9559936523438</x:v>
      </x:c>
      <x:c r="H1402" s="137" t="n">
        <x:v>60.55421447753906</x:v>
      </x:c>
      <x:c r="I1402" s="137" t="n">
        <x:v>1043.9444555608663</x:v>
      </x:c>
      <x:c r="J1402" s="137" t="n">
        <x:v>1014.0411818110952</x:v>
      </x:c>
      <x:c r="K1402" s="136" t="str">
        <x:v>map-65</x:v>
      </x:c>
      <x:c r="L1402" s="136" t="str">
        <x:v>DrillCamp | Skirmish | Stefan's Lot||Gun | 12-pounder Napoleon (USA) · Entity-1540 [map-65/034]</x:v>
      </x:c>
      <x:c r="M1402" s="35"/>
      <x:c r="N1402" s="35"/>
      <x:c r="O1402" s="35"/>
      <x:c r="P1402" s="35"/>
      <x:c r="Q1402" s="35"/>
      <x:c r="R1402" s="35"/>
      <x:c r="S1402" s="35"/>
      <x:c r="T1402" s="35"/>
      <x:c r="U1402" s="35"/>
      <x:c r="V1402" s="35"/>
      <x:c r="W1402" s="35"/>
      <x:c r="X1402" s="35"/>
      <x:c r="Y1402" s="35"/>
      <x:c r="Z1402" s="35"/>
      <x:c r="AA1402" s="35"/>
    </x:row>
    <x:row r="1403">
      <x:c r="A1403" s="136" t="str">
        <x:v>DrillCamp | Skirmish | Stefan's Lot</x:v>
      </x:c>
      <x:c r="B1403" s="136" t="str">
        <x:v>Gun | 3-inch Ordnance · Entity-1538 [map-65/035]</x:v>
      </x:c>
      <x:c r="C1403" s="136" t="str">
        <x:v>gun_spawn</x:v>
      </x:c>
      <x:c r="D1403" s="136" t="str"/>
      <x:c r="E1403" s="136" t="str">
        <x:v>3-inch Ordnance · Entity-1538</x:v>
      </x:c>
      <x:c r="F1403" s="137" t="n">
        <x:v>1339.1204833984375</x:v>
      </x:c>
      <x:c r="G1403" s="137" t="n">
        <x:v>819.9720458984375</x:v>
      </x:c>
      <x:c r="H1403" s="137" t="n">
        <x:v>59.59428024291992</x:v>
      </x:c>
      <x:c r="I1403" s="137" t="n">
        <x:v>1072.1461222684468</x:v>
      </x:c>
      <x:c r="J1403" s="137" t="n">
        <x:v>1019.5929112148245</x:v>
      </x:c>
      <x:c r="K1403" s="136" t="str">
        <x:v>map-65</x:v>
      </x:c>
      <x:c r="L1403" s="136" t="str">
        <x:v>DrillCamp | Skirmish | Stefan's Lot||Gun | 3-inch Ordnance · Entity-1538 [map-65/035]</x:v>
      </x:c>
      <x:c r="M1403" s="35"/>
      <x:c r="N1403" s="35"/>
      <x:c r="O1403" s="35"/>
      <x:c r="P1403" s="35"/>
      <x:c r="Q1403" s="35"/>
      <x:c r="R1403" s="35"/>
      <x:c r="S1403" s="35"/>
      <x:c r="T1403" s="35"/>
      <x:c r="U1403" s="35"/>
      <x:c r="V1403" s="35"/>
      <x:c r="W1403" s="35"/>
      <x:c r="X1403" s="35"/>
      <x:c r="Y1403" s="35"/>
      <x:c r="Z1403" s="35"/>
      <x:c r="AA1403" s="35"/>
    </x:row>
    <x:row r="1404">
      <x:c r="A1404" s="136" t="str">
        <x:v>DrillCamp | Skirmish | Stefan's Lot</x:v>
      </x:c>
      <x:c r="B1404" s="136" t="str">
        <x:v>Gun | 10-pounder Parrott · Entity-1527 [map-65/036]</x:v>
      </x:c>
      <x:c r="C1404" s="136" t="str">
        <x:v>gun_spawn</x:v>
      </x:c>
      <x:c r="D1404" s="136" t="str"/>
      <x:c r="E1404" s="136" t="str">
        <x:v>10-pounder Parrott · Entity-1527</x:v>
      </x:c>
      <x:c r="F1404" s="137" t="n">
        <x:v>1191.222900390625</x:v>
      </x:c>
      <x:c r="G1404" s="137" t="n">
        <x:v>908.6897583007812</x:v>
      </x:c>
      <x:c r="H1404" s="137" t="n">
        <x:v>64.1140365600586</x:v>
      </x:c>
      <x:c r="I1404" s="137" t="n">
        <x:v>799.3668322719476</x:v>
      </x:c>
      <x:c r="J1404" s="137" t="n">
        <x:v>856.0515017079675</x:v>
      </x:c>
      <x:c r="K1404" s="136" t="str">
        <x:v>map-65</x:v>
      </x:c>
      <x:c r="L1404" s="136" t="str">
        <x:v>DrillCamp | Skirmish | Stefan's Lot||Gun | 10-pounder Parrott · Entity-1527 [map-65/036]</x:v>
      </x:c>
      <x:c r="M1404" s="35"/>
      <x:c r="N1404" s="35"/>
      <x:c r="O1404" s="35"/>
      <x:c r="P1404" s="35"/>
      <x:c r="Q1404" s="35"/>
      <x:c r="R1404" s="35"/>
      <x:c r="S1404" s="35"/>
      <x:c r="T1404" s="35"/>
      <x:c r="U1404" s="35"/>
      <x:c r="V1404" s="35"/>
      <x:c r="W1404" s="35"/>
      <x:c r="X1404" s="35"/>
      <x:c r="Y1404" s="35"/>
      <x:c r="Z1404" s="35"/>
      <x:c r="AA1404" s="35"/>
    </x:row>
    <x:row r="1405">
      <x:c r="A1405" s="136" t="str">
        <x:v>DrillCamp | Skirmish | Stefan's Lot</x:v>
      </x:c>
      <x:c r="B1405" s="136" t="str">
        <x:v>Gun | 3-inch Ordnance · Entity-1539 [map-65/037]</x:v>
      </x:c>
      <x:c r="C1405" s="136" t="str">
        <x:v>gun_spawn</x:v>
      </x:c>
      <x:c r="D1405" s="136" t="str"/>
      <x:c r="E1405" s="136" t="str">
        <x:v>3-inch Ordnance · Entity-1539</x:v>
      </x:c>
      <x:c r="F1405" s="137" t="n">
        <x:v>1331.8597412109375</x:v>
      </x:c>
      <x:c r="G1405" s="137" t="n">
        <x:v>821.4349975585938</x:v>
      </x:c>
      <x:c r="H1405" s="137" t="n">
        <x:v>60.25322341918945</x:v>
      </x:c>
      <x:c r="I1405" s="137" t="n">
        <x:v>1058.7593349799074</x:v>
      </x:c>
      <x:c r="J1405" s="137" t="n">
        <x:v>1016.8722254005597</x:v>
      </x:c>
      <x:c r="K1405" s="136" t="str">
        <x:v>map-65</x:v>
      </x:c>
      <x:c r="L1405" s="136" t="str">
        <x:v>DrillCamp | Skirmish | Stefan's Lot||Gun | 3-inch Ordnance · Entity-1539 [map-65/037]</x:v>
      </x:c>
      <x:c r="M1405" s="35"/>
      <x:c r="N1405" s="35"/>
      <x:c r="O1405" s="35"/>
      <x:c r="P1405" s="35"/>
      <x:c r="Q1405" s="35"/>
      <x:c r="R1405" s="35"/>
      <x:c r="S1405" s="35"/>
      <x:c r="T1405" s="35"/>
      <x:c r="U1405" s="35"/>
      <x:c r="V1405" s="35"/>
      <x:c r="W1405" s="35"/>
      <x:c r="X1405" s="35"/>
      <x:c r="Y1405" s="35"/>
      <x:c r="Z1405" s="35"/>
      <x:c r="AA1405" s="35"/>
    </x:row>
    <x:row r="1406">
      <x:c r="A1406" s="136" t="str">
        <x:v>DrillCamp | Skirmish | Stefan's Lot</x:v>
      </x:c>
      <x:c r="B1406" s="136" t="str">
        <x:v>Gun | 10-pounder Parrott · Entity-1528 [map-65/038]</x:v>
      </x:c>
      <x:c r="C1406" s="136" t="str">
        <x:v>gun_spawn</x:v>
      </x:c>
      <x:c r="D1406" s="136" t="str"/>
      <x:c r="E1406" s="136" t="str">
        <x:v>10-pounder Parrott · Entity-1528</x:v>
      </x:c>
      <x:c r="F1406" s="137" t="n">
        <x:v>1176.741943359375</x:v>
      </x:c>
      <x:c r="G1406" s="137" t="n">
        <x:v>904.2909545898438</x:v>
      </x:c>
      <x:c r="H1406" s="137" t="n">
        <x:v>64.78465270996094</x:v>
      </x:c>
      <x:c r="I1406" s="137" t="n">
        <x:v>772.6800641599422</x:v>
      </x:c>
      <x:c r="J1406" s="137" t="n">
        <x:v>864.0521197025914</x:v>
      </x:c>
      <x:c r="K1406" s="136" t="str">
        <x:v>map-65</x:v>
      </x:c>
      <x:c r="L1406" s="136" t="str">
        <x:v>DrillCamp | Skirmish | Stefan's Lot||Gun | 10-pounder Parrott · Entity-1528 [map-65/038]</x:v>
      </x:c>
      <x:c r="M1406" s="35"/>
      <x:c r="N1406" s="35"/>
      <x:c r="O1406" s="35"/>
      <x:c r="P1406" s="35"/>
      <x:c r="Q1406" s="35"/>
      <x:c r="R1406" s="35"/>
      <x:c r="S1406" s="35"/>
      <x:c r="T1406" s="35"/>
      <x:c r="U1406" s="35"/>
      <x:c r="V1406" s="35"/>
      <x:c r="W1406" s="35"/>
      <x:c r="X1406" s="35"/>
      <x:c r="Y1406" s="35"/>
      <x:c r="Z1406" s="35"/>
      <x:c r="AA1406" s="35"/>
    </x:row>
    <x:row r="1407">
      <x:c r="A1407" s="136" t="str">
        <x:v>DrillCamp | Skirmish | Stefan's Lot</x:v>
      </x:c>
      <x:c r="B1407" s="136" t="str">
        <x:v>Gun | 12-pounder Napoleon (CSA) · Entity-1554 [map-65/039]</x:v>
      </x:c>
      <x:c r="C1407" s="136" t="str">
        <x:v>gun_spawn</x:v>
      </x:c>
      <x:c r="D1407" s="136" t="str"/>
      <x:c r="E1407" s="136" t="str">
        <x:v>12-pounder Napoleon (CSA) · Entity-1554</x:v>
      </x:c>
      <x:c r="F1407" s="137" t="n">
        <x:v>1207.263916015625</x:v>
      </x:c>
      <x:c r="G1407" s="137" t="n">
        <x:v>635.117431640625</x:v>
      </x:c>
      <x:c r="H1407" s="137" t="n">
        <x:v>64.13407897949219</x:v>
      </x:c>
      <x:c r="I1407" s="137" t="n">
        <x:v>829.3885424156105</x:v>
      </x:c>
      <x:c r="J1407" s="137" t="n">
        <x:v>1358.1717437740986</x:v>
      </x:c>
      <x:c r="K1407" s="136" t="str">
        <x:v>map-65</x:v>
      </x:c>
      <x:c r="L1407" s="136" t="str">
        <x:v>DrillCamp | Skirmish | Stefan's Lot||Gun | 12-pounder Napoleon (CSA) · Entity-1554 [map-65/039]</x:v>
      </x:c>
      <x:c r="M1407" s="35"/>
      <x:c r="N1407" s="35"/>
      <x:c r="O1407" s="35"/>
      <x:c r="P1407" s="35"/>
      <x:c r="Q1407" s="35"/>
      <x:c r="R1407" s="35"/>
      <x:c r="S1407" s="35"/>
      <x:c r="T1407" s="35"/>
      <x:c r="U1407" s="35"/>
      <x:c r="V1407" s="35"/>
      <x:c r="W1407" s="35"/>
      <x:c r="X1407" s="35"/>
      <x:c r="Y1407" s="35"/>
      <x:c r="Z1407" s="35"/>
      <x:c r="AA1407" s="35"/>
    </x:row>
    <x:row r="1408">
      <x:c r="A1408" s="136" t="str">
        <x:v>DrillCamp | Skirmish | Stefan's Lot</x:v>
      </x:c>
      <x:c r="B1408" s="136" t="str">
        <x:v>Gun | 12-pounder Napoleon (CSA) · Entity-1553 [map-65/040]</x:v>
      </x:c>
      <x:c r="C1408" s="136" t="str">
        <x:v>gun_spawn</x:v>
      </x:c>
      <x:c r="D1408" s="136" t="str"/>
      <x:c r="E1408" s="136" t="str">
        <x:v>12-pounder Napoleon (CSA) · Entity-1553</x:v>
      </x:c>
      <x:c r="F1408" s="137" t="n">
        <x:v>1214.71142578125</x:v>
      </x:c>
      <x:c r="G1408" s="137" t="n">
        <x:v>633.0051879882812</x:v>
      </x:c>
      <x:c r="H1408" s="137" t="n">
        <x:v>63.06304931640625</x:v>
      </x:c>
      <x:c r="I1408" s="137" t="n">
        <x:v>843.1206874537916</x:v>
      </x:c>
      <x:c r="J1408" s="137" t="n">
        <x:v>1362.0848902276337</x:v>
      </x:c>
      <x:c r="K1408" s="136" t="str">
        <x:v>map-65</x:v>
      </x:c>
      <x:c r="L1408" s="136" t="str">
        <x:v>DrillCamp | Skirmish | Stefan's Lot||Gun | 12-pounder Napoleon (CSA) · Entity-1553 [map-65/040]</x:v>
      </x:c>
      <x:c r="M1408" s="35"/>
      <x:c r="N1408" s="35"/>
      <x:c r="O1408" s="35"/>
      <x:c r="P1408" s="35"/>
      <x:c r="Q1408" s="35"/>
      <x:c r="R1408" s="35"/>
      <x:c r="S1408" s="35"/>
      <x:c r="T1408" s="35"/>
      <x:c r="U1408" s="35"/>
      <x:c r="V1408" s="35"/>
      <x:c r="W1408" s="35"/>
      <x:c r="X1408" s="35"/>
      <x:c r="Y1408" s="35"/>
      <x:c r="Z1408" s="35"/>
      <x:c r="AA1408" s="35"/>
    </x:row>
    <x:row r="1409">
      <x:c r="A1409" s="136" t="str">
        <x:v>DrillCamp | Skirmish | Stefan's Lot</x:v>
      </x:c>
      <x:c r="B1409" s="136" t="str">
        <x:v>Gun | 10-pounder Parrott · Entity-1526 [map-65/041]</x:v>
      </x:c>
      <x:c r="C1409" s="136" t="str">
        <x:v>gun_spawn</x:v>
      </x:c>
      <x:c r="D1409" s="136" t="str"/>
      <x:c r="E1409" s="136" t="str">
        <x:v>10-pounder Parrott · Entity-1526</x:v>
      </x:c>
      <x:c r="F1409" s="137" t="n">
        <x:v>1182.6678466796875</x:v>
      </x:c>
      <x:c r="G1409" s="137" t="n">
        <x:v>906.5540771484375</x:v>
      </x:c>
      <x:c r="H1409" s="137" t="n">
        <x:v>64.58265686035156</x:v>
      </x:c>
      <x:c r="I1409" s="137" t="n">
        <x:v>783.6000697743254</x:v>
      </x:c>
      <x:c r="J1409" s="137" t="n">
        <x:v>859.9283607621203</x:v>
      </x:c>
      <x:c r="K1409" s="136" t="str">
        <x:v>map-65</x:v>
      </x:c>
      <x:c r="L1409" s="136" t="str">
        <x:v>DrillCamp | Skirmish | Stefan's Lot||Gun | 10-pounder Parrott · Entity-1526 [map-65/041]</x:v>
      </x:c>
      <x:c r="M1409" s="35"/>
      <x:c r="N1409" s="35"/>
      <x:c r="O1409" s="35"/>
      <x:c r="P1409" s="35"/>
      <x:c r="Q1409" s="35"/>
      <x:c r="R1409" s="35"/>
      <x:c r="S1409" s="35"/>
      <x:c r="T1409" s="35"/>
      <x:c r="U1409" s="35"/>
      <x:c r="V1409" s="35"/>
      <x:c r="W1409" s="35"/>
      <x:c r="X1409" s="35"/>
      <x:c r="Y1409" s="35"/>
      <x:c r="Z1409" s="35"/>
      <x:c r="AA1409" s="35"/>
    </x:row>
    <x:row r="1410">
      <x:c r="A1410" s="136" t="str">
        <x:v>DrillCamp | Skirmish | Stefan's Lot</x:v>
      </x:c>
      <x:c r="B1410" s="136" t="str">
        <x:v>Gun | 3-inch Ordnance · Entity-1561 [map-65/042]</x:v>
      </x:c>
      <x:c r="C1410" s="136" t="str">
        <x:v>gun_spawn</x:v>
      </x:c>
      <x:c r="D1410" s="136" t="str"/>
      <x:c r="E1410" s="136" t="str">
        <x:v>3-inch Ordnance · Entity-1561</x:v>
      </x:c>
      <x:c r="F1410" s="137" t="n">
        <x:v>1178.9141845703125</x:v>
      </x:c>
      <x:c r="G1410" s="137" t="n">
        <x:v>642.4591064453125</x:v>
      </x:c>
      <x:c r="H1410" s="137" t="n">
        <x:v>65.56536102294922</x:v>
      </x:c>
      <x:c r="I1410" s="137" t="n">
        <x:v>777.1168382068886</x:v>
      </x:c>
      <x:c r="J1410" s="137" t="n">
        <x:v>1344.5583341509896</x:v>
      </x:c>
      <x:c r="K1410" s="136" t="str">
        <x:v>map-65</x:v>
      </x:c>
      <x:c r="L1410" s="136" t="str">
        <x:v>DrillCamp | Skirmish | Stefan's Lot||Gun | 3-inch Ordnance · Entity-1561 [map-65/042]</x:v>
      </x:c>
      <x:c r="M1410" s="35"/>
      <x:c r="N1410" s="35"/>
      <x:c r="O1410" s="35"/>
      <x:c r="P1410" s="35"/>
      <x:c r="Q1410" s="35"/>
      <x:c r="R1410" s="35"/>
      <x:c r="S1410" s="35"/>
      <x:c r="T1410" s="35"/>
      <x:c r="U1410" s="35"/>
      <x:c r="V1410" s="35"/>
      <x:c r="W1410" s="35"/>
      <x:c r="X1410" s="35"/>
      <x:c r="Y1410" s="35"/>
      <x:c r="Z1410" s="35"/>
      <x:c r="AA1410" s="35"/>
    </x:row>
    <x:row r="1411">
      <x:c r="A1411" s="136" t="str">
        <x:v>DrillCamp | Skirmish | Confederate Encampment</x:v>
      </x:c>
      <x:c r="B1411" s="136" t="str">
        <x:v>Artillery | CSA Spawnpoint_CE_CSA_Arty_French_Forward [map-66/001]</x:v>
      </x:c>
      <x:c r="C1411" s="136" t="str">
        <x:v>battery</x:v>
      </x:c>
      <x:c r="D1411" s="136" t="str">
        <x:v>CSA</x:v>
      </x:c>
      <x:c r="E1411" s="136" t="str">
        <x:v>Spawnpoint_CE_CSA_Arty_French_Forward</x:v>
      </x:c>
      <x:c r="F1411" s="137" t="n">
        <x:v>1474.876708984375</x:v>
      </x:c>
      <x:c r="G1411" s="137" t="n">
        <x:v>572.9448852539062</x:v>
      </x:c>
      <x:c r="H1411" s="137" t="n">
        <x:v>56.60169982910156</x:v>
      </x:c>
      <x:c r="I1411" s="137" t="n">
        <x:v>696.0067853085745</x:v>
      </x:c>
      <x:c r="J1411" s="137" t="n">
        <x:v>1446.0472987014316</x:v>
      </x:c>
      <x:c r="K1411" s="136" t="str">
        <x:v>map-66</x:v>
      </x:c>
      <x:c r="L1411" s="136" t="str">
        <x:v>DrillCamp | Skirmish | Confederate Encampment||Artillery | CSA Spawnpoint_CE_CSA_Arty_French_Forward [map-66/001]</x:v>
      </x:c>
      <x:c r="M1411" s="35"/>
      <x:c r="N1411" s="35"/>
      <x:c r="O1411" s="35"/>
      <x:c r="P1411" s="35"/>
      <x:c r="Q1411" s="35"/>
      <x:c r="R1411" s="35"/>
      <x:c r="S1411" s="35"/>
      <x:c r="T1411" s="35"/>
      <x:c r="U1411" s="35"/>
      <x:c r="V1411" s="35"/>
      <x:c r="W1411" s="35"/>
      <x:c r="X1411" s="35"/>
      <x:c r="Y1411" s="35"/>
      <x:c r="Z1411" s="35"/>
      <x:c r="AA1411" s="35"/>
    </x:row>
    <x:row r="1412">
      <x:c r="A1412" s="136" t="str">
        <x:v>DrillCamp | Skirmish | Confederate Encampment</x:v>
      </x:c>
      <x:c r="B1412" s="136" t="str">
        <x:v>Spawn | USA Spawnpoint_CE_Mounted_USA_4thPA [map-66/002]</x:v>
      </x:c>
      <x:c r="C1412" s="136" t="str">
        <x:v>spawn</x:v>
      </x:c>
      <x:c r="D1412" s="136" t="str">
        <x:v>USA</x:v>
      </x:c>
      <x:c r="E1412" s="136" t="str">
        <x:v>Spawnpoint_CE_Mounted_USA_4thPA</x:v>
      </x:c>
      <x:c r="F1412" s="137" t="n">
        <x:v>1611.5118408203125</x:v>
      </x:c>
      <x:c r="G1412" s="137" t="n">
        <x:v>1253.2774658203125</x:v>
      </x:c>
      <x:c r="H1412" s="137" t="n">
        <x:v>58.734378814697266</x:v>
      </x:c>
      <x:c r="I1412" s="137" t="n">
        <x:v>943.8501008995512</x:v>
      </x:c>
      <x:c r="J1412" s="137" t="n">
        <x:v>200.00679732812281</x:v>
      </x:c>
      <x:c r="K1412" s="136" t="str">
        <x:v>map-66</x:v>
      </x:c>
      <x:c r="L1412" s="136" t="str">
        <x:v>DrillCamp | Skirmish | Confederate Encampment||Spawn | USA Spawnpoint_CE_Mounted_USA_4thPA [map-66/002]</x:v>
      </x:c>
      <x:c r="M1412" s="35"/>
      <x:c r="N1412" s="35"/>
      <x:c r="O1412" s="35"/>
      <x:c r="P1412" s="35"/>
      <x:c r="Q1412" s="35"/>
      <x:c r="R1412" s="35"/>
      <x:c r="S1412" s="35"/>
      <x:c r="T1412" s="35"/>
      <x:c r="U1412" s="35"/>
      <x:c r="V1412" s="35"/>
      <x:c r="W1412" s="35"/>
      <x:c r="X1412" s="35"/>
      <x:c r="Y1412" s="35"/>
      <x:c r="Z1412" s="35"/>
      <x:c r="AA1412" s="35"/>
    </x:row>
    <x:row r="1413">
      <x:c r="A1413" s="136" t="str">
        <x:v>DrillCamp | Skirmish | Confederate Encampment</x:v>
      </x:c>
      <x:c r="B1413" s="136" t="str">
        <x:v>Spawn | CSA Spawnpoint_CE_Base_CSA_Hampton1 [map-66/003]</x:v>
      </x:c>
      <x:c r="C1413" s="136" t="str">
        <x:v>spawn</x:v>
      </x:c>
      <x:c r="D1413" s="136" t="str">
        <x:v>CSA</x:v>
      </x:c>
      <x:c r="E1413" s="136" t="str">
        <x:v>Spawnpoint_CE_Base_CSA_Hampton1</x:v>
      </x:c>
      <x:c r="F1413" s="137" t="n">
        <x:v>1618.045654296875</x:v>
      </x:c>
      <x:c r="G1413" s="137" t="n">
        <x:v>362.23590087890625</x:v>
      </x:c>
      <x:c r="H1413" s="137" t="n">
        <x:v>53.633941650390625</x:v>
      </x:c>
      <x:c r="I1413" s="137" t="n">
        <x:v>958.7256779150442</x:v>
      </x:c>
      <x:c r="J1413" s="137" t="n">
        <x:v>1832.2679770221866</x:v>
      </x:c>
      <x:c r="K1413" s="136" t="str">
        <x:v>map-66</x:v>
      </x:c>
      <x:c r="L1413" s="136" t="str">
        <x:v>DrillCamp | Skirmish | Confederate Encampment||Spawn | CSA Spawnpoint_CE_Base_CSA_Hampton1 [map-66/003]</x:v>
      </x:c>
      <x:c r="M1413" s="35"/>
      <x:c r="N1413" s="35"/>
      <x:c r="O1413" s="35"/>
      <x:c r="P1413" s="35"/>
      <x:c r="Q1413" s="35"/>
      <x:c r="R1413" s="35"/>
      <x:c r="S1413" s="35"/>
      <x:c r="T1413" s="35"/>
      <x:c r="U1413" s="35"/>
      <x:c r="V1413" s="35"/>
      <x:c r="W1413" s="35"/>
      <x:c r="X1413" s="35"/>
      <x:c r="Y1413" s="35"/>
      <x:c r="Z1413" s="35"/>
      <x:c r="AA1413" s="35"/>
    </x:row>
    <x:row r="1414">
      <x:c r="A1414" s="136" t="str">
        <x:v>DrillCamp | Skirmish | Confederate Encampment</x:v>
      </x:c>
      <x:c r="B1414" s="136" t="str">
        <x:v>Spawn | CSA Spawnpoint_CE_Base_CSA_Hampton2 [map-66/004]</x:v>
      </x:c>
      <x:c r="C1414" s="136" t="str">
        <x:v>spawn</x:v>
      </x:c>
      <x:c r="D1414" s="136" t="str">
        <x:v>CSA</x:v>
      </x:c>
      <x:c r="E1414" s="136" t="str">
        <x:v>Spawnpoint_CE_Base_CSA_Hampton2</x:v>
      </x:c>
      <x:c r="F1414" s="137" t="n">
        <x:v>1617.157470703125</x:v>
      </x:c>
      <x:c r="G1414" s="137" t="n">
        <x:v>343.81500244140625</x:v>
      </x:c>
      <x:c r="H1414" s="137" t="n">
        <x:v>52.328800201416016</x:v>
      </x:c>
      <x:c r="I1414" s="137" t="n">
        <x:v>957.1604281725887</x:v>
      </x:c>
      <x:c r="J1414" s="137" t="n">
        <x:v>1866.0107629940173</x:v>
      </x:c>
      <x:c r="K1414" s="136" t="str">
        <x:v>map-66</x:v>
      </x:c>
      <x:c r="L1414" s="136" t="str">
        <x:v>DrillCamp | Skirmish | Confederate Encampment||Spawn | CSA Spawnpoint_CE_Base_CSA_Hampton2 [map-66/004]</x:v>
      </x:c>
      <x:c r="M1414" s="35"/>
      <x:c r="N1414" s="35"/>
      <x:c r="O1414" s="35"/>
      <x:c r="P1414" s="35"/>
      <x:c r="Q1414" s="35"/>
      <x:c r="R1414" s="35"/>
      <x:c r="S1414" s="35"/>
      <x:c r="T1414" s="35"/>
      <x:c r="U1414" s="35"/>
      <x:c r="V1414" s="35"/>
      <x:c r="W1414" s="35"/>
      <x:c r="X1414" s="35"/>
      <x:c r="Y1414" s="35"/>
      <x:c r="Z1414" s="35"/>
      <x:c r="AA1414" s="35"/>
    </x:row>
    <x:row r="1415">
      <x:c r="A1415" s="136" t="str">
        <x:v>DrillCamp | Skirmish | Confederate Encampment</x:v>
      </x:c>
      <x:c r="B1415" s="136" t="str">
        <x:v>Spawn | USA Spawnpoint_CE_Base_USA_72ndPA1 [map-66/005]</x:v>
      </x:c>
      <x:c r="C1415" s="136" t="str">
        <x:v>spawn</x:v>
      </x:c>
      <x:c r="D1415" s="136" t="str">
        <x:v>USA</x:v>
      </x:c>
      <x:c r="E1415" s="136" t="str">
        <x:v>Spawnpoint_CE_Base_USA_72ndPA1</x:v>
      </x:c>
      <x:c r="F1415" s="137" t="n">
        <x:v>1698.42724609375</x:v>
      </x:c>
      <x:c r="G1415" s="137" t="n">
        <x:v>1145.0400390625</x:v>
      </x:c>
      <x:c r="H1415" s="137" t="n">
        <x:v>59.3646354675293</x:v>
      </x:c>
      <x:c r="I1415" s="137" t="n">
        <x:v>1103.277788808026</x:v>
      </x:c>
      <x:c r="J1415" s="137" t="n">
        <x:v>398.4233245223115</x:v>
      </x:c>
      <x:c r="K1415" s="136" t="str">
        <x:v>map-66</x:v>
      </x:c>
      <x:c r="L1415" s="136" t="str">
        <x:v>DrillCamp | Skirmish | Confederate Encampment||Spawn | USA Spawnpoint_CE_Base_USA_72ndPA1 [map-66/005]</x:v>
      </x:c>
      <x:c r="M1415" s="35"/>
      <x:c r="N1415" s="35"/>
      <x:c r="O1415" s="35"/>
      <x:c r="P1415" s="35"/>
      <x:c r="Q1415" s="35"/>
      <x:c r="R1415" s="35"/>
      <x:c r="S1415" s="35"/>
      <x:c r="T1415" s="35"/>
      <x:c r="U1415" s="35"/>
      <x:c r="V1415" s="35"/>
      <x:c r="W1415" s="35"/>
      <x:c r="X1415" s="35"/>
      <x:c r="Y1415" s="35"/>
      <x:c r="Z1415" s="35"/>
      <x:c r="AA1415" s="35"/>
    </x:row>
    <x:row r="1416">
      <x:c r="A1416" s="136" t="str">
        <x:v>DrillCamp | Skirmish | Confederate Encampment</x:v>
      </x:c>
      <x:c r="B1416" s="136" t="str">
        <x:v>Artillery | USA Spawnpoint_CE_USA_Arty_Rigby_Forward [map-66/006]</x:v>
      </x:c>
      <x:c r="C1416" s="136" t="str">
        <x:v>battery</x:v>
      </x:c>
      <x:c r="D1416" s="136" t="str">
        <x:v>USA</x:v>
      </x:c>
      <x:c r="E1416" s="136" t="str">
        <x:v>Spawnpoint_CE_USA_Arty_Rigby_Forward</x:v>
      </x:c>
      <x:c r="F1416" s="137" t="n">
        <x:v>1779.4488525390625</x:v>
      </x:c>
      <x:c r="G1416" s="137" t="n">
        <x:v>894.3611450195312</x:v>
      </x:c>
      <x:c r="H1416" s="137" t="n">
        <x:v>59.175254821777344</x:v>
      </x:c>
      <x:c r="I1416" s="137" t="n">
        <x:v>1252.3849601516204</x:v>
      </x:c>
      <x:c r="J1416" s="137" t="n">
        <x:v>857.7609646159062</x:v>
      </x:c>
      <x:c r="K1416" s="136" t="str">
        <x:v>map-66</x:v>
      </x:c>
      <x:c r="L1416" s="136" t="str">
        <x:v>DrillCamp | Skirmish | Confederate Encampment||Artillery | USA Spawnpoint_CE_USA_Arty_Rigby_Forward [map-66/006]</x:v>
      </x:c>
      <x:c r="M1416" s="35"/>
      <x:c r="N1416" s="35"/>
      <x:c r="O1416" s="35"/>
      <x:c r="P1416" s="35"/>
      <x:c r="Q1416" s="35"/>
      <x:c r="R1416" s="35"/>
      <x:c r="S1416" s="35"/>
      <x:c r="T1416" s="35"/>
      <x:c r="U1416" s="35"/>
      <x:c r="V1416" s="35"/>
      <x:c r="W1416" s="35"/>
      <x:c r="X1416" s="35"/>
      <x:c r="Y1416" s="35"/>
      <x:c r="Z1416" s="35"/>
      <x:c r="AA1416" s="35"/>
    </x:row>
    <x:row r="1417">
      <x:c r="A1417" s="136" t="str">
        <x:v>DrillCamp | Skirmish | Confederate Encampment</x:v>
      </x:c>
      <x:c r="B1417" s="136" t="str">
        <x:v>Artillery | CSA Spawnpoint_CE_CSA_Arty_Base [map-66/007]</x:v>
      </x:c>
      <x:c r="C1417" s="136" t="str">
        <x:v>battery</x:v>
      </x:c>
      <x:c r="D1417" s="136" t="str">
        <x:v>CSA</x:v>
      </x:c>
      <x:c r="E1417" s="136" t="str">
        <x:v>Spawnpoint_CE_CSA_Arty_Base</x:v>
      </x:c>
      <x:c r="F1417" s="137" t="n">
        <x:v>1638.463623046875</x:v>
      </x:c>
      <x:c r="G1417" s="137" t="n">
        <x:v>352.1840515136719</x:v>
      </x:c>
      <x:c r="H1417" s="137" t="n">
        <x:v>51.780818939208984</x:v>
      </x:c>
      <x:c r="I1417" s="137" t="n">
        <x:v>996.12772767556</x:v>
      </x:c>
      <x:c r="J1417" s="137" t="n">
        <x:v>1850.71483705056</x:v>
      </x:c>
      <x:c r="K1417" s="136" t="str">
        <x:v>map-66</x:v>
      </x:c>
      <x:c r="L1417" s="136" t="str">
        <x:v>DrillCamp | Skirmish | Confederate Encampment||Artillery | CSA Spawnpoint_CE_CSA_Arty_Base [map-66/007]</x:v>
      </x:c>
      <x:c r="M1417" s="35"/>
      <x:c r="N1417" s="35"/>
      <x:c r="O1417" s="35"/>
      <x:c r="P1417" s="35"/>
      <x:c r="Q1417" s="35"/>
      <x:c r="R1417" s="35"/>
      <x:c r="S1417" s="35"/>
      <x:c r="T1417" s="35"/>
      <x:c r="U1417" s="35"/>
      <x:c r="V1417" s="35"/>
      <x:c r="W1417" s="35"/>
      <x:c r="X1417" s="35"/>
      <x:c r="Y1417" s="35"/>
      <x:c r="Z1417" s="35"/>
      <x:c r="AA1417" s="35"/>
    </x:row>
    <x:row r="1418">
      <x:c r="A1418" s="136" t="str">
        <x:v>DrillCamp | Skirmish | Confederate Encampment</x:v>
      </x:c>
      <x:c r="B1418" s="136" t="str">
        <x:v>Spawn | CSA Spawnpoint_CE_Defend_CSA_Jeff [map-66/008]</x:v>
      </x:c>
      <x:c r="C1418" s="136" t="str">
        <x:v>spawn</x:v>
      </x:c>
      <x:c r="D1418" s="136" t="str">
        <x:v>CSA</x:v>
      </x:c>
      <x:c r="E1418" s="136" t="str">
        <x:v>Spawnpoint_CE_Defend_CSA_Jeff</x:v>
      </x:c>
      <x:c r="F1418" s="137" t="n">
        <x:v>1656.1573486328125</x:v>
      </x:c>
      <x:c r="G1418" s="137" t="n">
        <x:v>605.022216796875</x:v>
      </x:c>
      <x:c r="H1418" s="137" t="n">
        <x:v>51.5011100769043</x:v>
      </x:c>
      <x:c r="I1418" s="137" t="n">
        <x:v>1027.6831230970183</x:v>
      </x:c>
      <x:c r="J1418" s="137" t="n">
        <x:v>1387.583346311304</x:v>
      </x:c>
      <x:c r="K1418" s="136" t="str">
        <x:v>map-66</x:v>
      </x:c>
      <x:c r="L1418" s="136" t="str">
        <x:v>DrillCamp | Skirmish | Confederate Encampment||Spawn | CSA Spawnpoint_CE_Defend_CSA_Jeff [map-66/008]</x:v>
      </x:c>
      <x:c r="M1418" s="35"/>
      <x:c r="N1418" s="35"/>
      <x:c r="O1418" s="35"/>
      <x:c r="P1418" s="35"/>
      <x:c r="Q1418" s="35"/>
      <x:c r="R1418" s="35"/>
      <x:c r="S1418" s="35"/>
      <x:c r="T1418" s="35"/>
      <x:c r="U1418" s="35"/>
      <x:c r="V1418" s="35"/>
      <x:c r="W1418" s="35"/>
      <x:c r="X1418" s="35"/>
      <x:c r="Y1418" s="35"/>
      <x:c r="Z1418" s="35"/>
      <x:c r="AA1418" s="35"/>
    </x:row>
    <x:row r="1419">
      <x:c r="A1419" s="136" t="str">
        <x:v>DrillCamp | Skirmish | Confederate Encampment</x:v>
      </x:c>
      <x:c r="B1419" s="136" t="str">
        <x:v>Spawn | USA Spawnpoint_CE_Base_USA_72ndPA2 [map-66/009]</x:v>
      </x:c>
      <x:c r="C1419" s="136" t="str">
        <x:v>spawn</x:v>
      </x:c>
      <x:c r="D1419" s="136" t="str">
        <x:v>USA</x:v>
      </x:c>
      <x:c r="E1419" s="136" t="str">
        <x:v>Spawnpoint_CE_Base_USA_72ndPA2</x:v>
      </x:c>
      <x:c r="F1419" s="137" t="n">
        <x:v>1700.736328125</x:v>
      </x:c>
      <x:c r="G1419" s="137" t="n">
        <x:v>1165.87255859375</x:v>
      </x:c>
      <x:c r="H1419" s="137" t="n">
        <x:v>58.67003631591797</x:v>
      </x:c>
      <x:c r="I1419" s="137" t="n">
        <x:v>1107.4356830731</x:v>
      </x:c>
      <x:c r="J1419" s="137" t="n">
        <x:v>360.2651473588144</x:v>
      </x:c>
      <x:c r="K1419" s="136" t="str">
        <x:v>map-66</x:v>
      </x:c>
      <x:c r="L1419" s="136" t="str">
        <x:v>DrillCamp | Skirmish | Confederate Encampment||Spawn | USA Spawnpoint_CE_Base_USA_72ndPA2 [map-66/009]</x:v>
      </x:c>
      <x:c r="M1419" s="35"/>
      <x:c r="N1419" s="35"/>
      <x:c r="O1419" s="35"/>
      <x:c r="P1419" s="35"/>
      <x:c r="Q1419" s="35"/>
      <x:c r="R1419" s="35"/>
      <x:c r="S1419" s="35"/>
      <x:c r="T1419" s="35"/>
      <x:c r="U1419" s="35"/>
      <x:c r="V1419" s="35"/>
      <x:c r="W1419" s="35"/>
      <x:c r="X1419" s="35"/>
      <x:c r="Y1419" s="35"/>
      <x:c r="Z1419" s="35"/>
      <x:c r="AA1419" s="35"/>
    </x:row>
    <x:row r="1420">
      <x:c r="A1420" s="136" t="str">
        <x:v>DrillCamp | Skirmish | Confederate Encampment</x:v>
      </x:c>
      <x:c r="B1420" s="136" t="str">
        <x:v>Spawn | CSA Spawnpoint_CE_Base_CSA_Jeff [map-66/010]</x:v>
      </x:c>
      <x:c r="C1420" s="136" t="str">
        <x:v>spawn</x:v>
      </x:c>
      <x:c r="D1420" s="136" t="str">
        <x:v>CSA</x:v>
      </x:c>
      <x:c r="E1420" s="136" t="str">
        <x:v>Spawnpoint_CE_Base_CSA_Jeff</x:v>
      </x:c>
      <x:c r="F1420" s="137" t="n">
        <x:v>1638.6539306640625</x:v>
      </x:c>
      <x:c r="G1420" s="137" t="n">
        <x:v>365.83441162109375</x:v>
      </x:c>
      <x:c r="H1420" s="137" t="n">
        <x:v>52.47745132446289</x:v>
      </x:c>
      <x:c r="I1420" s="137" t="n">
        <x:v>996.4313379945776</x:v>
      </x:c>
      <x:c r="J1420" s="137" t="n">
        <x:v>1825.7097978160057</x:v>
      </x:c>
      <x:c r="K1420" s="136" t="str">
        <x:v>map-66</x:v>
      </x:c>
      <x:c r="L1420" s="136" t="str">
        <x:v>DrillCamp | Skirmish | Confederate Encampment||Spawn | CSA Spawnpoint_CE_Base_CSA_Jeff [map-66/010]</x:v>
      </x:c>
      <x:c r="M1420" s="35"/>
      <x:c r="N1420" s="35"/>
      <x:c r="O1420" s="35"/>
      <x:c r="P1420" s="35"/>
      <x:c r="Q1420" s="35"/>
      <x:c r="R1420" s="35"/>
      <x:c r="S1420" s="35"/>
      <x:c r="T1420" s="35"/>
      <x:c r="U1420" s="35"/>
      <x:c r="V1420" s="35"/>
      <x:c r="W1420" s="35"/>
      <x:c r="X1420" s="35"/>
      <x:c r="Y1420" s="35"/>
      <x:c r="Z1420" s="35"/>
      <x:c r="AA1420" s="35"/>
    </x:row>
    <x:row r="1421">
      <x:c r="A1421" s="136" t="str">
        <x:v>DrillCamp | Skirmish | Confederate Encampment</x:v>
      </x:c>
      <x:c r="B1421" s="136" t="str">
        <x:v>Objective | Skirmish_13_VictorySequence [map-66/011]</x:v>
      </x:c>
      <x:c r="C1421" s="136" t="str">
        <x:v>objective</x:v>
      </x:c>
      <x:c r="D1421" s="136" t="str"/>
      <x:c r="E1421" s="136" t="str">
        <x:v>Skirmish_13_VictorySequence</x:v>
      </x:c>
      <x:c r="F1421" s="137" t="n">
        <x:v>1557.2132568359375</x:v>
      </x:c>
      <x:c r="G1421" s="137" t="n">
        <x:v>612.5167846679688</x:v>
      </x:c>
      <x:c r="H1421" s="137" t="n">
        <x:v>53.363502502441406</x:v>
      </x:c>
      <x:c r="I1421" s="137" t="n">
        <x:v>846.5702708858887</x:v>
      </x:c>
      <x:c r="J1421" s="137" t="n">
        <x:v>1373.6924807073171</x:v>
      </x:c>
      <x:c r="K1421" s="136" t="str">
        <x:v>map-66</x:v>
      </x:c>
      <x:c r="L1421" s="136" t="str">
        <x:v>DrillCamp | Skirmish | Confederate Encampment||Objective | Skirmish_13_VictorySequence [map-66/011]</x:v>
      </x:c>
      <x:c r="M1421" s="35"/>
      <x:c r="N1421" s="35"/>
      <x:c r="O1421" s="35"/>
      <x:c r="P1421" s="35"/>
      <x:c r="Q1421" s="35"/>
      <x:c r="R1421" s="35"/>
      <x:c r="S1421" s="35"/>
      <x:c r="T1421" s="35"/>
      <x:c r="U1421" s="35"/>
      <x:c r="V1421" s="35"/>
      <x:c r="W1421" s="35"/>
      <x:c r="X1421" s="35"/>
      <x:c r="Y1421" s="35"/>
      <x:c r="Z1421" s="35"/>
      <x:c r="AA1421" s="35"/>
    </x:row>
    <x:row r="1422">
      <x:c r="A1422" s="136" t="str">
        <x:v>DrillCamp | Skirmish | Confederate Encampment</x:v>
      </x:c>
      <x:c r="B1422" s="136" t="str">
        <x:v>Spawn | CSA Spawnpoint_CE_Base_CSA_22ndVA1 [map-66/012]</x:v>
      </x:c>
      <x:c r="C1422" s="136" t="str">
        <x:v>spawn</x:v>
      </x:c>
      <x:c r="D1422" s="136" t="str">
        <x:v>CSA</x:v>
      </x:c>
      <x:c r="E1422" s="136" t="str">
        <x:v>Spawnpoint_CE_Base_CSA_22ndVA1</x:v>
      </x:c>
      <x:c r="F1422" s="137" t="n">
        <x:v>1602.078369140625</x:v>
      </x:c>
      <x:c r="G1422" s="137" t="n">
        <x:v>362.2624816894531</x:v>
      </x:c>
      <x:c r="H1422" s="137" t="n">
        <x:v>53.59071731567383</x:v>
      </x:c>
      <x:c r="I1422" s="137" t="n">
        <x:v>929.5021304200351</x:v>
      </x:c>
      <x:c r="J1422" s="137" t="n">
        <x:v>1832.1931460450348</x:v>
      </x:c>
      <x:c r="K1422" s="136" t="str">
        <x:v>map-66</x:v>
      </x:c>
      <x:c r="L1422" s="136" t="str">
        <x:v>DrillCamp | Skirmish | Confederate Encampment||Spawn | CSA Spawnpoint_CE_Base_CSA_22ndVA1 [map-66/012]</x:v>
      </x:c>
      <x:c r="M1422" s="35"/>
      <x:c r="N1422" s="35"/>
      <x:c r="O1422" s="35"/>
      <x:c r="P1422" s="35"/>
      <x:c r="Q1422" s="35"/>
      <x:c r="R1422" s="35"/>
      <x:c r="S1422" s="35"/>
      <x:c r="T1422" s="35"/>
      <x:c r="U1422" s="35"/>
      <x:c r="V1422" s="35"/>
      <x:c r="W1422" s="35"/>
      <x:c r="X1422" s="35"/>
      <x:c r="Y1422" s="35"/>
      <x:c r="Z1422" s="35"/>
      <x:c r="AA1422" s="35"/>
    </x:row>
    <x:row r="1423">
      <x:c r="A1423" s="136" t="str">
        <x:v>DrillCamp | Skirmish | Confederate Encampment</x:v>
      </x:c>
      <x:c r="B1423" s="136" t="str">
        <x:v>Spawn | CSA Spawnpoint_CE_Mounted_CSA_Jeff [map-66/013]</x:v>
      </x:c>
      <x:c r="C1423" s="136" t="str">
        <x:v>spawn</x:v>
      </x:c>
      <x:c r="D1423" s="136" t="str">
        <x:v>CSA</x:v>
      </x:c>
      <x:c r="E1423" s="136" t="str">
        <x:v>Spawnpoint_CE_Mounted_CSA_Jeff</x:v>
      </x:c>
      <x:c r="F1423" s="137" t="n">
        <x:v>1450.5853271484375</x:v>
      </x:c>
      <x:c r="G1423" s="137" t="n">
        <x:v>270.53662109375</x:v>
      </x:c>
      <x:c r="H1423" s="137" t="n">
        <x:v>52.2239990234375</x:v>
      </x:c>
      <x:c r="I1423" s="137" t="n">
        <x:v>652.538599750671</x:v>
      </x:c>
      <x:c r="J1423" s="137" t="n">
        <x:v>1999.9727515363854</x:v>
      </x:c>
      <x:c r="K1423" s="136" t="str">
        <x:v>map-66</x:v>
      </x:c>
      <x:c r="L1423" s="136" t="str">
        <x:v>DrillCamp | Skirmish | Confederate Encampment||Spawn | CSA Spawnpoint_CE_Mounted_CSA_Jeff [map-66/013]</x:v>
      </x:c>
      <x:c r="M1423" s="35"/>
      <x:c r="N1423" s="35"/>
      <x:c r="O1423" s="35"/>
      <x:c r="P1423" s="35"/>
      <x:c r="Q1423" s="35"/>
      <x:c r="R1423" s="35"/>
      <x:c r="S1423" s="35"/>
      <x:c r="T1423" s="35"/>
      <x:c r="U1423" s="35"/>
      <x:c r="V1423" s="35"/>
      <x:c r="W1423" s="35"/>
      <x:c r="X1423" s="35"/>
      <x:c r="Y1423" s="35"/>
      <x:c r="Z1423" s="35"/>
      <x:c r="AA1423" s="35"/>
    </x:row>
    <x:row r="1424">
      <x:c r="A1424" s="136" t="str">
        <x:v>DrillCamp | Skirmish | Confederate Encampment</x:v>
      </x:c>
      <x:c r="B1424" s="136" t="str">
        <x:v>Artillery | CSA Spawnpoint_CE_CSA_Arty_Balthis_Forward [map-66/014]</x:v>
      </x:c>
      <x:c r="C1424" s="136" t="str">
        <x:v>battery</x:v>
      </x:c>
      <x:c r="D1424" s="136" t="str">
        <x:v>CSA</x:v>
      </x:c>
      <x:c r="E1424" s="136" t="str">
        <x:v>Spawnpoint_CE_CSA_Arty_Balthis_Forward</x:v>
      </x:c>
      <x:c r="F1424" s="137" t="n">
        <x:v>1703.5135498046875</x:v>
      </x:c>
      <x:c r="G1424" s="137" t="n">
        <x:v>606.0553588867188</x:v>
      </x:c>
      <x:c r="H1424" s="137" t="n">
        <x:v>51.487674713134766</x:v>
      </x:c>
      <x:c r="I1424" s="137" t="n">
        <x:v>1114.3514608019539</x:v>
      </x:c>
      <x:c r="J1424" s="137" t="n">
        <x:v>1385.768313480525</x:v>
      </x:c>
      <x:c r="K1424" s="136" t="str">
        <x:v>map-66</x:v>
      </x:c>
      <x:c r="L1424" s="136" t="str">
        <x:v>DrillCamp | Skirmish | Confederate Encampment||Artillery | CSA Spawnpoint_CE_CSA_Arty_Balthis_Forward [map-66/014]</x:v>
      </x:c>
      <x:c r="M1424" s="35"/>
      <x:c r="N1424" s="35"/>
      <x:c r="O1424" s="35"/>
      <x:c r="P1424" s="35"/>
      <x:c r="Q1424" s="35"/>
      <x:c r="R1424" s="35"/>
      <x:c r="S1424" s="35"/>
      <x:c r="T1424" s="35"/>
      <x:c r="U1424" s="35"/>
      <x:c r="V1424" s="35"/>
      <x:c r="W1424" s="35"/>
      <x:c r="X1424" s="35"/>
      <x:c r="Y1424" s="35"/>
      <x:c r="Z1424" s="35"/>
      <x:c r="AA1424" s="35"/>
    </x:row>
    <x:row r="1425">
      <x:c r="A1425" s="136" t="str">
        <x:v>DrillCamp | Skirmish | Confederate Encampment</x:v>
      </x:c>
      <x:c r="B1425" s="136" t="str">
        <x:v>Artillery | USA Spawnpoint_CE_USA_Arty_Base [map-66/015]</x:v>
      </x:c>
      <x:c r="C1425" s="136" t="str">
        <x:v>battery</x:v>
      </x:c>
      <x:c r="D1425" s="136" t="str">
        <x:v>USA</x:v>
      </x:c>
      <x:c r="E1425" s="136" t="str">
        <x:v>Spawnpoint_CE_USA_Arty_Base</x:v>
      </x:c>
      <x:c r="F1425" s="137" t="n">
        <x:v>1729.625244140625</x:v>
      </x:c>
      <x:c r="G1425" s="137" t="n">
        <x:v>1175.213134765625</x:v>
      </x:c>
      <x:c r="H1425" s="137" t="n">
        <x:v>59.50642013549805</x:v>
      </x:c>
      <x:c r="I1425" s="137" t="n">
        <x:v>1160.2778399899591</x:v>
      </x:c>
      <x:c r="J1425" s="137" t="n">
        <x:v>343.20194713281654</x:v>
      </x:c>
      <x:c r="K1425" s="136" t="str">
        <x:v>map-66</x:v>
      </x:c>
      <x:c r="L1425" s="136" t="str">
        <x:v>DrillCamp | Skirmish | Confederate Encampment||Artillery | USA Spawnpoint_CE_USA_Arty_Base [map-66/015]</x:v>
      </x:c>
      <x:c r="M1425" s="35"/>
      <x:c r="N1425" s="35"/>
      <x:c r="O1425" s="35"/>
      <x:c r="P1425" s="35"/>
      <x:c r="Q1425" s="35"/>
      <x:c r="R1425" s="35"/>
      <x:c r="S1425" s="35"/>
      <x:c r="T1425" s="35"/>
      <x:c r="U1425" s="35"/>
      <x:c r="V1425" s="35"/>
      <x:c r="W1425" s="35"/>
      <x:c r="X1425" s="35"/>
      <x:c r="Y1425" s="35"/>
      <x:c r="Z1425" s="35"/>
      <x:c r="AA1425" s="35"/>
    </x:row>
    <x:row r="1426">
      <x:c r="A1426" s="136" t="str">
        <x:v>DrillCamp | Skirmish | Confederate Encampment</x:v>
      </x:c>
      <x:c r="B1426" s="136" t="str">
        <x:v>Spawn | USA Spawnpoint_CE_Base_USA_23rdNY2 [map-66/016]</x:v>
      </x:c>
      <x:c r="C1426" s="136" t="str">
        <x:v>spawn</x:v>
      </x:c>
      <x:c r="D1426" s="136" t="str">
        <x:v>USA</x:v>
      </x:c>
      <x:c r="E1426" s="136" t="str">
        <x:v>Spawnpoint_CE_Base_USA_23rdNY2</x:v>
      </x:c>
      <x:c r="F1426" s="137" t="n">
        <x:v>1710.0128173828125</x:v>
      </x:c>
      <x:c r="G1426" s="137" t="n">
        <x:v>1165.407958984375</x:v>
      </x:c>
      <x:c r="H1426" s="137" t="n">
        <x:v>59.140010833740234</x:v>
      </x:c>
      <x:c r="I1426" s="137" t="n">
        <x:v>1124.4151133785017</x:v>
      </x:c>
      <x:c r="J1426" s="137" t="n">
        <x:v>361.131408021359</x:v>
      </x:c>
      <x:c r="K1426" s="136" t="str">
        <x:v>map-66</x:v>
      </x:c>
      <x:c r="L1426" s="136" t="str">
        <x:v>DrillCamp | Skirmish | Confederate Encampment||Spawn | USA Spawnpoint_CE_Base_USA_23rdNY2 [map-66/016]</x:v>
      </x:c>
      <x:c r="M1426" s="35"/>
      <x:c r="N1426" s="35"/>
      <x:c r="O1426" s="35"/>
      <x:c r="P1426" s="35"/>
      <x:c r="Q1426" s="35"/>
      <x:c r="R1426" s="35"/>
      <x:c r="S1426" s="35"/>
      <x:c r="T1426" s="35"/>
      <x:c r="U1426" s="35"/>
      <x:c r="V1426" s="35"/>
      <x:c r="W1426" s="35"/>
      <x:c r="X1426" s="35"/>
      <x:c r="Y1426" s="35"/>
      <x:c r="Z1426" s="35"/>
      <x:c r="AA1426" s="35"/>
    </x:row>
    <x:row r="1427">
      <x:c r="A1427" s="136" t="str">
        <x:v>DrillCamp | Skirmish | Confederate Encampment</x:v>
      </x:c>
      <x:c r="B1427" s="136" t="str">
        <x:v>Spawn | CSA Spawnpoint_CE_Base_CSA_22ndVA2 [map-66/017]</x:v>
      </x:c>
      <x:c r="C1427" s="136" t="str">
        <x:v>spawn</x:v>
      </x:c>
      <x:c r="D1427" s="136" t="str">
        <x:v>CSA</x:v>
      </x:c>
      <x:c r="E1427" s="136" t="str">
        <x:v>Spawnpoint_CE_Base_CSA_22ndVA2</x:v>
      </x:c>
      <x:c r="F1427" s="137" t="n">
        <x:v>1601.8631591796875</x:v>
      </x:c>
      <x:c r="G1427" s="137" t="n">
        <x:v>344.0559387207031</x:v>
      </x:c>
      <x:c r="H1427" s="137" t="n">
        <x:v>52.517391204833984</x:v>
      </x:c>
      <x:c r="I1427" s="137" t="n">
        <x:v>929.1678609018276</x:v>
      </x:c>
      <x:c r="J1427" s="137" t="n">
        <x:v>1865.544367598256</x:v>
      </x:c>
      <x:c r="K1427" s="136" t="str">
        <x:v>map-66</x:v>
      </x:c>
      <x:c r="L1427" s="136" t="str">
        <x:v>DrillCamp | Skirmish | Confederate Encampment||Spawn | CSA Spawnpoint_CE_Base_CSA_22ndVA2 [map-66/017]</x:v>
      </x:c>
      <x:c r="M1427" s="35"/>
      <x:c r="N1427" s="35"/>
      <x:c r="O1427" s="35"/>
      <x:c r="P1427" s="35"/>
      <x:c r="Q1427" s="35"/>
      <x:c r="R1427" s="35"/>
      <x:c r="S1427" s="35"/>
      <x:c r="T1427" s="35"/>
      <x:c r="U1427" s="35"/>
      <x:c r="V1427" s="35"/>
      <x:c r="W1427" s="35"/>
      <x:c r="X1427" s="35"/>
      <x:c r="Y1427" s="35"/>
      <x:c r="Z1427" s="35"/>
      <x:c r="AA1427" s="35"/>
    </x:row>
    <x:row r="1428">
      <x:c r="A1428" s="136" t="str">
        <x:v>DrillCamp | Skirmish | Confederate Encampment</x:v>
      </x:c>
      <x:c r="B1428" s="136" t="str">
        <x:v>Spawn | USA Spawnpoint_CE_Base_USA_4thPA [map-66/018]</x:v>
      </x:c>
      <x:c r="C1428" s="136" t="str">
        <x:v>spawn</x:v>
      </x:c>
      <x:c r="D1428" s="136" t="str">
        <x:v>USA</x:v>
      </x:c>
      <x:c r="E1428" s="136" t="str">
        <x:v>Spawnpoint_CE_Base_USA_4thPA</x:v>
      </x:c>
      <x:c r="F1428" s="137" t="n">
        <x:v>1718.96826171875</x:v>
      </x:c>
      <x:c r="G1428" s="137" t="n">
        <x:v>1163.9569091796875</x:v>
      </x:c>
      <x:c r="H1428" s="137" t="n">
        <x:v>58.67003631591797</x:v>
      </x:c>
      <x:c r="I1428" s="137" t="n">
        <x:v>1140.8101942612338</x:v>
      </x:c>
      <x:c r="J1428" s="137" t="n">
        <x:v>363.80416747551953</x:v>
      </x:c>
      <x:c r="K1428" s="136" t="str">
        <x:v>map-66</x:v>
      </x:c>
      <x:c r="L1428" s="136" t="str">
        <x:v>DrillCamp | Skirmish | Confederate Encampment||Spawn | USA Spawnpoint_CE_Base_USA_4thPA [map-66/018]</x:v>
      </x:c>
      <x:c r="M1428" s="35"/>
      <x:c r="N1428" s="35"/>
      <x:c r="O1428" s="35"/>
      <x:c r="P1428" s="35"/>
      <x:c r="Q1428" s="35"/>
      <x:c r="R1428" s="35"/>
      <x:c r="S1428" s="35"/>
      <x:c r="T1428" s="35"/>
      <x:c r="U1428" s="35"/>
      <x:c r="V1428" s="35"/>
      <x:c r="W1428" s="35"/>
      <x:c r="X1428" s="35"/>
      <x:c r="Y1428" s="35"/>
      <x:c r="Z1428" s="35"/>
      <x:c r="AA1428" s="35"/>
    </x:row>
    <x:row r="1429">
      <x:c r="A1429" s="136" t="str">
        <x:v>DrillCamp | Skirmish | Confederate Encampment</x:v>
      </x:c>
      <x:c r="B1429" s="136" t="str">
        <x:v>Spawn | USA Spawnpoint_CE_Base_USA_23rdNY1 [map-66/019]</x:v>
      </x:c>
      <x:c r="C1429" s="136" t="str">
        <x:v>spawn</x:v>
      </x:c>
      <x:c r="D1429" s="136" t="str">
        <x:v>USA</x:v>
      </x:c>
      <x:c r="E1429" s="136" t="str">
        <x:v>Spawnpoint_CE_Base_USA_23rdNY1</x:v>
      </x:c>
      <x:c r="F1429" s="137" t="n">
        <x:v>1707.6881103515625</x:v>
      </x:c>
      <x:c r="G1429" s="137" t="n">
        <x:v>1144.43359375</x:v>
      </x:c>
      <x:c r="H1429" s="137" t="n">
        <x:v>59.14702606201172</x:v>
      </x:c>
      <x:c r="I1429" s="137" t="n">
        <x:v>1120.2290865195203</x:v>
      </x:c>
      <x:c r="J1429" s="137" t="n">
        <x:v>399.5493990195202</x:v>
      </x:c>
      <x:c r="K1429" s="136" t="str">
        <x:v>map-66</x:v>
      </x:c>
      <x:c r="L1429" s="136" t="str">
        <x:v>DrillCamp | Skirmish | Confederate Encampment||Spawn | USA Spawnpoint_CE_Base_USA_23rdNY1 [map-66/019]</x:v>
      </x:c>
      <x:c r="M1429" s="35"/>
      <x:c r="N1429" s="35"/>
      <x:c r="O1429" s="35"/>
      <x:c r="P1429" s="35"/>
      <x:c r="Q1429" s="35"/>
      <x:c r="R1429" s="35"/>
      <x:c r="S1429" s="35"/>
      <x:c r="T1429" s="35"/>
      <x:c r="U1429" s="35"/>
      <x:c r="V1429" s="35"/>
      <x:c r="W1429" s="35"/>
      <x:c r="X1429" s="35"/>
      <x:c r="Y1429" s="35"/>
      <x:c r="Z1429" s="35"/>
      <x:c r="AA1429" s="35"/>
    </x:row>
    <x:row r="1430">
      <x:c r="A1430" s="136" t="str">
        <x:v>DrillCamp | Skirmish | Confederate Encampment</x:v>
      </x:c>
      <x:c r="B1430" s="136" t="str">
        <x:v>Artillery | USA Spawnpoint_CE_USA_Arty_Matthews_Forward [map-66/020]</x:v>
      </x:c>
      <x:c r="C1430" s="136" t="str">
        <x:v>battery</x:v>
      </x:c>
      <x:c r="D1430" s="136" t="str">
        <x:v>USA</x:v>
      </x:c>
      <x:c r="E1430" s="136" t="str">
        <x:v>Spawnpoint_CE_USA_Arty_Matthews_Forward</x:v>
      </x:c>
      <x:c r="F1430" s="137" t="n">
        <x:v>1524.76904296875</x:v>
      </x:c>
      <x:c r="G1430" s="137" t="n">
        <x:v>905.856201171875</x:v>
      </x:c>
      <x:c r="H1430" s="137" t="n">
        <x:v>56.47959518432617</x:v>
      </x:c>
      <x:c r="I1430" s="137" t="n">
        <x:v>786.2301809614587</x:v>
      </x:c>
      <x:c r="J1430" s="137" t="n">
        <x:v>836.2868773900302</x:v>
      </x:c>
      <x:c r="K1430" s="136" t="str">
        <x:v>map-66</x:v>
      </x:c>
      <x:c r="L1430" s="136" t="str">
        <x:v>DrillCamp | Skirmish | Confederate Encampment||Artillery | USA Spawnpoint_CE_USA_Arty_Matthews_Forward [map-66/020]</x:v>
      </x:c>
      <x:c r="M1430" s="35"/>
      <x:c r="N1430" s="35"/>
      <x:c r="O1430" s="35"/>
      <x:c r="P1430" s="35"/>
      <x:c r="Q1430" s="35"/>
      <x:c r="R1430" s="35"/>
      <x:c r="S1430" s="35"/>
      <x:c r="T1430" s="35"/>
      <x:c r="U1430" s="35"/>
      <x:c r="V1430" s="35"/>
      <x:c r="W1430" s="35"/>
      <x:c r="X1430" s="35"/>
      <x:c r="Y1430" s="35"/>
      <x:c r="Z1430" s="35"/>
      <x:c r="AA1430" s="35"/>
    </x:row>
    <x:row r="1431">
      <x:c r="A1431" s="136" t="str">
        <x:v>DrillCamp | Skirmish | Confederate Encampment</x:v>
      </x:c>
      <x:c r="B1431" s="136" t="str">
        <x:v>Gun | 12-pounder Napoleon (CSA) · Entity-1580 [map-66/021]</x:v>
      </x:c>
      <x:c r="C1431" s="136" t="str">
        <x:v>gun_spawn</x:v>
      </x:c>
      <x:c r="D1431" s="136" t="str"/>
      <x:c r="E1431" s="136" t="str">
        <x:v>12-pounder Napoleon (CSA) · Entity-1580</x:v>
      </x:c>
      <x:c r="F1431" s="137" t="n">
        <x:v>1477.9786376953125</x:v>
      </x:c>
      <x:c r="G1431" s="137" t="n">
        <x:v>613.1116943359375</x:v>
      </x:c>
      <x:c r="H1431" s="137" t="n">
        <x:v>55.086856842041016</x:v>
      </x:c>
      <x:c r="I1431" s="137" t="n">
        <x:v>701.552452378533</x:v>
      </x:c>
      <x:c r="J1431" s="137" t="n">
        <x:v>1372.4729880928185</x:v>
      </x:c>
      <x:c r="K1431" s="136" t="str">
        <x:v>map-66</x:v>
      </x:c>
      <x:c r="L1431" s="136" t="str">
        <x:v>DrillCamp | Skirmish | Confederate Encampment||Gun | 12-pounder Napoleon (CSA) · Entity-1580 [map-66/021]</x:v>
      </x:c>
      <x:c r="M1431" s="35"/>
      <x:c r="N1431" s="35"/>
      <x:c r="O1431" s="35"/>
      <x:c r="P1431" s="35"/>
      <x:c r="Q1431" s="35"/>
      <x:c r="R1431" s="35"/>
      <x:c r="S1431" s="35"/>
      <x:c r="T1431" s="35"/>
      <x:c r="U1431" s="35"/>
      <x:c r="V1431" s="35"/>
      <x:c r="W1431" s="35"/>
      <x:c r="X1431" s="35"/>
      <x:c r="Y1431" s="35"/>
      <x:c r="Z1431" s="35"/>
      <x:c r="AA1431" s="35"/>
    </x:row>
    <x:row r="1432">
      <x:c r="A1432" s="136" t="str">
        <x:v>DrillCamp | Skirmish | Confederate Encampment</x:v>
      </x:c>
      <x:c r="B1432" s="136" t="str">
        <x:v>Gun | 12-pounder Napoleon (CSA) · Entity-1590 [map-66/022]</x:v>
      </x:c>
      <x:c r="C1432" s="136" t="str">
        <x:v>gun_spawn</x:v>
      </x:c>
      <x:c r="D1432" s="136" t="str"/>
      <x:c r="E1432" s="136" t="str">
        <x:v>12-pounder Napoleon (CSA) · Entity-1590</x:v>
      </x:c>
      <x:c r="F1432" s="137" t="n">
        <x:v>1712.5682373046875</x:v>
      </x:c>
      <x:c r="G1432" s="137" t="n">
        <x:v>639.6309204101562</x:v>
      </x:c>
      <x:c r="H1432" s="137" t="n">
        <x:v>51.69554901123047</x:v>
      </x:c>
      <x:c r="I1432" s="137" t="n">
        <x:v>1130.8134976361732</x:v>
      </x:c>
      <x:c r="J1432" s="137" t="n">
        <x:v>1324.2778949576018</x:v>
      </x:c>
      <x:c r="K1432" s="136" t="str">
        <x:v>map-66</x:v>
      </x:c>
      <x:c r="L1432" s="136" t="str">
        <x:v>DrillCamp | Skirmish | Confederate Encampment||Gun | 12-pounder Napoleon (CSA) · Entity-1590 [map-66/022]</x:v>
      </x:c>
      <x:c r="M1432" s="35"/>
      <x:c r="N1432" s="35"/>
      <x:c r="O1432" s="35"/>
      <x:c r="P1432" s="35"/>
      <x:c r="Q1432" s="35"/>
      <x:c r="R1432" s="35"/>
      <x:c r="S1432" s="35"/>
      <x:c r="T1432" s="35"/>
      <x:c r="U1432" s="35"/>
      <x:c r="V1432" s="35"/>
      <x:c r="W1432" s="35"/>
      <x:c r="X1432" s="35"/>
      <x:c r="Y1432" s="35"/>
      <x:c r="Z1432" s="35"/>
      <x:c r="AA1432" s="35"/>
    </x:row>
    <x:row r="1433">
      <x:c r="A1433" s="136" t="str">
        <x:v>DrillCamp | Skirmish | Confederate Encampment</x:v>
      </x:c>
      <x:c r="B1433" s="136" t="str">
        <x:v>Gun | 12-pounder Napoleon (USA) · Entity-1565 [map-66/023]</x:v>
      </x:c>
      <x:c r="C1433" s="136" t="str">
        <x:v>gun_spawn</x:v>
      </x:c>
      <x:c r="D1433" s="136" t="str"/>
      <x:c r="E1433" s="136" t="str">
        <x:v>12-pounder Napoleon (USA) · Entity-1565</x:v>
      </x:c>
      <x:c r="F1433" s="137" t="n">
        <x:v>1762.3775634765625</x:v>
      </x:c>
      <x:c r="G1433" s="137" t="n">
        <x:v>877.443359375</x:v>
      </x:c>
      <x:c r="H1433" s="137" t="n">
        <x:v>59.38149642944336</x:v>
      </x:c>
      <x:c r="I1433" s="137" t="n">
        <x:v>1221.1963324757464</x:v>
      </x:c>
      <x:c r="J1433" s="137" t="n">
        <x:v>888.723787832889</x:v>
      </x:c>
      <x:c r="K1433" s="136" t="str">
        <x:v>map-66</x:v>
      </x:c>
      <x:c r="L1433" s="136" t="str">
        <x:v>DrillCamp | Skirmish | Confederate Encampment||Gun | 12-pounder Napoleon (USA) · Entity-1565 [map-66/023]</x:v>
      </x:c>
      <x:c r="M1433" s="35"/>
      <x:c r="N1433" s="35"/>
      <x:c r="O1433" s="35"/>
      <x:c r="P1433" s="35"/>
      <x:c r="Q1433" s="35"/>
      <x:c r="R1433" s="35"/>
      <x:c r="S1433" s="35"/>
      <x:c r="T1433" s="35"/>
      <x:c r="U1433" s="35"/>
      <x:c r="V1433" s="35"/>
      <x:c r="W1433" s="35"/>
      <x:c r="X1433" s="35"/>
      <x:c r="Y1433" s="35"/>
      <x:c r="Z1433" s="35"/>
      <x:c r="AA1433" s="35"/>
    </x:row>
    <x:row r="1434">
      <x:c r="A1434" s="136" t="str">
        <x:v>DrillCamp | Skirmish | Confederate Encampment</x:v>
      </x:c>
      <x:c r="B1434" s="136" t="str">
        <x:v>Gun | 12-pounder Napoleon (CSA) · Entity-1582 [map-66/024]</x:v>
      </x:c>
      <x:c r="C1434" s="136" t="str">
        <x:v>gun_spawn</x:v>
      </x:c>
      <x:c r="D1434" s="136" t="str"/>
      <x:c r="E1434" s="136" t="str">
        <x:v>12-pounder Napoleon (CSA) · Entity-1582</x:v>
      </x:c>
      <x:c r="F1434" s="137" t="n">
        <x:v>1470.2498779296875</x:v>
      </x:c>
      <x:c r="G1434" s="137" t="n">
        <x:v>612.6748046875</x:v>
      </x:c>
      <x:c r="H1434" s="137" t="n">
        <x:v>55.21299743652344</x:v>
      </x:c>
      <x:c r="I1434" s="137" t="n">
        <x:v>687.4086412351701</x:v>
      </x:c>
      <x:c r="J1434" s="137" t="n">
        <x:v>1373.2606501637413</x:v>
      </x:c>
      <x:c r="K1434" s="136" t="str">
        <x:v>map-66</x:v>
      </x:c>
      <x:c r="L1434" s="136" t="str">
        <x:v>DrillCamp | Skirmish | Confederate Encampment||Gun | 12-pounder Napoleon (CSA) · Entity-1582 [map-66/024]</x:v>
      </x:c>
      <x:c r="M1434" s="35"/>
      <x:c r="N1434" s="35"/>
      <x:c r="O1434" s="35"/>
      <x:c r="P1434" s="35"/>
      <x:c r="Q1434" s="35"/>
      <x:c r="R1434" s="35"/>
      <x:c r="S1434" s="35"/>
      <x:c r="T1434" s="35"/>
      <x:c r="U1434" s="35"/>
      <x:c r="V1434" s="35"/>
      <x:c r="W1434" s="35"/>
      <x:c r="X1434" s="35"/>
      <x:c r="Y1434" s="35"/>
      <x:c r="Z1434" s="35"/>
      <x:c r="AA1434" s="35"/>
    </x:row>
    <x:row r="1435">
      <x:c r="A1435" s="136" t="str">
        <x:v>DrillCamp | Skirmish | Confederate Encampment</x:v>
      </x:c>
      <x:c r="B1435" s="136" t="str">
        <x:v>Gun | 12-pounder Napoleon (USA) · Entity-1576 [map-66/025]</x:v>
      </x:c>
      <x:c r="C1435" s="136" t="str">
        <x:v>gun_spawn</x:v>
      </x:c>
      <x:c r="D1435" s="136" t="str"/>
      <x:c r="E1435" s="136" t="str">
        <x:v>12-pounder Napoleon (USA) · Entity-1576</x:v>
      </x:c>
      <x:c r="F1435" s="137" t="n">
        <x:v>1508.7923583984375</x:v>
      </x:c>
      <x:c r="G1435" s="137" t="n">
        <x:v>872.077880859375</x:v>
      </x:c>
      <x:c r="H1435" s="137" t="n">
        <x:v>57.14041519165039</x:v>
      </x:c>
      <x:c r="I1435" s="137" t="n">
        <x:v>757.100110336834</x:v>
      </x:c>
      <x:c r="J1435" s="137" t="n">
        <x:v>898.137387122548</x:v>
      </x:c>
      <x:c r="K1435" s="136" t="str">
        <x:v>map-66</x:v>
      </x:c>
      <x:c r="L1435" s="136" t="str">
        <x:v>DrillCamp | Skirmish | Confederate Encampment||Gun | 12-pounder Napoleon (USA) · Entity-1576 [map-66/025]</x:v>
      </x:c>
      <x:c r="M1435" s="35"/>
      <x:c r="N1435" s="35"/>
      <x:c r="O1435" s="35"/>
      <x:c r="P1435" s="35"/>
      <x:c r="Q1435" s="35"/>
      <x:c r="R1435" s="35"/>
      <x:c r="S1435" s="35"/>
      <x:c r="T1435" s="35"/>
      <x:c r="U1435" s="35"/>
      <x:c r="V1435" s="35"/>
      <x:c r="W1435" s="35"/>
      <x:c r="X1435" s="35"/>
      <x:c r="Y1435" s="35"/>
      <x:c r="Z1435" s="35"/>
      <x:c r="AA1435" s="35"/>
    </x:row>
    <x:row r="1436">
      <x:c r="A1436" s="136" t="str">
        <x:v>DrillCamp | Skirmish | Confederate Encampment</x:v>
      </x:c>
      <x:c r="B1436" s="136" t="str">
        <x:v>Gun | 3-inch Ordnance · Entity-1597 [map-66/026]</x:v>
      </x:c>
      <x:c r="C1436" s="136" t="str">
        <x:v>gun_spawn</x:v>
      </x:c>
      <x:c r="D1436" s="136" t="str"/>
      <x:c r="E1436" s="136" t="str">
        <x:v>3-inch Ordnance · Entity-1597</x:v>
      </x:c>
      <x:c r="F1436" s="137" t="n">
        <x:v>1683.683349609375</x:v>
      </x:c>
      <x:c r="G1436" s="137" t="n">
        <x:v>634.8070068359375</x:v>
      </x:c>
      <x:c r="H1436" s="137" t="n">
        <x:v>51.36811447143555</x:v>
      </x:c>
      <x:c r="I1436" s="137" t="n">
        <x:v>1077.9639254963743</x:v>
      </x:c>
      <x:c r="J1436" s="137" t="n">
        <x:v>1333.06727371066</x:v>
      </x:c>
      <x:c r="K1436" s="136" t="str">
        <x:v>map-66</x:v>
      </x:c>
      <x:c r="L1436" s="136" t="str">
        <x:v>DrillCamp | Skirmish | Confederate Encampment||Gun | 3-inch Ordnance · Entity-1597 [map-66/026]</x:v>
      </x:c>
      <x:c r="M1436" s="35"/>
      <x:c r="N1436" s="35"/>
      <x:c r="O1436" s="35"/>
      <x:c r="P1436" s="35"/>
      <x:c r="Q1436" s="35"/>
      <x:c r="R1436" s="35"/>
      <x:c r="S1436" s="35"/>
      <x:c r="T1436" s="35"/>
      <x:c r="U1436" s="35"/>
      <x:c r="V1436" s="35"/>
      <x:c r="W1436" s="35"/>
      <x:c r="X1436" s="35"/>
      <x:c r="Y1436" s="35"/>
      <x:c r="Z1436" s="35"/>
      <x:c r="AA1436" s="35"/>
    </x:row>
    <x:row r="1437">
      <x:c r="A1437" s="136" t="str">
        <x:v>DrillCamp | Skirmish | Confederate Encampment</x:v>
      </x:c>
      <x:c r="B1437" s="136" t="str">
        <x:v>Gun | 3-inch Ordnance · Entity-1581 [map-66/027]</x:v>
      </x:c>
      <x:c r="C1437" s="136" t="str">
        <x:v>gun_spawn</x:v>
      </x:c>
      <x:c r="D1437" s="136" t="str"/>
      <x:c r="E1437" s="136" t="str">
        <x:v>3-inch Ordnance · Entity-1581</x:v>
      </x:c>
      <x:c r="F1437" s="137" t="n">
        <x:v>1463.2738037109375</x:v>
      </x:c>
      <x:c r="G1437" s="137" t="n">
        <x:v>611.8512573242188</x:v>
      </x:c>
      <x:c r="H1437" s="137" t="n">
        <x:v>55.475589752197266</x:v>
      </x:c>
      <x:c r="I1437" s="137" t="n">
        <x:v>674.6436674978019</x:v>
      </x:c>
      <x:c r="J1437" s="137" t="n">
        <x:v>1374.7578416049446</x:v>
      </x:c>
      <x:c r="K1437" s="136" t="str">
        <x:v>map-66</x:v>
      </x:c>
      <x:c r="L1437" s="136" t="str">
        <x:v>DrillCamp | Skirmish | Confederate Encampment||Gun | 3-inch Ordnance · Entity-1581 [map-66/027]</x:v>
      </x:c>
      <x:c r="M1437" s="35"/>
      <x:c r="N1437" s="35"/>
      <x:c r="O1437" s="35"/>
      <x:c r="P1437" s="35"/>
      <x:c r="Q1437" s="35"/>
      <x:c r="R1437" s="35"/>
      <x:c r="S1437" s="35"/>
      <x:c r="T1437" s="35"/>
      <x:c r="U1437" s="35"/>
      <x:c r="V1437" s="35"/>
      <x:c r="W1437" s="35"/>
      <x:c r="X1437" s="35"/>
      <x:c r="Y1437" s="35"/>
      <x:c r="Z1437" s="35"/>
      <x:c r="AA1437" s="35"/>
    </x:row>
    <x:row r="1438">
      <x:c r="A1438" s="136" t="str">
        <x:v>DrillCamp | Skirmish | Confederate Encampment</x:v>
      </x:c>
      <x:c r="B1438" s="136" t="str">
        <x:v>Gun | 10-pounder Parrott · Entity-1562 [map-66/028]</x:v>
      </x:c>
      <x:c r="C1438" s="136" t="str">
        <x:v>gun_spawn</x:v>
      </x:c>
      <x:c r="D1438" s="136" t="str"/>
      <x:c r="E1438" s="136" t="str">
        <x:v>10-pounder Parrott · Entity-1562</x:v>
      </x:c>
      <x:c r="F1438" s="137" t="n">
        <x:v>1787.180419921875</x:v>
      </x:c>
      <x:c r="G1438" s="137" t="n">
        <x:v>873.740966796875</x:v>
      </x:c>
      <x:c r="H1438" s="137" t="n">
        <x:v>59.92546081542969</x:v>
      </x:c>
      <x:c r="I1438" s="137" t="n">
        <x:v>1266.6028522242252</x:v>
      </x:c>
      <x:c r="J1438" s="137" t="n">
        <x:v>895.546602224225</x:v>
      </x:c>
      <x:c r="K1438" s="136" t="str">
        <x:v>map-66</x:v>
      </x:c>
      <x:c r="L1438" s="136" t="str">
        <x:v>DrillCamp | Skirmish | Confederate Encampment||Gun | 10-pounder Parrott · Entity-1562 [map-66/028]</x:v>
      </x:c>
      <x:c r="M1438" s="35"/>
      <x:c r="N1438" s="35"/>
      <x:c r="O1438" s="35"/>
      <x:c r="P1438" s="35"/>
      <x:c r="Q1438" s="35"/>
      <x:c r="R1438" s="35"/>
      <x:c r="S1438" s="35"/>
      <x:c r="T1438" s="35"/>
      <x:c r="U1438" s="35"/>
      <x:c r="V1438" s="35"/>
      <x:c r="W1438" s="35"/>
      <x:c r="X1438" s="35"/>
      <x:c r="Y1438" s="35"/>
      <x:c r="Z1438" s="35"/>
      <x:c r="AA1438" s="35"/>
    </x:row>
    <x:row r="1439">
      <x:c r="A1439" s="136" t="str">
        <x:v>DrillCamp | Skirmish | Confederate Encampment</x:v>
      </x:c>
      <x:c r="B1439" s="136" t="str">
        <x:v>Gun | 3-inch Ordnance · Entity-1574 [map-66/029]</x:v>
      </x:c>
      <x:c r="C1439" s="136" t="str">
        <x:v>gun_spawn</x:v>
      </x:c>
      <x:c r="D1439" s="136" t="str"/>
      <x:c r="E1439" s="136" t="str">
        <x:v>3-inch Ordnance · Entity-1574</x:v>
      </x:c>
      <x:c r="F1439" s="137" t="n">
        <x:v>1524.2978515625</x:v>
      </x:c>
      <x:c r="G1439" s="137" t="n">
        <x:v>870.5098266601562</x:v>
      </x:c>
      <x:c r="H1439" s="137" t="n">
        <x:v>56.09233474731445</x:v>
      </x:c>
      <x:c r="I1439" s="137" t="n">
        <x:v>785.4835291167292</x:v>
      </x:c>
      <x:c r="J1439" s="137" t="n">
        <x:v>901.0352032238721</x:v>
      </x:c>
      <x:c r="K1439" s="136" t="str">
        <x:v>map-66</x:v>
      </x:c>
      <x:c r="L1439" s="136" t="str">
        <x:v>DrillCamp | Skirmish | Confederate Encampment||Gun | 3-inch Ordnance · Entity-1574 [map-66/029]</x:v>
      </x:c>
      <x:c r="M1439" s="35"/>
      <x:c r="N1439" s="35"/>
      <x:c r="O1439" s="35"/>
      <x:c r="P1439" s="35"/>
      <x:c r="Q1439" s="35"/>
      <x:c r="R1439" s="35"/>
      <x:c r="S1439" s="35"/>
      <x:c r="T1439" s="35"/>
      <x:c r="U1439" s="35"/>
      <x:c r="V1439" s="35"/>
      <x:c r="W1439" s="35"/>
      <x:c r="X1439" s="35"/>
      <x:c r="Y1439" s="35"/>
      <x:c r="Z1439" s="35"/>
      <x:c r="AA1439" s="35"/>
    </x:row>
    <x:row r="1440">
      <x:c r="A1440" s="136" t="str">
        <x:v>DrillCamp | Skirmish | Confederate Encampment</x:v>
      </x:c>
      <x:c r="B1440" s="136" t="str">
        <x:v>Gun | 12-pounder Napoleon (USA) · Entity-1567 [map-66/030]</x:v>
      </x:c>
      <x:c r="C1440" s="136" t="str">
        <x:v>gun_spawn</x:v>
      </x:c>
      <x:c r="D1440" s="136" t="str"/>
      <x:c r="E1440" s="136" t="str">
        <x:v>12-pounder Napoleon (USA) · Entity-1567</x:v>
      </x:c>
      <x:c r="F1440" s="137" t="n">
        <x:v>1752.865478515625</x:v>
      </x:c>
      <x:c r="G1440" s="137" t="n">
        <x:v>879.1551513671875</x:v>
      </x:c>
      <x:c r="H1440" s="137" t="n">
        <x:v>59.12035369873047</x:v>
      </x:c>
      <x:c r="I1440" s="137" t="n">
        <x:v>1203.7816295194862</x:v>
      </x:c>
      <x:c r="J1440" s="137" t="n">
        <x:v>885.5724777337718</x:v>
      </x:c>
      <x:c r="K1440" s="136" t="str">
        <x:v>map-66</x:v>
      </x:c>
      <x:c r="L1440" s="136" t="str">
        <x:v>DrillCamp | Skirmish | Confederate Encampment||Gun | 12-pounder Napoleon (USA) · Entity-1567 [map-66/030]</x:v>
      </x:c>
      <x:c r="M1440" s="35"/>
      <x:c r="N1440" s="35"/>
      <x:c r="O1440" s="35"/>
      <x:c r="P1440" s="35"/>
      <x:c r="Q1440" s="35"/>
      <x:c r="R1440" s="35"/>
      <x:c r="S1440" s="35"/>
      <x:c r="T1440" s="35"/>
      <x:c r="U1440" s="35"/>
      <x:c r="V1440" s="35"/>
      <x:c r="W1440" s="35"/>
      <x:c r="X1440" s="35"/>
      <x:c r="Y1440" s="35"/>
      <x:c r="Z1440" s="35"/>
      <x:c r="AA1440" s="35"/>
    </x:row>
    <x:row r="1441">
      <x:c r="A1441" s="136" t="str">
        <x:v>DrillCamp | Skirmish | Confederate Encampment</x:v>
      </x:c>
      <x:c r="B1441" s="136" t="str">
        <x:v>Gun | 10-pounder Parrott · Entity-1563 [map-66/031]</x:v>
      </x:c>
      <x:c r="C1441" s="136" t="str">
        <x:v>gun_spawn</x:v>
      </x:c>
      <x:c r="D1441" s="136" t="str"/>
      <x:c r="E1441" s="136" t="str">
        <x:v>10-pounder Parrott · Entity-1563</x:v>
      </x:c>
      <x:c r="F1441" s="137" t="n">
        <x:v>1795.8729248046875</x:v>
      </x:c>
      <x:c r="G1441" s="137" t="n">
        <x:v>872.2611083984375</x:v>
      </x:c>
      <x:c r="H1441" s="137" t="n">
        <x:v>59.81349563598633</x:v>
      </x:c>
      <x:c r="I1441" s="137" t="n">
        <x:v>1282.5167934153533</x:v>
      </x:c>
      <x:c r="J1441" s="137" t="n">
        <x:v>898.271704129639</x:v>
      </x:c>
      <x:c r="K1441" s="136" t="str">
        <x:v>map-66</x:v>
      </x:c>
      <x:c r="L1441" s="136" t="str">
        <x:v>DrillCamp | Skirmish | Confederate Encampment||Gun | 10-pounder Parrott · Entity-1563 [map-66/031]</x:v>
      </x:c>
      <x:c r="M1441" s="35"/>
      <x:c r="N1441" s="35"/>
      <x:c r="O1441" s="35"/>
      <x:c r="P1441" s="35"/>
      <x:c r="Q1441" s="35"/>
      <x:c r="R1441" s="35"/>
      <x:c r="S1441" s="35"/>
      <x:c r="T1441" s="35"/>
      <x:c r="U1441" s="35"/>
      <x:c r="V1441" s="35"/>
      <x:c r="W1441" s="35"/>
      <x:c r="X1441" s="35"/>
      <x:c r="Y1441" s="35"/>
      <x:c r="Z1441" s="35"/>
      <x:c r="AA1441" s="35"/>
    </x:row>
    <x:row r="1442">
      <x:c r="A1442" s="136" t="str">
        <x:v>DrillCamp | Skirmish | Confederate Encampment</x:v>
      </x:c>
      <x:c r="B1442" s="136" t="str">
        <x:v>Gun | 3-inch Ordnance · Entity-1575 [map-66/032]</x:v>
      </x:c>
      <x:c r="C1442" s="136" t="str">
        <x:v>gun_spawn</x:v>
      </x:c>
      <x:c r="D1442" s="136" t="str"/>
      <x:c r="E1442" s="136" t="str">
        <x:v>3-inch Ordnance · Entity-1575</x:v>
      </x:c>
      <x:c r="F1442" s="137" t="n">
        <x:v>1516.9334716796875</x:v>
      </x:c>
      <x:c r="G1442" s="137" t="n">
        <x:v>871.3004150390625</x:v>
      </x:c>
      <x:c r="H1442" s="137" t="n">
        <x:v>56.612796783447266</x:v>
      </x:c>
      <x:c r="I1442" s="137" t="n">
        <x:v>772.0025902653779</x:v>
      </x:c>
      <x:c r="J1442" s="137" t="n">
        <x:v>899.5749116939493</x:v>
      </x:c>
      <x:c r="K1442" s="136" t="str">
        <x:v>map-66</x:v>
      </x:c>
      <x:c r="L1442" s="136" t="str">
        <x:v>DrillCamp | Skirmish | Confederate Encampment||Gun | 3-inch Ordnance · Entity-1575 [map-66/032]</x:v>
      </x:c>
      <x:c r="M1442" s="35"/>
      <x:c r="N1442" s="35"/>
      <x:c r="O1442" s="35"/>
      <x:c r="P1442" s="35"/>
      <x:c r="Q1442" s="35"/>
      <x:c r="R1442" s="35"/>
      <x:c r="S1442" s="35"/>
      <x:c r="T1442" s="35"/>
      <x:c r="U1442" s="35"/>
      <x:c r="V1442" s="35"/>
      <x:c r="W1442" s="35"/>
      <x:c r="X1442" s="35"/>
      <x:c r="Y1442" s="35"/>
      <x:c r="Z1442" s="35"/>
      <x:c r="AA1442" s="35"/>
    </x:row>
    <x:row r="1443">
      <x:c r="A1443" s="136" t="str">
        <x:v>DrillCamp | Skirmish | Confederate Encampment</x:v>
      </x:c>
      <x:c r="B1443" s="136" t="str">
        <x:v>Gun | 12-pounder Napoleon (CSA) · Entity-1595 [map-66/033]</x:v>
      </x:c>
      <x:c r="C1443" s="136" t="str">
        <x:v>gun_spawn</x:v>
      </x:c>
      <x:c r="D1443" s="136" t="str"/>
      <x:c r="E1443" s="136" t="str">
        <x:v>12-pounder Napoleon (CSA) · Entity-1595</x:v>
      </x:c>
      <x:c r="F1443" s="137" t="n">
        <x:v>1698.225341796875</x:v>
      </x:c>
      <x:c r="G1443" s="137" t="n">
        <x:v>637.3262939453125</x:v>
      </x:c>
      <x:c r="H1443" s="137" t="n">
        <x:v>51.61786651611328</x:v>
      </x:c>
      <x:c r="I1443" s="137" t="n">
        <x:v>1104.5705543731556</x:v>
      </x:c>
      <x:c r="J1443" s="137" t="n">
        <x:v>1328.476134730298</x:v>
      </x:c>
      <x:c r="K1443" s="136" t="str">
        <x:v>map-66</x:v>
      </x:c>
      <x:c r="L1443" s="136" t="str">
        <x:v>DrillCamp | Skirmish | Confederate Encampment||Gun | 12-pounder Napoleon (CSA) · Entity-1595 [map-66/033]</x:v>
      </x:c>
      <x:c r="M1443" s="35"/>
      <x:c r="N1443" s="35"/>
      <x:c r="O1443" s="35"/>
      <x:c r="P1443" s="35"/>
      <x:c r="Q1443" s="35"/>
      <x:c r="R1443" s="35"/>
      <x:c r="S1443" s="35"/>
      <x:c r="T1443" s="35"/>
      <x:c r="U1443" s="35"/>
      <x:c r="V1443" s="35"/>
      <x:c r="W1443" s="35"/>
      <x:c r="X1443" s="35"/>
      <x:c r="Y1443" s="35"/>
      <x:c r="Z1443" s="35"/>
      <x:c r="AA1443" s="35"/>
    </x:row>
    <x:row r="1444">
      <x:c r="A1444" s="136" t="str">
        <x:v>DrillCamp | Skirmish | Confederate Encampment</x:v>
      </x:c>
      <x:c r="B1444" s="136" t="str">
        <x:v>Gun | 12-pounder Napoleon (CSA) · Entity-1596 [map-66/034]</x:v>
      </x:c>
      <x:c r="C1444" s="136" t="str">
        <x:v>gun_spawn</x:v>
      </x:c>
      <x:c r="D1444" s="136" t="str"/>
      <x:c r="E1444" s="136" t="str">
        <x:v>12-pounder Napoleon (CSA) · Entity-1596</x:v>
      </x:c>
      <x:c r="F1444" s="137" t="n">
        <x:v>1690.5625</x:v>
      </x:c>
      <x:c r="G1444" s="137" t="n">
        <x:v>636.2268676757812</x:v>
      </x:c>
      <x:c r="H1444" s="137" t="n">
        <x:v>51.499305725097656</x:v>
      </x:c>
      <x:c r="I1444" s="137" t="n">
        <x:v>1090.5495560483573</x:v>
      </x:c>
      <x:c r="J1444" s="137" t="n">
        <x:v>1330.4775694412144</x:v>
      </x:c>
      <x:c r="K1444" s="136" t="str">
        <x:v>map-66</x:v>
      </x:c>
      <x:c r="L1444" s="136" t="str">
        <x:v>DrillCamp | Skirmish | Confederate Encampment||Gun | 12-pounder Napoleon (CSA) · Entity-1596 [map-66/034]</x:v>
      </x:c>
      <x:c r="M1444" s="35"/>
      <x:c r="N1444" s="35"/>
      <x:c r="O1444" s="35"/>
      <x:c r="P1444" s="35"/>
      <x:c r="Q1444" s="35"/>
      <x:c r="R1444" s="35"/>
      <x:c r="S1444" s="35"/>
      <x:c r="T1444" s="35"/>
      <x:c r="U1444" s="35"/>
      <x:c r="V1444" s="35"/>
      <x:c r="W1444" s="35"/>
      <x:c r="X1444" s="35"/>
      <x:c r="Y1444" s="35"/>
      <x:c r="Z1444" s="35"/>
      <x:c r="AA1444" s="35"/>
    </x:row>
    <x:row r="1445">
      <x:c r="A1445" s="136" t="str">
        <x:v>DrillCamp | Skirmish | Confederate Encampment</x:v>
      </x:c>
      <x:c r="B1445" s="136" t="str">
        <x:v>Gun | 3-inch Ordnance · Entity-1591 [map-66/035]</x:v>
      </x:c>
      <x:c r="C1445" s="136" t="str">
        <x:v>gun_spawn</x:v>
      </x:c>
      <x:c r="D1445" s="136" t="str"/>
      <x:c r="E1445" s="136" t="str">
        <x:v>3-inch Ordnance · Entity-1591</x:v>
      </x:c>
      <x:c r="F1445" s="137" t="n">
        <x:v>1705.6890869140625</x:v>
      </x:c>
      <x:c r="G1445" s="137" t="n">
        <x:v>638.2110595703125</x:v>
      </x:c>
      <x:c r="H1445" s="137" t="n">
        <x:v>51.66310501098633</x:v>
      </x:c>
      <x:c r="I1445" s="137" t="n">
        <x:v>1118.2278670841902</x:v>
      </x:c>
      <x:c r="J1445" s="137" t="n">
        <x:v>1326.8675992270473</x:v>
      </x:c>
      <x:c r="K1445" s="136" t="str">
        <x:v>map-66</x:v>
      </x:c>
      <x:c r="L1445" s="136" t="str">
        <x:v>DrillCamp | Skirmish | Confederate Encampment||Gun | 3-inch Ordnance · Entity-1591 [map-66/035]</x:v>
      </x:c>
      <x:c r="M1445" s="35"/>
      <x:c r="N1445" s="35"/>
      <x:c r="O1445" s="35"/>
      <x:c r="P1445" s="35"/>
      <x:c r="Q1445" s="35"/>
      <x:c r="R1445" s="35"/>
      <x:c r="S1445" s="35"/>
      <x:c r="T1445" s="35"/>
      <x:c r="U1445" s="35"/>
      <x:c r="V1445" s="35"/>
      <x:c r="W1445" s="35"/>
      <x:c r="X1445" s="35"/>
      <x:c r="Y1445" s="35"/>
      <x:c r="Z1445" s="35"/>
      <x:c r="AA1445" s="35"/>
    </x:row>
    <x:row r="1446">
      <x:c r="A1446" s="136" t="str">
        <x:v>DrillCamp | Skirmish | Confederate Encampment</x:v>
      </x:c>
      <x:c r="B1446" s="136" t="str">
        <x:v>Gun | 10-pounder Parrott · Entity-1564 [map-66/036]</x:v>
      </x:c>
      <x:c r="C1446" s="136" t="str">
        <x:v>gun_spawn</x:v>
      </x:c>
      <x:c r="D1446" s="136" t="str"/>
      <x:c r="E1446" s="136" t="str">
        <x:v>10-pounder Parrott · Entity-1564</x:v>
      </x:c>
      <x:c r="F1446" s="137" t="n">
        <x:v>1779.869384765625</x:v>
      </x:c>
      <x:c r="G1446" s="137" t="n">
        <x:v>874.8900146484375</x:v>
      </x:c>
      <x:c r="H1446" s="137" t="n">
        <x:v>59.82189178466797</x:v>
      </x:c>
      <x:c r="I1446" s="137" t="n">
        <x:v>1253.218371720087</x:v>
      </x:c>
      <x:c r="J1446" s="137" t="n">
        <x:v>893.4297556486586</x:v>
      </x:c>
      <x:c r="K1446" s="136" t="str">
        <x:v>map-66</x:v>
      </x:c>
      <x:c r="L1446" s="136" t="str">
        <x:v>DrillCamp | Skirmish | Confederate Encampment||Gun | 10-pounder Parrott · Entity-1564 [map-66/036]</x:v>
      </x:c>
      <x:c r="M1446" s="35"/>
      <x:c r="N1446" s="35"/>
      <x:c r="O1446" s="35"/>
      <x:c r="P1446" s="35"/>
      <x:c r="Q1446" s="35"/>
      <x:c r="R1446" s="35"/>
      <x:c r="S1446" s="35"/>
      <x:c r="T1446" s="35"/>
      <x:c r="U1446" s="35"/>
      <x:c r="V1446" s="35"/>
      <x:c r="W1446" s="35"/>
      <x:c r="X1446" s="35"/>
      <x:c r="Y1446" s="35"/>
      <x:c r="Z1446" s="35"/>
      <x:c r="AA1446" s="35"/>
    </x:row>
    <x:row r="1447">
      <x:c r="A1447" s="136" t="str">
        <x:v>DrillCamp | Skirmish | Confederate Encampment</x:v>
      </x:c>
      <x:c r="B1447" s="136" t="str">
        <x:v>Gun | 12-pounder Napoleon (CSA) · Entity-1589 [map-66/037]</x:v>
      </x:c>
      <x:c r="C1447" s="136" t="str">
        <x:v>gun_spawn</x:v>
      </x:c>
      <x:c r="D1447" s="136" t="str"/>
      <x:c r="E1447" s="136" t="str">
        <x:v>12-pounder Napoleon (CSA) · Entity-1589</x:v>
      </x:c>
      <x:c r="F1447" s="137" t="n">
        <x:v>1720.2310791015625</x:v>
      </x:c>
      <x:c r="G1447" s="137" t="n">
        <x:v>640.7303466796875</x:v>
      </x:c>
      <x:c r="H1447" s="137" t="n">
        <x:v>51.66268539428711</x:v>
      </x:c>
      <x:c r="I1447" s="137" t="n">
        <x:v>1144.8344959609713</x:v>
      </x:c>
      <x:c r="J1447" s="137" t="n">
        <x:v>1322.2764602466857</x:v>
      </x:c>
      <x:c r="K1447" s="136" t="str">
        <x:v>map-66</x:v>
      </x:c>
      <x:c r="L1447" s="136" t="str">
        <x:v>DrillCamp | Skirmish | Confederate Encampment||Gun | 12-pounder Napoleon (CSA) · Entity-1589 [map-66/037]</x:v>
      </x:c>
      <x:c r="M1447" s="35"/>
      <x:c r="N1447" s="35"/>
      <x:c r="O1447" s="35"/>
      <x:c r="P1447" s="35"/>
      <x:c r="Q1447" s="35"/>
      <x:c r="R1447" s="35"/>
      <x:c r="S1447" s="35"/>
      <x:c r="T1447" s="35"/>
      <x:c r="U1447" s="35"/>
      <x:c r="V1447" s="35"/>
      <x:c r="W1447" s="35"/>
      <x:c r="X1447" s="35"/>
      <x:c r="Y1447" s="35"/>
      <x:c r="Z1447" s="35"/>
      <x:c r="AA1447" s="35"/>
    </x:row>
    <x:row r="1448">
      <x:c r="A1448" s="136" t="str">
        <x:v>DrillCamp | Skirmish | Confederate Encampment</x:v>
      </x:c>
      <x:c r="B1448" s="136" t="str">
        <x:v>Gun | 12-pounder Napoleon (USA) · Entity-1566 [map-66/038]</x:v>
      </x:c>
      <x:c r="C1448" s="136" t="str">
        <x:v>gun_spawn</x:v>
      </x:c>
      <x:c r="D1448" s="136" t="str"/>
      <x:c r="E1448" s="136" t="str">
        <x:v>12-pounder Napoleon (USA) · Entity-1566</x:v>
      </x:c>
      <x:c r="F1448" s="137" t="n">
        <x:v>1771.7872314453125</x:v>
      </x:c>
      <x:c r="G1448" s="137" t="n">
        <x:v>876.0671997070312</x:v>
      </x:c>
      <x:c r="H1448" s="137" t="n">
        <x:v>59.60539245605469</x:v>
      </x:c>
      <x:c r="I1448" s="137" t="n">
        <x:v>1238.4224921007087</x:v>
      </x:c>
      <x:c r="J1448" s="137" t="n">
        <x:v>891.2601037078514</x:v>
      </x:c>
      <x:c r="K1448" s="136" t="str">
        <x:v>map-66</x:v>
      </x:c>
      <x:c r="L1448" s="136" t="str">
        <x:v>DrillCamp | Skirmish | Confederate Encampment||Gun | 12-pounder Napoleon (USA) · Entity-1566 [map-66/038]</x:v>
      </x:c>
      <x:c r="M1448" s="35"/>
      <x:c r="N1448" s="35"/>
      <x:c r="O1448" s="35"/>
      <x:c r="P1448" s="35"/>
      <x:c r="Q1448" s="35"/>
      <x:c r="R1448" s="35"/>
      <x:c r="S1448" s="35"/>
      <x:c r="T1448" s="35"/>
      <x:c r="U1448" s="35"/>
      <x:c r="V1448" s="35"/>
      <x:c r="W1448" s="35"/>
      <x:c r="X1448" s="35"/>
      <x:c r="Y1448" s="35"/>
      <x:c r="Z1448" s="35"/>
      <x:c r="AA1448" s="35"/>
    </x:row>
    <x:row r="1449">
      <x:c r="A1449" s="136" t="str">
        <x:v>HarpersFerry | Conquest | River Town</x:v>
      </x:c>
      <x:c r="B1449" s="136" t="str">
        <x:v>Spawn | USA CQ1_Spawnpoint_USA_Infantry_1 [map-67/001]</x:v>
      </x:c>
      <x:c r="C1449" s="136" t="str">
        <x:v>spawn</x:v>
      </x:c>
      <x:c r="D1449" s="136" t="str">
        <x:v>USA</x:v>
      </x:c>
      <x:c r="E1449" s="136" t="str">
        <x:v>CQ1_Spawnpoint_USA_Infantry_1</x:v>
      </x:c>
      <x:c r="F1449" s="137" t="n">
        <x:v>2427.288818359375</x:v>
      </x:c>
      <x:c r="G1449" s="137" t="n">
        <x:v>1808.043701171875</x:v>
      </x:c>
      <x:c r="H1449" s="137" t="n">
        <x:v>87.57367706298828</x:v>
      </x:c>
      <x:c r="I1449" s="137" t="n">
        <x:v>1407.4030876245042</x:v>
      </x:c>
      <x:c r="J1449" s="137" t="n">
        <x:v>1373.9621930740482</x:v>
      </x:c>
      <x:c r="K1449" s="136" t="str">
        <x:v>map-67</x:v>
      </x:c>
      <x:c r="L1449" s="136" t="str">
        <x:v>HarpersFerry | Conquest | River Town||Spawn | USA CQ1_Spawnpoint_USA_Infantry_1 [map-67/001]</x:v>
      </x:c>
      <x:c r="M1449" s="35"/>
      <x:c r="N1449" s="35"/>
      <x:c r="O1449" s="35"/>
      <x:c r="P1449" s="35"/>
      <x:c r="Q1449" s="35"/>
      <x:c r="R1449" s="35"/>
      <x:c r="S1449" s="35"/>
      <x:c r="T1449" s="35"/>
      <x:c r="U1449" s="35"/>
      <x:c r="V1449" s="35"/>
      <x:c r="W1449" s="35"/>
      <x:c r="X1449" s="35"/>
      <x:c r="Y1449" s="35"/>
      <x:c r="Z1449" s="35"/>
      <x:c r="AA1449" s="35"/>
    </x:row>
    <x:row r="1450">
      <x:c r="A1450" s="136" t="str">
        <x:v>HarpersFerry | Conquest | River Town</x:v>
      </x:c>
      <x:c r="B1450" s="136" t="str">
        <x:v>Spawn | CSA CQ1_Spawnpoint_CSA_Cavalry_0 [map-67/002]</x:v>
      </x:c>
      <x:c r="C1450" s="136" t="str">
        <x:v>spawn</x:v>
      </x:c>
      <x:c r="D1450" s="136" t="str">
        <x:v>CSA</x:v>
      </x:c>
      <x:c r="E1450" s="136" t="str">
        <x:v>CQ1_Spawnpoint_CSA_Cavalry_0</x:v>
      </x:c>
      <x:c r="F1450" s="137" t="n">
        <x:v>1800.9600830078125</x:v>
      </x:c>
      <x:c r="G1450" s="137" t="n">
        <x:v>2006.18798828125</x:v>
      </x:c>
      <x:c r="H1450" s="137" t="n">
        <x:v>130.18190002441406</x:v>
      </x:c>
      <x:c r="I1450" s="137" t="n">
        <x:v>41.352768880540346</x:v>
      </x:c>
      <x:c r="J1450" s="137" t="n">
        <x:v>941.8008514566538</x:v>
      </x:c>
      <x:c r="K1450" s="136" t="str">
        <x:v>map-67</x:v>
      </x:c>
      <x:c r="L1450" s="136" t="str">
        <x:v>HarpersFerry | Conquest | River Town||Spawn | CSA CQ1_Spawnpoint_CSA_Cavalry_0 [map-67/002]</x:v>
      </x:c>
      <x:c r="M1450" s="35"/>
      <x:c r="N1450" s="35"/>
      <x:c r="O1450" s="35"/>
      <x:c r="P1450" s="35"/>
      <x:c r="Q1450" s="35"/>
      <x:c r="R1450" s="35"/>
      <x:c r="S1450" s="35"/>
      <x:c r="T1450" s="35"/>
      <x:c r="U1450" s="35"/>
      <x:c r="V1450" s="35"/>
      <x:c r="W1450" s="35"/>
      <x:c r="X1450" s="35"/>
      <x:c r="Y1450" s="35"/>
      <x:c r="Z1450" s="35"/>
      <x:c r="AA1450" s="35"/>
    </x:row>
    <x:row r="1451">
      <x:c r="A1451" s="136" t="str">
        <x:v>HarpersFerry | Conquest | River Town</x:v>
      </x:c>
      <x:c r="B1451" s="136" t="str">
        <x:v>Spawn | CSA CQ1_Spawnpoint_CSA_Infantry_2 [map-67/003]</x:v>
      </x:c>
      <x:c r="C1451" s="136" t="str">
        <x:v>spawn</x:v>
      </x:c>
      <x:c r="D1451" s="136" t="str">
        <x:v>CSA</x:v>
      </x:c>
      <x:c r="E1451" s="136" t="str">
        <x:v>CQ1_Spawnpoint_CSA_Infantry_2</x:v>
      </x:c>
      <x:c r="F1451" s="137" t="n">
        <x:v>2406.6015625</x:v>
      </x:c>
      <x:c r="G1451" s="137" t="n">
        <x:v>2008.2088623046875</x:v>
      </x:c>
      <x:c r="H1451" s="137" t="n">
        <x:v>93.07270050048828</x:v>
      </x:c>
      <x:c r="I1451" s="137" t="n">
        <x:v>1362.2832793423972</x:v>
      </x:c>
      <x:c r="J1451" s="137" t="n">
        <x:v>937.393236975564</x:v>
      </x:c>
      <x:c r="K1451" s="136" t="str">
        <x:v>map-67</x:v>
      </x:c>
      <x:c r="L1451" s="136" t="str">
        <x:v>HarpersFerry | Conquest | River Town||Spawn | CSA CQ1_Spawnpoint_CSA_Infantry_2 [map-67/003]</x:v>
      </x:c>
      <x:c r="M1451" s="35"/>
      <x:c r="N1451" s="35"/>
      <x:c r="O1451" s="35"/>
      <x:c r="P1451" s="35"/>
      <x:c r="Q1451" s="35"/>
      <x:c r="R1451" s="35"/>
      <x:c r="S1451" s="35"/>
      <x:c r="T1451" s="35"/>
      <x:c r="U1451" s="35"/>
      <x:c r="V1451" s="35"/>
      <x:c r="W1451" s="35"/>
      <x:c r="X1451" s="35"/>
      <x:c r="Y1451" s="35"/>
      <x:c r="Z1451" s="35"/>
      <x:c r="AA1451" s="35"/>
    </x:row>
    <x:row r="1452">
      <x:c r="A1452" s="136" t="str">
        <x:v>HarpersFerry | Conquest | River Town</x:v>
      </x:c>
      <x:c r="B1452" s="136" t="str">
        <x:v>Spawn | USA CQ1_Spawnpoint_USA_Infantry_2 [map-67/004]</x:v>
      </x:c>
      <x:c r="C1452" s="136" t="str">
        <x:v>spawn</x:v>
      </x:c>
      <x:c r="D1452" s="136" t="str">
        <x:v>USA</x:v>
      </x:c>
      <x:c r="E1452" s="136" t="str">
        <x:v>CQ1_Spawnpoint_USA_Infantry_2</x:v>
      </x:c>
      <x:c r="F1452" s="137" t="n">
        <x:v>2394.581787109375</x:v>
      </x:c>
      <x:c r="G1452" s="137" t="n">
        <x:v>1802.253662109375</x:v>
      </x:c>
      <x:c r="H1452" s="137" t="n">
        <x:v>87.9604263305664</x:v>
      </x:c>
      <x:c r="I1452" s="137" t="n">
        <x:v>1336.0676244046147</x:v>
      </x:c>
      <x:c r="J1452" s="137" t="n">
        <x:v>1386.590521075682</x:v>
      </x:c>
      <x:c r="K1452" s="136" t="str">
        <x:v>map-67</x:v>
      </x:c>
      <x:c r="L1452" s="136" t="str">
        <x:v>HarpersFerry | Conquest | River Town||Spawn | USA CQ1_Spawnpoint_USA_Infantry_2 [map-67/004]</x:v>
      </x:c>
      <x:c r="M1452" s="35"/>
      <x:c r="N1452" s="35"/>
      <x:c r="O1452" s="35"/>
      <x:c r="P1452" s="35"/>
      <x:c r="Q1452" s="35"/>
      <x:c r="R1452" s="35"/>
      <x:c r="S1452" s="35"/>
      <x:c r="T1452" s="35"/>
      <x:c r="U1452" s="35"/>
      <x:c r="V1452" s="35"/>
      <x:c r="W1452" s="35"/>
      <x:c r="X1452" s="35"/>
      <x:c r="Y1452" s="35"/>
      <x:c r="Z1452" s="35"/>
      <x:c r="AA1452" s="35"/>
    </x:row>
    <x:row r="1453">
      <x:c r="A1453" s="136" t="str">
        <x:v>HarpersFerry | Conquest | River Town</x:v>
      </x:c>
      <x:c r="B1453" s="136" t="str">
        <x:v>Objective | Victory_Conquest_1 [map-67/005]</x:v>
      </x:c>
      <x:c r="C1453" s="136" t="str">
        <x:v>objective</x:v>
      </x:c>
      <x:c r="D1453" s="136" t="str"/>
      <x:c r="E1453" s="136" t="str">
        <x:v>Victory_Conquest_1</x:v>
      </x:c>
      <x:c r="F1453" s="137" t="n">
        <x:v>1960.7386474609375</x:v>
      </x:c>
      <x:c r="G1453" s="137" t="n">
        <x:v>2021.493408203125</x:v>
      </x:c>
      <x:c r="H1453" s="137" t="n">
        <x:v>143.3253631591797</x:v>
      </x:c>
      <x:c r="I1453" s="137" t="n">
        <x:v>389.83679424963105</x:v>
      </x:c>
      <x:c r="J1453" s="137" t="n">
        <x:v>908.4190623374755</x:v>
      </x:c>
      <x:c r="K1453" s="136" t="str">
        <x:v>map-67</x:v>
      </x:c>
      <x:c r="L1453" s="136" t="str">
        <x:v>HarpersFerry | Conquest | River Town||Objective | Victory_Conquest_1 [map-67/005]</x:v>
      </x:c>
      <x:c r="M1453" s="35"/>
      <x:c r="N1453" s="35"/>
      <x:c r="O1453" s="35"/>
      <x:c r="P1453" s="35"/>
      <x:c r="Q1453" s="35"/>
      <x:c r="R1453" s="35"/>
      <x:c r="S1453" s="35"/>
      <x:c r="T1453" s="35"/>
      <x:c r="U1453" s="35"/>
      <x:c r="V1453" s="35"/>
      <x:c r="W1453" s="35"/>
      <x:c r="X1453" s="35"/>
      <x:c r="Y1453" s="35"/>
      <x:c r="Z1453" s="35"/>
      <x:c r="AA1453" s="35"/>
    </x:row>
    <x:row r="1454">
      <x:c r="A1454" s="136" t="str">
        <x:v>HarpersFerry | Conquest | River Town</x:v>
      </x:c>
      <x:c r="B1454" s="136" t="str">
        <x:v>Spawn | CSA CQ1_Spawnpoint_CSA_Infantry_1 [map-67/006]</x:v>
      </x:c>
      <x:c r="C1454" s="136" t="str">
        <x:v>spawn</x:v>
      </x:c>
      <x:c r="D1454" s="136" t="str">
        <x:v>CSA</x:v>
      </x:c>
      <x:c r="E1454" s="136" t="str">
        <x:v>CQ1_Spawnpoint_CSA_Infantry_1</x:v>
      </x:c>
      <x:c r="F1454" s="137" t="n">
        <x:v>2428.505615234375</x:v>
      </x:c>
      <x:c r="G1454" s="137" t="n">
        <x:v>1990.69140625</x:v>
      </x:c>
      <x:c r="H1454" s="137" t="n">
        <x:v>92.16999053955078</x:v>
      </x:c>
      <x:c r="I1454" s="137" t="n">
        <x:v>1410.0569747370082</x:v>
      </x:c>
      <x:c r="J1454" s="137" t="n">
        <x:v>975.5995734829531</x:v>
      </x:c>
      <x:c r="K1454" s="136" t="str">
        <x:v>map-67</x:v>
      </x:c>
      <x:c r="L1454" s="136" t="str">
        <x:v>HarpersFerry | Conquest | River Town||Spawn | CSA CQ1_Spawnpoint_CSA_Infantry_1 [map-67/006]</x:v>
      </x:c>
      <x:c r="M1454" s="35"/>
      <x:c r="N1454" s="35"/>
      <x:c r="O1454" s="35"/>
      <x:c r="P1454" s="35"/>
      <x:c r="Q1454" s="35"/>
      <x:c r="R1454" s="35"/>
      <x:c r="S1454" s="35"/>
      <x:c r="T1454" s="35"/>
      <x:c r="U1454" s="35"/>
      <x:c r="V1454" s="35"/>
      <x:c r="W1454" s="35"/>
      <x:c r="X1454" s="35"/>
      <x:c r="Y1454" s="35"/>
      <x:c r="Z1454" s="35"/>
      <x:c r="AA1454" s="35"/>
    </x:row>
    <x:row r="1455">
      <x:c r="A1455" s="136" t="str">
        <x:v>HarpersFerry | Conquest | River Town</x:v>
      </x:c>
      <x:c r="B1455" s="136" t="str">
        <x:v>Spawn | USA CQ1_Spawnpoint_USA_Infantry_0 [map-67/007]</x:v>
      </x:c>
      <x:c r="C1455" s="136" t="str">
        <x:v>spawn</x:v>
      </x:c>
      <x:c r="D1455" s="136" t="str">
        <x:v>USA</x:v>
      </x:c>
      <x:c r="E1455" s="136" t="str">
        <x:v>CQ1_Spawnpoint_USA_Infantry_0</x:v>
      </x:c>
      <x:c r="F1455" s="137" t="n">
        <x:v>2457.482177734375</x:v>
      </x:c>
      <x:c r="G1455" s="137" t="n">
        <x:v>1814.439697265625</x:v>
      </x:c>
      <x:c r="H1455" s="137" t="n">
        <x:v>87.58497619628906</x:v>
      </x:c>
      <x:c r="I1455" s="137" t="n">
        <x:v>1473.2561227323672</x:v>
      </x:c>
      <x:c r="J1455" s="137" t="n">
        <x:v>1360.0122463297907</x:v>
      </x:c>
      <x:c r="K1455" s="136" t="str">
        <x:v>map-67</x:v>
      </x:c>
      <x:c r="L1455" s="136" t="str">
        <x:v>HarpersFerry | Conquest | River Town||Spawn | USA CQ1_Spawnpoint_USA_Infantry_0 [map-67/007]</x:v>
      </x:c>
      <x:c r="M1455" s="35"/>
      <x:c r="N1455" s="35"/>
      <x:c r="O1455" s="35"/>
      <x:c r="P1455" s="35"/>
      <x:c r="Q1455" s="35"/>
      <x:c r="R1455" s="35"/>
      <x:c r="S1455" s="35"/>
      <x:c r="T1455" s="35"/>
      <x:c r="U1455" s="35"/>
      <x:c r="V1455" s="35"/>
      <x:c r="W1455" s="35"/>
      <x:c r="X1455" s="35"/>
      <x:c r="Y1455" s="35"/>
      <x:c r="Z1455" s="35"/>
      <x:c r="AA1455" s="35"/>
    </x:row>
    <x:row r="1456">
      <x:c r="A1456" s="136" t="str">
        <x:v>HarpersFerry | Conquest | River Town</x:v>
      </x:c>
      <x:c r="B1456" s="136" t="str">
        <x:v>Spawn | CSA CQ1_Spawnpoint_CSA_Infantry_0 [map-67/008]</x:v>
      </x:c>
      <x:c r="C1456" s="136" t="str">
        <x:v>spawn</x:v>
      </x:c>
      <x:c r="D1456" s="136" t="str">
        <x:v>CSA</x:v>
      </x:c>
      <x:c r="E1456" s="136" t="str">
        <x:v>CQ1_Spawnpoint_CSA_Infantry_0</x:v>
      </x:c>
      <x:c r="F1456" s="137" t="n">
        <x:v>2451.0810546875</x:v>
      </x:c>
      <x:c r="G1456" s="137" t="n">
        <x:v>1973.42529296875</x:v>
      </x:c>
      <x:c r="H1456" s="137" t="n">
        <x:v>91.41631317138672</x:v>
      </x:c>
      <x:c r="I1456" s="137" t="n">
        <x:v>1459.2949938794898</x:v>
      </x:c>
      <x:c r="J1456" s="137" t="n">
        <x:v>1013.2577204272759</x:v>
      </x:c>
      <x:c r="K1456" s="136" t="str">
        <x:v>map-67</x:v>
      </x:c>
      <x:c r="L1456" s="136" t="str">
        <x:v>HarpersFerry | Conquest | River Town||Spawn | CSA CQ1_Spawnpoint_CSA_Infantry_0 [map-67/008]</x:v>
      </x:c>
      <x:c r="M1456" s="35"/>
      <x:c r="N1456" s="35"/>
      <x:c r="O1456" s="35"/>
      <x:c r="P1456" s="35"/>
      <x:c r="Q1456" s="35"/>
      <x:c r="R1456" s="35"/>
      <x:c r="S1456" s="35"/>
      <x:c r="T1456" s="35"/>
      <x:c r="U1456" s="35"/>
      <x:c r="V1456" s="35"/>
      <x:c r="W1456" s="35"/>
      <x:c r="X1456" s="35"/>
      <x:c r="Y1456" s="35"/>
      <x:c r="Z1456" s="35"/>
      <x:c r="AA1456" s="35"/>
    </x:row>
    <x:row r="1457">
      <x:c r="A1457" s="136" t="str">
        <x:v>HarpersFerry | Conquest | Outskirts</x:v>
      </x:c>
      <x:c r="B1457" s="136" t="str">
        <x:v>Spawn | USA CQ2_Spawnpoint_USA_Infantry_2 [map-68/001]</x:v>
      </x:c>
      <x:c r="C1457" s="136" t="str">
        <x:v>spawn</x:v>
      </x:c>
      <x:c r="D1457" s="136" t="str">
        <x:v>USA</x:v>
      </x:c>
      <x:c r="E1457" s="136" t="str">
        <x:v>CQ2_Spawnpoint_USA_Infantry_2</x:v>
      </x:c>
      <x:c r="F1457" s="137" t="n">
        <x:v>896.4703979492188</x:v>
      </x:c>
      <x:c r="G1457" s="137" t="n">
        <x:v>2123.427734375</x:v>
      </x:c>
      <x:c r="H1457" s="137" t="n">
        <x:v>164.86671447753906</x:v>
      </x:c>
      <x:c r="I1457" s="137" t="n">
        <x:v>765.9956036121673</x:v>
      </x:c>
      <x:c r="J1457" s="137" t="n">
        <x:v>700.0585220055078</x:v>
      </x:c>
      <x:c r="K1457" s="136" t="str">
        <x:v>map-68</x:v>
      </x:c>
      <x:c r="L1457" s="136" t="str">
        <x:v>HarpersFerry | Conquest | Outskirts||Spawn | USA CQ2_Spawnpoint_USA_Infantry_2 [map-68/001]</x:v>
      </x:c>
      <x:c r="M1457" s="35"/>
      <x:c r="N1457" s="35"/>
      <x:c r="O1457" s="35"/>
      <x:c r="P1457" s="35"/>
      <x:c r="Q1457" s="35"/>
      <x:c r="R1457" s="35"/>
      <x:c r="S1457" s="35"/>
      <x:c r="T1457" s="35"/>
      <x:c r="U1457" s="35"/>
      <x:c r="V1457" s="35"/>
      <x:c r="W1457" s="35"/>
      <x:c r="X1457" s="35"/>
      <x:c r="Y1457" s="35"/>
      <x:c r="Z1457" s="35"/>
      <x:c r="AA1457" s="35"/>
    </x:row>
    <x:row r="1458">
      <x:c r="A1458" s="136" t="str">
        <x:v>HarpersFerry | Conquest | Outskirts</x:v>
      </x:c>
      <x:c r="B1458" s="136" t="str">
        <x:v>Spawn | USA CQ2_Spawnpoint_USA_Infantry_1 [map-68/002]</x:v>
      </x:c>
      <x:c r="C1458" s="136" t="str">
        <x:v>spawn</x:v>
      </x:c>
      <x:c r="D1458" s="136" t="str">
        <x:v>USA</x:v>
      </x:c>
      <x:c r="E1458" s="136" t="str">
        <x:v>CQ2_Spawnpoint_USA_Infantry_1</x:v>
      </x:c>
      <x:c r="F1458" s="137" t="n">
        <x:v>897.8070678710938</x:v>
      </x:c>
      <x:c r="G1458" s="137" t="n">
        <x:v>2140.7919921875</x:v>
      </x:c>
      <x:c r="H1458" s="137" t="n">
        <x:v>166.81158447265625</x:v>
      </x:c>
      <x:c r="I1458" s="137" t="n">
        <x:v>768.5977899239543</x:v>
      </x:c>
      <x:c r="J1458" s="137" t="n">
        <x:v>666.4992220494236</x:v>
      </x:c>
      <x:c r="K1458" s="136" t="str">
        <x:v>map-68</x:v>
      </x:c>
      <x:c r="L1458" s="136" t="str">
        <x:v>HarpersFerry | Conquest | Outskirts||Spawn | USA CQ2_Spawnpoint_USA_Infantry_1 [map-68/002]</x:v>
      </x:c>
      <x:c r="M1458" s="35"/>
      <x:c r="N1458" s="35"/>
      <x:c r="O1458" s="35"/>
      <x:c r="P1458" s="35"/>
      <x:c r="Q1458" s="35"/>
      <x:c r="R1458" s="35"/>
      <x:c r="S1458" s="35"/>
      <x:c r="T1458" s="35"/>
      <x:c r="U1458" s="35"/>
      <x:c r="V1458" s="35"/>
      <x:c r="W1458" s="35"/>
      <x:c r="X1458" s="35"/>
      <x:c r="Y1458" s="35"/>
      <x:c r="Z1458" s="35"/>
      <x:c r="AA1458" s="35"/>
    </x:row>
    <x:row r="1459">
      <x:c r="A1459" s="136" t="str">
        <x:v>HarpersFerry | Conquest | Outskirts</x:v>
      </x:c>
      <x:c r="B1459" s="136" t="str">
        <x:v>Artillery | USA CQ2_Spawnpoint_USA_Artillery_Staging [map-68/003]</x:v>
      </x:c>
      <x:c r="C1459" s="136" t="str">
        <x:v>battery</x:v>
      </x:c>
      <x:c r="D1459" s="136" t="str">
        <x:v>USA</x:v>
      </x:c>
      <x:c r="E1459" s="136" t="str">
        <x:v>CQ2_Spawnpoint_USA_Artillery_Staging</x:v>
      </x:c>
      <x:c r="F1459" s="137" t="n">
        <x:v>882.7863159179688</x:v>
      </x:c>
      <x:c r="G1459" s="137" t="n">
        <x:v>2130.130126953125</x:v>
      </x:c>
      <x:c r="H1459" s="137" t="n">
        <x:v>167.51023864746094</x:v>
      </x:c>
      <x:c r="I1459" s="137" t="n">
        <x:v>739.3558697718631</x:v>
      </x:c>
      <x:c r="J1459" s="137" t="n">
        <x:v>684.5035470398903</x:v>
      </x:c>
      <x:c r="K1459" s="136" t="str">
        <x:v>map-68</x:v>
      </x:c>
      <x:c r="L1459" s="136" t="str">
        <x:v>HarpersFerry | Conquest | Outskirts||Artillery | USA CQ2_Spawnpoint_USA_Artillery_Staging [map-68/003]</x:v>
      </x:c>
      <x:c r="M1459" s="35"/>
      <x:c r="N1459" s="35"/>
      <x:c r="O1459" s="35"/>
      <x:c r="P1459" s="35"/>
      <x:c r="Q1459" s="35"/>
      <x:c r="R1459" s="35"/>
      <x:c r="S1459" s="35"/>
      <x:c r="T1459" s="35"/>
      <x:c r="U1459" s="35"/>
      <x:c r="V1459" s="35"/>
      <x:c r="W1459" s="35"/>
      <x:c r="X1459" s="35"/>
      <x:c r="Y1459" s="35"/>
      <x:c r="Z1459" s="35"/>
      <x:c r="AA1459" s="35"/>
    </x:row>
    <x:row r="1460">
      <x:c r="A1460" s="136" t="str">
        <x:v>HarpersFerry | Conquest | Outskirts</x:v>
      </x:c>
      <x:c r="B1460" s="136" t="str">
        <x:v>Spawn | CSA CQ2_Spawnpoint_CSA_Cavalry_0 [map-68/004]</x:v>
      </x:c>
      <x:c r="C1460" s="136" t="str">
        <x:v>spawn</x:v>
      </x:c>
      <x:c r="D1460" s="136" t="str">
        <x:v>CSA</x:v>
      </x:c>
      <x:c r="E1460" s="136" t="str">
        <x:v>CQ2_Spawnpoint_CSA_Cavalry_0</x:v>
      </x:c>
      <x:c r="F1460" s="137" t="n">
        <x:v>1118.080322265625</x:v>
      </x:c>
      <x:c r="G1460" s="137" t="n">
        <x:v>1542.040771484375</x:v>
      </x:c>
      <x:c r="H1460" s="137" t="n">
        <x:v>133.88690185546875</x:v>
      </x:c>
      <x:c r="I1460" s="137" t="n">
        <x:v>1197.4187262357414</x:v>
      </x:c>
      <x:c r="J1460" s="137" t="n">
        <x:v>1872.4837970631338</x:v>
      </x:c>
      <x:c r="K1460" s="136" t="str">
        <x:v>map-68</x:v>
      </x:c>
      <x:c r="L1460" s="136" t="str">
        <x:v>HarpersFerry | Conquest | Outskirts||Spawn | CSA CQ2_Spawnpoint_CSA_Cavalry_0 [map-68/004]</x:v>
      </x:c>
      <x:c r="M1460" s="35"/>
      <x:c r="N1460" s="35"/>
      <x:c r="O1460" s="35"/>
      <x:c r="P1460" s="35"/>
      <x:c r="Q1460" s="35"/>
      <x:c r="R1460" s="35"/>
      <x:c r="S1460" s="35"/>
      <x:c r="T1460" s="35"/>
      <x:c r="U1460" s="35"/>
      <x:c r="V1460" s="35"/>
      <x:c r="W1460" s="35"/>
      <x:c r="X1460" s="35"/>
      <x:c r="Y1460" s="35"/>
      <x:c r="Z1460" s="35"/>
      <x:c r="AA1460" s="35"/>
    </x:row>
    <x:row r="1461">
      <x:c r="A1461" s="136" t="str">
        <x:v>HarpersFerry | Conquest | Outskirts</x:v>
      </x:c>
      <x:c r="B1461" s="136" t="str">
        <x:v>Spawn | CSA CQ2_Spawnpoint_CSA_Infantry_0 [map-68/005]</x:v>
      </x:c>
      <x:c r="C1461" s="136" t="str">
        <x:v>spawn</x:v>
      </x:c>
      <x:c r="D1461" s="136" t="str">
        <x:v>CSA</x:v>
      </x:c>
      <x:c r="E1461" s="136" t="str">
        <x:v>CQ2_Spawnpoint_CSA_Infantry_0</x:v>
      </x:c>
      <x:c r="F1461" s="137" t="n">
        <x:v>1097.2052001953125</x:v>
      </x:c>
      <x:c r="G1461" s="137" t="n">
        <x:v>1654.908203125</x:v>
      </x:c>
      <x:c r="H1461" s="137" t="n">
        <x:v>138.02191162109375</x:v>
      </x:c>
      <x:c r="I1461" s="137" t="n">
        <x:v>1156.7797053231939</x:v>
      </x:c>
      <x:c r="J1461" s="137" t="n">
        <x:v>1648.932691463182</x:v>
      </x:c>
      <x:c r="K1461" s="136" t="str">
        <x:v>map-68</x:v>
      </x:c>
      <x:c r="L1461" s="136" t="str">
        <x:v>HarpersFerry | Conquest | Outskirts||Spawn | CSA CQ2_Spawnpoint_CSA_Infantry_0 [map-68/005]</x:v>
      </x:c>
      <x:c r="M1461" s="35"/>
      <x:c r="N1461" s="35"/>
      <x:c r="O1461" s="35"/>
      <x:c r="P1461" s="35"/>
      <x:c r="Q1461" s="35"/>
      <x:c r="R1461" s="35"/>
      <x:c r="S1461" s="35"/>
      <x:c r="T1461" s="35"/>
      <x:c r="U1461" s="35"/>
      <x:c r="V1461" s="35"/>
      <x:c r="W1461" s="35"/>
      <x:c r="X1461" s="35"/>
      <x:c r="Y1461" s="35"/>
      <x:c r="Z1461" s="35"/>
      <x:c r="AA1461" s="35"/>
    </x:row>
    <x:row r="1462">
      <x:c r="A1462" s="136" t="str">
        <x:v>HarpersFerry | Conquest | Outskirts</x:v>
      </x:c>
      <x:c r="B1462" s="136" t="str">
        <x:v>Artillery | USA CQ2_Spawnpoint_USA_Artillery_Forward [map-68/006]</x:v>
      </x:c>
      <x:c r="C1462" s="136" t="str">
        <x:v>battery</x:v>
      </x:c>
      <x:c r="D1462" s="136" t="str">
        <x:v>USA</x:v>
      </x:c>
      <x:c r="E1462" s="136" t="str">
        <x:v>CQ2_Spawnpoint_USA_Artillery_Forward</x:v>
      </x:c>
      <x:c r="F1462" s="137" t="n">
        <x:v>1179.86474609375</x:v>
      </x:c>
      <x:c r="G1462" s="137" t="n">
        <x:v>2114.319091796875</x:v>
      </x:c>
      <x:c r="H1462" s="137" t="n">
        <x:v>136.5239715576172</x:v>
      </x:c>
      <x:c r="I1462" s="137" t="n">
        <x:v>1317.698669201521</x:v>
      </x:c>
      <x:c r="J1462" s="137" t="n">
        <x:v>769.7097613361333</x:v>
      </x:c>
      <x:c r="K1462" s="136" t="str">
        <x:v>map-68</x:v>
      </x:c>
      <x:c r="L1462" s="136" t="str">
        <x:v>HarpersFerry | Conquest | Outskirts||Artillery | USA CQ2_Spawnpoint_USA_Artillery_Forward [map-68/006]</x:v>
      </x:c>
      <x:c r="M1462" s="35"/>
      <x:c r="N1462" s="35"/>
      <x:c r="O1462" s="35"/>
      <x:c r="P1462" s="35"/>
      <x:c r="Q1462" s="35"/>
      <x:c r="R1462" s="35"/>
      <x:c r="S1462" s="35"/>
      <x:c r="T1462" s="35"/>
      <x:c r="U1462" s="35"/>
      <x:c r="V1462" s="35"/>
      <x:c r="W1462" s="35"/>
      <x:c r="X1462" s="35"/>
      <x:c r="Y1462" s="35"/>
      <x:c r="Z1462" s="35"/>
      <x:c r="AA1462" s="35"/>
    </x:row>
    <x:row r="1463">
      <x:c r="A1463" s="136" t="str">
        <x:v>HarpersFerry | Conquest | Outskirts</x:v>
      </x:c>
      <x:c r="B1463" s="136" t="str">
        <x:v>Artillery | CSA CQ2_Spawnpoint_CSA_Artillery_Forward [map-68/007]</x:v>
      </x:c>
      <x:c r="C1463" s="136" t="str">
        <x:v>battery</x:v>
      </x:c>
      <x:c r="D1463" s="136" t="str">
        <x:v>CSA</x:v>
      </x:c>
      <x:c r="E1463" s="136" t="str">
        <x:v>CQ2_Spawnpoint_CSA_Artillery_Forward</x:v>
      </x:c>
      <x:c r="F1463" s="137" t="n">
        <x:v>898.1283569335938</x:v>
      </x:c>
      <x:c r="G1463" s="137" t="n">
        <x:v>1703.5892333984375</x:v>
      </x:c>
      <x:c r="H1463" s="137" t="n">
        <x:v>144.4300079345703</x:v>
      </x:c>
      <x:c r="I1463" s="137" t="n">
        <x:v>769.2232652091254</x:v>
      </x:c>
      <x:c r="J1463" s="137" t="n">
        <x:v>1517.6904502372108</x:v>
      </x:c>
      <x:c r="K1463" s="136" t="str">
        <x:v>map-68</x:v>
      </x:c>
      <x:c r="L1463" s="136" t="str">
        <x:v>HarpersFerry | Conquest | Outskirts||Artillery | CSA CQ2_Spawnpoint_CSA_Artillery_Forward [map-68/007]</x:v>
      </x:c>
      <x:c r="M1463" s="35"/>
      <x:c r="N1463" s="35"/>
      <x:c r="O1463" s="35"/>
      <x:c r="P1463" s="35"/>
      <x:c r="Q1463" s="35"/>
      <x:c r="R1463" s="35"/>
      <x:c r="S1463" s="35"/>
      <x:c r="T1463" s="35"/>
      <x:c r="U1463" s="35"/>
      <x:c r="V1463" s="35"/>
      <x:c r="W1463" s="35"/>
      <x:c r="X1463" s="35"/>
      <x:c r="Y1463" s="35"/>
      <x:c r="Z1463" s="35"/>
      <x:c r="AA1463" s="35"/>
    </x:row>
    <x:row r="1464">
      <x:c r="A1464" s="136" t="str">
        <x:v>HarpersFerry | Conquest | Outskirts</x:v>
      </x:c>
      <x:c r="B1464" s="136" t="str">
        <x:v>Spawn | USA CQ2_Spawnpoint_USA_Infantry_0 [map-68/008]</x:v>
      </x:c>
      <x:c r="C1464" s="136" t="str">
        <x:v>spawn</x:v>
      </x:c>
      <x:c r="D1464" s="136" t="str">
        <x:v>USA</x:v>
      </x:c>
      <x:c r="E1464" s="136" t="str">
        <x:v>CQ2_Spawnpoint_USA_Infantry_0</x:v>
      </x:c>
      <x:c r="F1464" s="137" t="n">
        <x:v>914.8479614257812</x:v>
      </x:c>
      <x:c r="G1464" s="137" t="n">
        <x:v>2126.244140625</x:v>
      </x:c>
      <x:c r="H1464" s="137" t="n">
        <x:v>162.2624969482422</x:v>
      </x:c>
      <x:c r="I1464" s="137" t="n">
        <x:v>801.7724572243346</x:v>
      </x:c>
      <x:c r="J1464" s="137" t="n">
        <x:v>697.9424654712135</x:v>
      </x:c>
      <x:c r="K1464" s="136" t="str">
        <x:v>map-68</x:v>
      </x:c>
      <x:c r="L1464" s="136" t="str">
        <x:v>HarpersFerry | Conquest | Outskirts||Spawn | USA CQ2_Spawnpoint_USA_Infantry_0 [map-68/008]</x:v>
      </x:c>
      <x:c r="M1464" s="35"/>
      <x:c r="N1464" s="35"/>
      <x:c r="O1464" s="35"/>
      <x:c r="P1464" s="35"/>
      <x:c r="Q1464" s="35"/>
      <x:c r="R1464" s="35"/>
      <x:c r="S1464" s="35"/>
      <x:c r="T1464" s="35"/>
      <x:c r="U1464" s="35"/>
      <x:c r="V1464" s="35"/>
      <x:c r="W1464" s="35"/>
      <x:c r="X1464" s="35"/>
      <x:c r="Y1464" s="35"/>
      <x:c r="Z1464" s="35"/>
      <x:c r="AA1464" s="35"/>
    </x:row>
    <x:row r="1465">
      <x:c r="A1465" s="136" t="str">
        <x:v>HarpersFerry | Conquest | Outskirts</x:v>
      </x:c>
      <x:c r="B1465" s="136" t="str">
        <x:v>Objective | Victory_Conquest_2 [map-68/009]</x:v>
      </x:c>
      <x:c r="C1465" s="136" t="str">
        <x:v>objective</x:v>
      </x:c>
      <x:c r="D1465" s="136" t="str"/>
      <x:c r="E1465" s="136" t="str">
        <x:v>Victory_Conquest_2</x:v>
      </x:c>
      <x:c r="F1465" s="137" t="n">
        <x:v>1270.1903076171875</x:v>
      </x:c>
      <x:c r="G1465" s="137" t="n">
        <x:v>2120.025634765625</x:v>
      </x:c>
      <x:c r="H1465" s="137" t="n">
        <x:v>133.32717895507812</x:v>
      </x:c>
      <x:c r="I1465" s="137" t="n">
        <x:v>1493.5415874524715</x:v>
      </x:c>
      <x:c r="J1465" s="137" t="n">
        <x:v>775.1484010670038</x:v>
      </x:c>
      <x:c r="K1465" s="136" t="str">
        <x:v>map-68</x:v>
      </x:c>
      <x:c r="L1465" s="136" t="str">
        <x:v>HarpersFerry | Conquest | Outskirts||Objective | Victory_Conquest_2 [map-68/009]</x:v>
      </x:c>
      <x:c r="M1465" s="35"/>
      <x:c r="N1465" s="35"/>
      <x:c r="O1465" s="35"/>
      <x:c r="P1465" s="35"/>
      <x:c r="Q1465" s="35"/>
      <x:c r="R1465" s="35"/>
      <x:c r="S1465" s="35"/>
      <x:c r="T1465" s="35"/>
      <x:c r="U1465" s="35"/>
      <x:c r="V1465" s="35"/>
      <x:c r="W1465" s="35"/>
      <x:c r="X1465" s="35"/>
      <x:c r="Y1465" s="35"/>
      <x:c r="Z1465" s="35"/>
      <x:c r="AA1465" s="35"/>
    </x:row>
    <x:row r="1466">
      <x:c r="A1466" s="136" t="str">
        <x:v>HarpersFerry | Conquest | Outskirts</x:v>
      </x:c>
      <x:c r="B1466" s="136" t="str">
        <x:v>Spawn | CSA CQ2_Spawnpoint_CSA_Infantry_1 [map-68/010]</x:v>
      </x:c>
      <x:c r="C1466" s="136" t="str">
        <x:v>spawn</x:v>
      </x:c>
      <x:c r="D1466" s="136" t="str">
        <x:v>CSA</x:v>
      </x:c>
      <x:c r="E1466" s="136" t="str">
        <x:v>CQ2_Spawnpoint_CSA_Infantry_1</x:v>
      </x:c>
      <x:c r="F1466" s="137" t="n">
        <x:v>1109.3489990234375</x:v>
      </x:c>
      <x:c r="G1466" s="137" t="n">
        <x:v>1661.437744140625</x:v>
      </x:c>
      <x:c r="H1466" s="137" t="n">
        <x:v>137.97341918945312</x:v>
      </x:c>
      <x:c r="I1466" s="137" t="n">
        <x:v>1180.4208650190114</x:v>
      </x:c>
      <x:c r="J1466" s="137" t="n">
        <x:v>1638.4459755145035</x:v>
      </x:c>
      <x:c r="K1466" s="136" t="str">
        <x:v>map-68</x:v>
      </x:c>
      <x:c r="L1466" s="136" t="str">
        <x:v>HarpersFerry | Conquest | Outskirts||Spawn | CSA CQ2_Spawnpoint_CSA_Infantry_1 [map-68/010]</x:v>
      </x:c>
      <x:c r="M1466" s="35"/>
      <x:c r="N1466" s="35"/>
      <x:c r="O1466" s="35"/>
      <x:c r="P1466" s="35"/>
      <x:c r="Q1466" s="35"/>
      <x:c r="R1466" s="35"/>
      <x:c r="S1466" s="35"/>
      <x:c r="T1466" s="35"/>
      <x:c r="U1466" s="35"/>
      <x:c r="V1466" s="35"/>
      <x:c r="W1466" s="35"/>
      <x:c r="X1466" s="35"/>
      <x:c r="Y1466" s="35"/>
      <x:c r="Z1466" s="35"/>
      <x:c r="AA1466" s="35"/>
    </x:row>
    <x:row r="1467">
      <x:c r="A1467" s="136" t="str">
        <x:v>HarpersFerry | Conquest | Outskirts</x:v>
      </x:c>
      <x:c r="B1467" s="136" t="str">
        <x:v>Spawn | CSA CQ2_Spawnpoint_CSA_Infantry_2 [map-68/011]</x:v>
      </x:c>
      <x:c r="C1467" s="136" t="str">
        <x:v>spawn</x:v>
      </x:c>
      <x:c r="D1467" s="136" t="str">
        <x:v>CSA</x:v>
      </x:c>
      <x:c r="E1467" s="136" t="str">
        <x:v>CQ2_Spawnpoint_CSA_Infantry_2</x:v>
      </x:c>
      <x:c r="F1467" s="137" t="n">
        <x:v>1120.0911865234375</x:v>
      </x:c>
      <x:c r="G1467" s="137" t="n">
        <x:v>1671.83837890625</x:v>
      </x:c>
      <x:c r="H1467" s="137" t="n">
        <x:v>138.8271026611328</x:v>
      </x:c>
      <x:c r="I1467" s="137" t="n">
        <x:v>1201.3334125475285</x:v>
      </x:c>
      <x:c r="J1467" s="137" t="n">
        <x:v>1620.1663578491332</x:v>
      </x:c>
      <x:c r="K1467" s="136" t="str">
        <x:v>map-68</x:v>
      </x:c>
      <x:c r="L1467" s="136" t="str">
        <x:v>HarpersFerry | Conquest | Outskirts||Spawn | CSA CQ2_Spawnpoint_CSA_Infantry_2 [map-68/011]</x:v>
      </x:c>
      <x:c r="M1467" s="35"/>
      <x:c r="N1467" s="35"/>
      <x:c r="O1467" s="35"/>
      <x:c r="P1467" s="35"/>
      <x:c r="Q1467" s="35"/>
      <x:c r="R1467" s="35"/>
      <x:c r="S1467" s="35"/>
      <x:c r="T1467" s="35"/>
      <x:c r="U1467" s="35"/>
      <x:c r="V1467" s="35"/>
      <x:c r="W1467" s="35"/>
      <x:c r="X1467" s="35"/>
      <x:c r="Y1467" s="35"/>
      <x:c r="Z1467" s="35"/>
      <x:c r="AA1467" s="35"/>
    </x:row>
    <x:row r="1468">
      <x:c r="A1468" s="136" t="str">
        <x:v>HarpersFerry | Conquest | Outskirts</x:v>
      </x:c>
      <x:c r="B1468" s="136" t="str">
        <x:v>Artillery | CSA CQ2_Spawnpoint_CSA_Artillery_Staging [map-68/012]</x:v>
      </x:c>
      <x:c r="C1468" s="136" t="str">
        <x:v>battery</x:v>
      </x:c>
      <x:c r="D1468" s="136" t="str">
        <x:v>CSA</x:v>
      </x:c>
      <x:c r="E1468" s="136" t="str">
        <x:v>CQ2_Spawnpoint_CSA_Artillery_Staging</x:v>
      </x:c>
      <x:c r="F1468" s="137" t="n">
        <x:v>1082.3934326171875</x:v>
      </x:c>
      <x:c r="G1468" s="137" t="n">
        <x:v>1643.4541015625</x:v>
      </x:c>
      <x:c r="H1468" s="137" t="n">
        <x:v>137.74972534179688</x:v>
      </x:c>
      <x:c r="I1468" s="137" t="n">
        <x:v>1127.9446292775665</x:v>
      </x:c>
      <x:c r="J1468" s="137" t="n">
        <x:v>1668.517603494284</x:v>
      </x:c>
      <x:c r="K1468" s="136" t="str">
        <x:v>map-68</x:v>
      </x:c>
      <x:c r="L1468" s="136" t="str">
        <x:v>HarpersFerry | Conquest | Outskirts||Artillery | CSA CQ2_Spawnpoint_CSA_Artillery_Staging [map-68/012]</x:v>
      </x:c>
      <x:c r="M1468" s="35"/>
      <x:c r="N1468" s="35"/>
      <x:c r="O1468" s="35"/>
      <x:c r="P1468" s="35"/>
      <x:c r="Q1468" s="35"/>
      <x:c r="R1468" s="35"/>
      <x:c r="S1468" s="35"/>
      <x:c r="T1468" s="35"/>
      <x:c r="U1468" s="35"/>
      <x:c r="V1468" s="35"/>
      <x:c r="W1468" s="35"/>
      <x:c r="X1468" s="35"/>
      <x:c r="Y1468" s="35"/>
      <x:c r="Z1468" s="35"/>
      <x:c r="AA1468" s="35"/>
    </x:row>
    <x:row r="1469">
      <x:c r="A1469" s="136" t="str">
        <x:v>HarpersFerry | Conquest | Outskirts</x:v>
      </x:c>
      <x:c r="B1469" s="136" t="str">
        <x:v>Spawn | USA CQ2_Spawnpoint_USA_Cavalry_0 [map-68/013]</x:v>
      </x:c>
      <x:c r="C1469" s="136" t="str">
        <x:v>spawn</x:v>
      </x:c>
      <x:c r="D1469" s="136" t="str">
        <x:v>USA</x:v>
      </x:c>
      <x:c r="E1469" s="136" t="str">
        <x:v>CQ2_Spawnpoint_USA_Cavalry_0</x:v>
      </x:c>
      <x:c r="F1469" s="137" t="n">
        <x:v>865.5709838867188</x:v>
      </x:c>
      <x:c r="G1469" s="137" t="n">
        <x:v>2161.1728515625</x:v>
      </x:c>
      <x:c r="H1469" s="137" t="n">
        <x:v>168.39962768554688</x:v>
      </x:c>
      <x:c r="I1469" s="137" t="n">
        <x:v>705.84161121673</x:v>
      </x:c>
      <x:c r="J1469" s="137" t="n">
        <x:v>620.9166538705772</x:v>
      </x:c>
      <x:c r="K1469" s="136" t="str">
        <x:v>map-68</x:v>
      </x:c>
      <x:c r="L1469" s="136" t="str">
        <x:v>HarpersFerry | Conquest | Outskirts||Spawn | USA CQ2_Spawnpoint_USA_Cavalry_0 [map-68/013]</x:v>
      </x:c>
      <x:c r="M1469" s="35"/>
      <x:c r="N1469" s="35"/>
      <x:c r="O1469" s="35"/>
      <x:c r="P1469" s="35"/>
      <x:c r="Q1469" s="35"/>
      <x:c r="R1469" s="35"/>
      <x:c r="S1469" s="35"/>
      <x:c r="T1469" s="35"/>
      <x:c r="U1469" s="35"/>
      <x:c r="V1469" s="35"/>
      <x:c r="W1469" s="35"/>
      <x:c r="X1469" s="35"/>
      <x:c r="Y1469" s="35"/>
      <x:c r="Z1469" s="35"/>
      <x:c r="AA1469" s="35"/>
    </x:row>
    <x:row r="1470">
      <x:c r="A1470" s="136" t="str">
        <x:v>HarpersFerry | Conquest | Outskirts</x:v>
      </x:c>
      <x:c r="B1470" s="136" t="str">
        <x:v>Gun | 3-inch Ordnance · Entity-1635 [map-68/014]</x:v>
      </x:c>
      <x:c r="C1470" s="136" t="str">
        <x:v>gun_spawn</x:v>
      </x:c>
      <x:c r="D1470" s="136" t="str"/>
      <x:c r="E1470" s="136" t="str">
        <x:v>3-inch Ordnance · Entity-1635</x:v>
      </x:c>
      <x:c r="F1470" s="137" t="n">
        <x:v>914.2347412109375</x:v>
      </x:c>
      <x:c r="G1470" s="137" t="n">
        <x:v>1743.0579833984375</x:v>
      </x:c>
      <x:c r="H1470" s="137" t="n">
        <x:v>145.36215209960938</x:v>
      </x:c>
      <x:c r="I1470" s="137" t="n">
        <x:v>800.5786596958175</x:v>
      </x:c>
      <x:c r="J1470" s="137" t="n">
        <x:v>1443.8046936499832</x:v>
      </x:c>
      <x:c r="K1470" s="136" t="str">
        <x:v>map-68</x:v>
      </x:c>
      <x:c r="L1470" s="136" t="str">
        <x:v>HarpersFerry | Conquest | Outskirts||Gun | 3-inch Ordnance · Entity-1635 [map-68/014]</x:v>
      </x:c>
      <x:c r="M1470" s="35"/>
      <x:c r="N1470" s="35"/>
      <x:c r="O1470" s="35"/>
      <x:c r="P1470" s="35"/>
      <x:c r="Q1470" s="35"/>
      <x:c r="R1470" s="35"/>
      <x:c r="S1470" s="35"/>
      <x:c r="T1470" s="35"/>
      <x:c r="U1470" s="35"/>
      <x:c r="V1470" s="35"/>
      <x:c r="W1470" s="35"/>
      <x:c r="X1470" s="35"/>
      <x:c r="Y1470" s="35"/>
      <x:c r="Z1470" s="35"/>
      <x:c r="AA1470" s="35"/>
    </x:row>
    <x:row r="1471">
      <x:c r="A1471" s="136" t="str">
        <x:v>HarpersFerry | Conquest | Outskirts</x:v>
      </x:c>
      <x:c r="B1471" s="136" t="str">
        <x:v>Gun | 3-inch Ordnance · Entity-1648 [map-68/015]</x:v>
      </x:c>
      <x:c r="C1471" s="136" t="str">
        <x:v>gun_spawn</x:v>
      </x:c>
      <x:c r="D1471" s="136" t="str"/>
      <x:c r="E1471" s="136" t="str">
        <x:v>3-inch Ordnance · Entity-1648</x:v>
      </x:c>
      <x:c r="F1471" s="137" t="n">
        <x:v>1151.565673828125</x:v>
      </x:c>
      <x:c r="G1471" s="137" t="n">
        <x:v>2079.578857421875</x:v>
      </x:c>
      <x:c r="H1471" s="137" t="n">
        <x:v>138.0658416748047</x:v>
      </x:c>
      <x:c r="I1471" s="137" t="n">
        <x:v>1262.606939163498</x:v>
      </x:c>
      <x:c r="J1471" s="137" t="n">
        <x:v>832.1564521137273</x:v>
      </x:c>
      <x:c r="K1471" s="136" t="str">
        <x:v>map-68</x:v>
      </x:c>
      <x:c r="L1471" s="136" t="str">
        <x:v>HarpersFerry | Conquest | Outskirts||Gun | 3-inch Ordnance · Entity-1648 [map-68/015]</x:v>
      </x:c>
      <x:c r="M1471" s="35"/>
      <x:c r="N1471" s="35"/>
      <x:c r="O1471" s="35"/>
      <x:c r="P1471" s="35"/>
      <x:c r="Q1471" s="35"/>
      <x:c r="R1471" s="35"/>
      <x:c r="S1471" s="35"/>
      <x:c r="T1471" s="35"/>
      <x:c r="U1471" s="35"/>
      <x:c r="V1471" s="35"/>
      <x:c r="W1471" s="35"/>
      <x:c r="X1471" s="35"/>
      <x:c r="Y1471" s="35"/>
      <x:c r="Z1471" s="35"/>
      <x:c r="AA1471" s="35"/>
    </x:row>
    <x:row r="1472">
      <x:c r="A1472" s="136" t="str">
        <x:v>HarpersFerry | Conquest | Outskirts</x:v>
      </x:c>
      <x:c r="B1472" s="136" t="str">
        <x:v>Gun | 10-pounder Parrott · 3InchOrdnanceRifle-165 [map-68/016]</x:v>
      </x:c>
      <x:c r="C1472" s="136" t="str">
        <x:v>gun_spawn</x:v>
      </x:c>
      <x:c r="D1472" s="136" t="str"/>
      <x:c r="E1472" s="136" t="str">
        <x:v>10-pounder Parrott · 3InchOrdnanceRifle-165</x:v>
      </x:c>
      <x:c r="F1472" s="137" t="n">
        <x:v>702.0743408203125</x:v>
      </x:c>
      <x:c r="G1472" s="137" t="n">
        <x:v>1682.8011474609375</x:v>
      </x:c>
      <x:c r="H1472" s="137" t="n">
        <x:v>156.67416381835938</x:v>
      </x:c>
      <x:c r="I1472" s="137" t="n">
        <x:v>387.55156844106466</x:v>
      </x:c>
      <x:c r="J1472" s="137" t="n">
        <x:v>1522.2422580552202</x:v>
      </x:c>
      <x:c r="K1472" s="136" t="str">
        <x:v>map-68</x:v>
      </x:c>
      <x:c r="L1472" s="136" t="str">
        <x:v>HarpersFerry | Conquest | Outskirts||Gun | 10-pounder Parrott · 3InchOrdnanceRifle-165 [map-68/016]</x:v>
      </x:c>
      <x:c r="M1472" s="35"/>
      <x:c r="N1472" s="35"/>
      <x:c r="O1472" s="35"/>
      <x:c r="P1472" s="35"/>
      <x:c r="Q1472" s="35"/>
      <x:c r="R1472" s="35"/>
      <x:c r="S1472" s="35"/>
      <x:c r="T1472" s="35"/>
      <x:c r="U1472" s="35"/>
      <x:c r="V1472" s="35"/>
      <x:c r="W1472" s="35"/>
      <x:c r="X1472" s="35"/>
      <x:c r="Y1472" s="35"/>
      <x:c r="Z1472" s="35"/>
      <x:c r="AA1472" s="35"/>
    </x:row>
    <x:row r="1473">
      <x:c r="A1473" s="136" t="str">
        <x:v>HarpersFerry | Conquest | Outskirts</x:v>
      </x:c>
      <x:c r="B1473" s="136" t="str">
        <x:v>Gun | 12-pounder Napoleon (CSA) · Entity-1650 [map-68/017]</x:v>
      </x:c>
      <x:c r="C1473" s="136" t="str">
        <x:v>gun_spawn</x:v>
      </x:c>
      <x:c r="D1473" s="136" t="str"/>
      <x:c r="E1473" s="136" t="str">
        <x:v>12-pounder Napoleon (CSA) · Entity-1650</x:v>
      </x:c>
      <x:c r="F1473" s="137" t="n">
        <x:v>1138.5013427734375</x:v>
      </x:c>
      <x:c r="G1473" s="137" t="n">
        <x:v>2087.42626953125</x:v>
      </x:c>
      <x:c r="H1473" s="137" t="n">
        <x:v>139.18980407714844</x:v>
      </x:c>
      <x:c r="I1473" s="137" t="n">
        <x:v>1237.173716730038</x:v>
      </x:c>
      <x:c r="J1473" s="137" t="n">
        <x:v>814.4859302183523</x:v>
      </x:c>
      <x:c r="K1473" s="136" t="str">
        <x:v>map-68</x:v>
      </x:c>
      <x:c r="L1473" s="136" t="str">
        <x:v>HarpersFerry | Conquest | Outskirts||Gun | 12-pounder Napoleon (CSA) · Entity-1650 [map-68/017]</x:v>
      </x:c>
      <x:c r="M1473" s="35"/>
      <x:c r="N1473" s="35"/>
      <x:c r="O1473" s="35"/>
      <x:c r="P1473" s="35"/>
      <x:c r="Q1473" s="35"/>
      <x:c r="R1473" s="35"/>
      <x:c r="S1473" s="35"/>
      <x:c r="T1473" s="35"/>
      <x:c r="U1473" s="35"/>
      <x:c r="V1473" s="35"/>
      <x:c r="W1473" s="35"/>
      <x:c r="X1473" s="35"/>
      <x:c r="Y1473" s="35"/>
      <x:c r="Z1473" s="35"/>
      <x:c r="AA1473" s="35"/>
    </x:row>
    <x:row r="1474">
      <x:c r="A1474" s="136" t="str">
        <x:v>HarpersFerry | Conquest | Outskirts</x:v>
      </x:c>
      <x:c r="B1474" s="136" t="str">
        <x:v>Gun | 12-pounder Napoleon (USA) · Entity-1639 [map-68/018]</x:v>
      </x:c>
      <x:c r="C1474" s="136" t="str">
        <x:v>gun_spawn</x:v>
      </x:c>
      <x:c r="D1474" s="136" t="str"/>
      <x:c r="E1474" s="136" t="str">
        <x:v>12-pounder Napoleon (USA) · Entity-1639</x:v>
      </x:c>
      <x:c r="F1474" s="137" t="n">
        <x:v>939.6810913085938</x:v>
      </x:c>
      <x:c r="G1474" s="137" t="n">
        <x:v>1719.4083251953125</x:v>
      </x:c>
      <x:c r="H1474" s="137" t="n">
        <x:v>144.5293731689453</x:v>
      </x:c>
      <x:c r="I1474" s="137" t="n">
        <x:v>850.1168013307985</x:v>
      </x:c>
      <x:c r="J1474" s="137" t="n">
        <x:v>1494.5069522500085</x:v>
      </x:c>
      <x:c r="K1474" s="136" t="str">
        <x:v>map-68</x:v>
      </x:c>
      <x:c r="L1474" s="136" t="str">
        <x:v>HarpersFerry | Conquest | Outskirts||Gun | 12-pounder Napoleon (USA) · Entity-1639 [map-68/018]</x:v>
      </x:c>
      <x:c r="M1474" s="35"/>
      <x:c r="N1474" s="35"/>
      <x:c r="O1474" s="35"/>
      <x:c r="P1474" s="35"/>
      <x:c r="Q1474" s="35"/>
      <x:c r="R1474" s="35"/>
      <x:c r="S1474" s="35"/>
      <x:c r="T1474" s="35"/>
      <x:c r="U1474" s="35"/>
      <x:c r="V1474" s="35"/>
      <x:c r="W1474" s="35"/>
      <x:c r="X1474" s="35"/>
      <x:c r="Y1474" s="35"/>
      <x:c r="Z1474" s="35"/>
      <x:c r="AA1474" s="35"/>
    </x:row>
    <x:row r="1475">
      <x:c r="A1475" s="136" t="str">
        <x:v>HarpersFerry | Conquest | Outskirts</x:v>
      </x:c>
      <x:c r="B1475" s="136" t="str">
        <x:v>Gun | 12-pounder Napoleon (USA) · 3InchOrdnanceRifle-163 [map-68/019]</x:v>
      </x:c>
      <x:c r="C1475" s="136" t="str">
        <x:v>gun_spawn</x:v>
      </x:c>
      <x:c r="D1475" s="136" t="str"/>
      <x:c r="E1475" s="136" t="str">
        <x:v>12-pounder Napoleon (USA) · 3InchOrdnanceRifle-163</x:v>
      </x:c>
      <x:c r="F1475" s="137" t="n">
        <x:v>725.10302734375</x:v>
      </x:c>
      <x:c r="G1475" s="137" t="n">
        <x:v>1684.9974365234375</x:v>
      </x:c>
      <x:c r="H1475" s="137" t="n">
        <x:v>153.45875549316406</x:v>
      </x:c>
      <x:c r="I1475" s="137" t="n">
        <x:v>432.38307984790873</x:v>
      </x:c>
      <x:c r="J1475" s="137" t="n">
        <x:v>1522.1855276866188</x:v>
      </x:c>
      <x:c r="K1475" s="136" t="str">
        <x:v>map-68</x:v>
      </x:c>
      <x:c r="L1475" s="136" t="str">
        <x:v>HarpersFerry | Conquest | Outskirts||Gun | 12-pounder Napoleon (USA) · 3InchOrdnanceRifle-163 [map-68/019]</x:v>
      </x:c>
      <x:c r="M1475" s="35"/>
      <x:c r="N1475" s="35"/>
      <x:c r="O1475" s="35"/>
      <x:c r="P1475" s="35"/>
      <x:c r="Q1475" s="35"/>
      <x:c r="R1475" s="35"/>
      <x:c r="S1475" s="35"/>
      <x:c r="T1475" s="35"/>
      <x:c r="U1475" s="35"/>
      <x:c r="V1475" s="35"/>
      <x:c r="W1475" s="35"/>
      <x:c r="X1475" s="35"/>
      <x:c r="Y1475" s="35"/>
      <x:c r="Z1475" s="35"/>
      <x:c r="AA1475" s="35"/>
    </x:row>
    <x:row r="1476">
      <x:c r="A1476" s="136" t="str">
        <x:v>HarpersFerry | Conquest | Outskirts</x:v>
      </x:c>
      <x:c r="B1476" s="136" t="str">
        <x:v>Gun | 12-pounder Napoleon (USA) · Entity-1638 [map-68/020]</x:v>
      </x:c>
      <x:c r="C1476" s="136" t="str">
        <x:v>gun_spawn</x:v>
      </x:c>
      <x:c r="D1476" s="136" t="str"/>
      <x:c r="E1476" s="136" t="str">
        <x:v>12-pounder Napoleon (USA) · Entity-1638</x:v>
      </x:c>
      <x:c r="F1476" s="137" t="n">
        <x:v>932.7449340820312</x:v>
      </x:c>
      <x:c r="G1476" s="137" t="n">
        <x:v>1726.1390380859375</x:v>
      </x:c>
      <x:c r="H1476" s="137" t="n">
        <x:v>144.5324249267578</x:v>
      </x:c>
      <x:c r="I1476" s="137" t="n">
        <x:v>836.6137119771863</x:v>
      </x:c>
      <x:c r="J1476" s="137" t="n">
        <x:v>1480.1330873708057</x:v>
      </x:c>
      <x:c r="K1476" s="136" t="str">
        <x:v>map-68</x:v>
      </x:c>
      <x:c r="L1476" s="136" t="str">
        <x:v>HarpersFerry | Conquest | Outskirts||Gun | 12-pounder Napoleon (USA) · Entity-1638 [map-68/020]</x:v>
      </x:c>
      <x:c r="M1476" s="35"/>
      <x:c r="N1476" s="35"/>
      <x:c r="O1476" s="35"/>
      <x:c r="P1476" s="35"/>
      <x:c r="Q1476" s="35"/>
      <x:c r="R1476" s="35"/>
      <x:c r="S1476" s="35"/>
      <x:c r="T1476" s="35"/>
      <x:c r="U1476" s="35"/>
      <x:c r="V1476" s="35"/>
      <x:c r="W1476" s="35"/>
      <x:c r="X1476" s="35"/>
      <x:c r="Y1476" s="35"/>
      <x:c r="Z1476" s="35"/>
      <x:c r="AA1476" s="35"/>
    </x:row>
    <x:row r="1477">
      <x:c r="A1477" s="136" t="str">
        <x:v>HarpersFerry | Conquest | Outskirts</x:v>
      </x:c>
      <x:c r="B1477" s="136" t="str">
        <x:v>Gun | 3-inch Ordnance · Entity-1634 [map-68/021]</x:v>
      </x:c>
      <x:c r="C1477" s="136" t="str">
        <x:v>gun_spawn</x:v>
      </x:c>
      <x:c r="D1477" s="136" t="str"/>
      <x:c r="E1477" s="136" t="str">
        <x:v>3-inch Ordnance · Entity-1634</x:v>
      </x:c>
      <x:c r="F1477" s="137" t="n">
        <x:v>907.8495483398438</x:v>
      </x:c>
      <x:c r="G1477" s="137" t="n">
        <x:v>1749.1387939453125</x:v>
      </x:c>
      <x:c r="H1477" s="137" t="n">
        <x:v>145.9473876953125</x:v>
      </x:c>
      <x:c r="I1477" s="137" t="n">
        <x:v>788.1481701520912</x:v>
      </x:c>
      <x:c r="J1477" s="137" t="n">
        <x:v>1430.7969764720426</x:v>
      </x:c>
      <x:c r="K1477" s="136" t="str">
        <x:v>map-68</x:v>
      </x:c>
      <x:c r="L1477" s="136" t="str">
        <x:v>HarpersFerry | Conquest | Outskirts||Gun | 3-inch Ordnance · Entity-1634 [map-68/021]</x:v>
      </x:c>
      <x:c r="M1477" s="35"/>
      <x:c r="N1477" s="35"/>
      <x:c r="O1477" s="35"/>
      <x:c r="P1477" s="35"/>
      <x:c r="Q1477" s="35"/>
      <x:c r="R1477" s="35"/>
      <x:c r="S1477" s="35"/>
      <x:c r="T1477" s="35"/>
      <x:c r="U1477" s="35"/>
      <x:c r="V1477" s="35"/>
      <x:c r="W1477" s="35"/>
      <x:c r="X1477" s="35"/>
      <x:c r="Y1477" s="35"/>
      <x:c r="Z1477" s="35"/>
      <x:c r="AA1477" s="35"/>
    </x:row>
    <x:row r="1478">
      <x:c r="A1478" s="136" t="str">
        <x:v>HarpersFerry | Conquest | Outskirts</x:v>
      </x:c>
      <x:c r="B1478" s="136" t="str">
        <x:v>Gun | 12-pounder Napoleon (USA) · 3InchOrdnanceRifle-164 [map-68/022]</x:v>
      </x:c>
      <x:c r="C1478" s="136" t="str">
        <x:v>gun_spawn</x:v>
      </x:c>
      <x:c r="D1478" s="136" t="str"/>
      <x:c r="E1478" s="136" t="str">
        <x:v>12-pounder Napoleon (USA) · 3InchOrdnanceRifle-164</x:v>
      </x:c>
      <x:c r="F1478" s="137" t="n">
        <x:v>712.4551391601562</x:v>
      </x:c>
      <x:c r="G1478" s="137" t="n">
        <x:v>1678.02978515625</x:v>
      </x:c>
      <x:c r="H1478" s="137" t="n">
        <x:v>154.80905151367188</x:v>
      </x:c>
      <x:c r="I1478" s="137" t="n">
        <x:v>407.76057509505705</x:v>
      </x:c>
      <x:c r="J1478" s="137" t="n">
        <x:v>1533.4327919612015</x:v>
      </x:c>
      <x:c r="K1478" s="136" t="str">
        <x:v>map-68</x:v>
      </x:c>
      <x:c r="L1478" s="136" t="str">
        <x:v>HarpersFerry | Conquest | Outskirts||Gun | 12-pounder Napoleon (USA) · 3InchOrdnanceRifle-164 [map-68/022]</x:v>
      </x:c>
      <x:c r="M1478" s="35"/>
      <x:c r="N1478" s="35"/>
      <x:c r="O1478" s="35"/>
      <x:c r="P1478" s="35"/>
      <x:c r="Q1478" s="35"/>
      <x:c r="R1478" s="35"/>
      <x:c r="S1478" s="35"/>
      <x:c r="T1478" s="35"/>
      <x:c r="U1478" s="35"/>
      <x:c r="V1478" s="35"/>
      <x:c r="W1478" s="35"/>
      <x:c r="X1478" s="35"/>
      <x:c r="Y1478" s="35"/>
      <x:c r="Z1478" s="35"/>
      <x:c r="AA1478" s="35"/>
    </x:row>
    <x:row r="1479">
      <x:c r="A1479" s="136" t="str">
        <x:v>HarpersFerry | Conquest | Outskirts</x:v>
      </x:c>
      <x:c r="B1479" s="136" t="str">
        <x:v>Gun | 3-inch Ordnance · Entity-1647 [map-68/023]</x:v>
      </x:c>
      <x:c r="C1479" s="136" t="str">
        <x:v>gun_spawn</x:v>
      </x:c>
      <x:c r="D1479" s="136" t="str"/>
      <x:c r="E1479" s="136" t="str">
        <x:v>3-inch Ordnance · Entity-1647</x:v>
      </x:c>
      <x:c r="F1479" s="137" t="n">
        <x:v>1157.9376220703125</x:v>
      </x:c>
      <x:c r="G1479" s="137" t="n">
        <x:v>2075.27490234375</x:v>
      </x:c>
      <x:c r="H1479" s="137" t="n">
        <x:v>137.4459991455078</x:v>
      </x:c>
      <x:c r="I1479" s="137" t="n">
        <x:v>1275.011644486692</x:v>
      </x:c>
      <x:c r="J1479" s="137" t="n">
        <x:v>841.7026173545518</x:v>
      </x:c>
      <x:c r="K1479" s="136" t="str">
        <x:v>map-68</x:v>
      </x:c>
      <x:c r="L1479" s="136" t="str">
        <x:v>HarpersFerry | Conquest | Outskirts||Gun | 3-inch Ordnance · Entity-1647 [map-68/023]</x:v>
      </x:c>
      <x:c r="M1479" s="35"/>
      <x:c r="N1479" s="35"/>
      <x:c r="O1479" s="35"/>
      <x:c r="P1479" s="35"/>
      <x:c r="Q1479" s="35"/>
      <x:c r="R1479" s="35"/>
      <x:c r="S1479" s="35"/>
      <x:c r="T1479" s="35"/>
      <x:c r="U1479" s="35"/>
      <x:c r="V1479" s="35"/>
      <x:c r="W1479" s="35"/>
      <x:c r="X1479" s="35"/>
      <x:c r="Y1479" s="35"/>
      <x:c r="Z1479" s="35"/>
      <x:c r="AA1479" s="35"/>
    </x:row>
    <x:row r="1480">
      <x:c r="A1480" s="136" t="str">
        <x:v>HarpersFerry | Conquest | Outskirts</x:v>
      </x:c>
      <x:c r="B1480" s="136" t="str">
        <x:v>Gun | 3-inch Ordnance · 3InchOrdnanceRifle-170 [map-68/024]</x:v>
      </x:c>
      <x:c r="C1480" s="136" t="str">
        <x:v>gun_spawn</x:v>
      </x:c>
      <x:c r="D1480" s="136" t="str"/>
      <x:c r="E1480" s="136" t="str">
        <x:v>3-inch Ordnance · 3InchOrdnanceRifle-170</x:v>
      </x:c>
      <x:c r="F1480" s="137" t="n">
        <x:v>688.9786376953125</x:v>
      </x:c>
      <x:c r="G1480" s="137" t="n">
        <x:v>1761.396240234375</x:v>
      </x:c>
      <x:c r="H1480" s="137" t="n">
        <x:v>163.27745056152344</x:v>
      </x:c>
      <x:c r="I1480" s="137" t="n">
        <x:v>362.0572718631179</x:v>
      </x:c>
      <x:c r="J1480" s="137" t="n">
        <x:v>1366.8366635929867</x:v>
      </x:c>
      <x:c r="K1480" s="136" t="str">
        <x:v>map-68</x:v>
      </x:c>
      <x:c r="L1480" s="136" t="str">
        <x:v>HarpersFerry | Conquest | Outskirts||Gun | 3-inch Ordnance · 3InchOrdnanceRifle-170 [map-68/024]</x:v>
      </x:c>
      <x:c r="M1480" s="35"/>
      <x:c r="N1480" s="35"/>
      <x:c r="O1480" s="35"/>
      <x:c r="P1480" s="35"/>
      <x:c r="Q1480" s="35"/>
      <x:c r="R1480" s="35"/>
      <x:c r="S1480" s="35"/>
      <x:c r="T1480" s="35"/>
      <x:c r="U1480" s="35"/>
      <x:c r="V1480" s="35"/>
      <x:c r="W1480" s="35"/>
      <x:c r="X1480" s="35"/>
      <x:c r="Y1480" s="35"/>
      <x:c r="Z1480" s="35"/>
      <x:c r="AA1480" s="35"/>
    </x:row>
    <x:row r="1481">
      <x:c r="A1481" s="136" t="str">
        <x:v>HarpersFerry | Conquest | Outskirts</x:v>
      </x:c>
      <x:c r="B1481" s="136" t="str">
        <x:v>Gun | 10-pounder Parrott · 3InchOrdnanceRifle-167 [map-68/025]</x:v>
      </x:c>
      <x:c r="C1481" s="136" t="str">
        <x:v>gun_spawn</x:v>
      </x:c>
      <x:c r="D1481" s="136" t="str"/>
      <x:c r="E1481" s="136" t="str">
        <x:v>10-pounder Parrott · 3InchOrdnanceRifle-167</x:v>
      </x:c>
      <x:c r="F1481" s="137" t="n">
        <x:v>681.71484375</x:v>
      </x:c>
      <x:c r="G1481" s="137" t="n">
        <x:v>1692.87060546875</x:v>
      </x:c>
      <x:c r="H1481" s="137" t="n">
        <x:v>160.7949676513672</x:v>
      </x:c>
      <x:c r="I1481" s="137" t="n">
        <x:v>347.91634980988596</x:v>
      </x:c>
      <x:c r="J1481" s="137" t="n">
        <x:v>1498.9094285259619</x:v>
      </x:c>
      <x:c r="K1481" s="136" t="str">
        <x:v>map-68</x:v>
      </x:c>
      <x:c r="L1481" s="136" t="str">
        <x:v>HarpersFerry | Conquest | Outskirts||Gun | 10-pounder Parrott · 3InchOrdnanceRifle-167 [map-68/025]</x:v>
      </x:c>
      <x:c r="M1481" s="35"/>
      <x:c r="N1481" s="35"/>
      <x:c r="O1481" s="35"/>
      <x:c r="P1481" s="35"/>
      <x:c r="Q1481" s="35"/>
      <x:c r="R1481" s="35"/>
      <x:c r="S1481" s="35"/>
      <x:c r="T1481" s="35"/>
      <x:c r="U1481" s="35"/>
      <x:c r="V1481" s="35"/>
      <x:c r="W1481" s="35"/>
      <x:c r="X1481" s="35"/>
      <x:c r="Y1481" s="35"/>
      <x:c r="Z1481" s="35"/>
      <x:c r="AA1481" s="35"/>
    </x:row>
    <x:row r="1482">
      <x:c r="A1482" s="136" t="str">
        <x:v>HarpersFerry | Conquest | Outskirts</x:v>
      </x:c>
      <x:c r="B1482" s="136" t="str">
        <x:v>Gun | 12-pounder Napoleon (USA) · 3InchOrdnanceRifle-174 [map-68/026]</x:v>
      </x:c>
      <x:c r="C1482" s="136" t="str">
        <x:v>gun_spawn</x:v>
      </x:c>
      <x:c r="D1482" s="136" t="str"/>
      <x:c r="E1482" s="136" t="str">
        <x:v>12-pounder Napoleon (USA) · 3InchOrdnanceRifle-174</x:v>
      </x:c>
      <x:c r="F1482" s="137" t="n">
        <x:v>665.6566772460938</x:v>
      </x:c>
      <x:c r="G1482" s="137" t="n">
        <x:v>1738.294189453125</x:v>
      </x:c>
      <x:c r="H1482" s="137" t="n">
        <x:v>163.29696655273438</x:v>
      </x:c>
      <x:c r="I1482" s="137" t="n">
        <x:v>316.65482414448667</x:v>
      </x:c>
      <x:c r="J1482" s="137" t="n">
        <x:v>1407.5383343654291</x:v>
      </x:c>
      <x:c r="K1482" s="136" t="str">
        <x:v>map-68</x:v>
      </x:c>
      <x:c r="L1482" s="136" t="str">
        <x:v>HarpersFerry | Conquest | Outskirts||Gun | 12-pounder Napoleon (USA) · 3InchOrdnanceRifle-174 [map-68/026]</x:v>
      </x:c>
      <x:c r="M1482" s="35"/>
      <x:c r="N1482" s="35"/>
      <x:c r="O1482" s="35"/>
      <x:c r="P1482" s="35"/>
      <x:c r="Q1482" s="35"/>
      <x:c r="R1482" s="35"/>
      <x:c r="S1482" s="35"/>
      <x:c r="T1482" s="35"/>
      <x:c r="U1482" s="35"/>
      <x:c r="V1482" s="35"/>
      <x:c r="W1482" s="35"/>
      <x:c r="X1482" s="35"/>
      <x:c r="Y1482" s="35"/>
      <x:c r="Z1482" s="35"/>
      <x:c r="AA1482" s="35"/>
    </x:row>
    <x:row r="1483">
      <x:c r="A1483" s="136" t="str">
        <x:v>HarpersFerry | Conquest | Outskirts</x:v>
      </x:c>
      <x:c r="B1483" s="136" t="str">
        <x:v>Gun | 12-pounder Napoleon (USA) · 3InchOrdnanceRifle-175 [map-68/027]</x:v>
      </x:c>
      <x:c r="C1483" s="136" t="str">
        <x:v>gun_spawn</x:v>
      </x:c>
      <x:c r="D1483" s="136" t="str"/>
      <x:c r="E1483" s="136" t="str">
        <x:v>12-pounder Napoleon (USA) · 3InchOrdnanceRifle-175</x:v>
      </x:c>
      <x:c r="F1483" s="137" t="n">
        <x:v>666.2051391601562</x:v>
      </x:c>
      <x:c r="G1483" s="137" t="n">
        <x:v>1727.2857666015625</x:v>
      </x:c>
      <x:c r="H1483" s="137" t="n">
        <x:v>163.29696655273438</x:v>
      </x:c>
      <x:c r="I1483" s="137" t="n">
        <x:v>317.72255228136885</x:v>
      </x:c>
      <x:c r="J1483" s="137" t="n">
        <x:v>1429.0696604928987</x:v>
      </x:c>
      <x:c r="K1483" s="136" t="str">
        <x:v>map-68</x:v>
      </x:c>
      <x:c r="L1483" s="136" t="str">
        <x:v>HarpersFerry | Conquest | Outskirts||Gun | 12-pounder Napoleon (USA) · 3InchOrdnanceRifle-175 [map-68/027]</x:v>
      </x:c>
      <x:c r="M1483" s="35"/>
      <x:c r="N1483" s="35"/>
      <x:c r="O1483" s="35"/>
      <x:c r="P1483" s="35"/>
      <x:c r="Q1483" s="35"/>
      <x:c r="R1483" s="35"/>
      <x:c r="S1483" s="35"/>
      <x:c r="T1483" s="35"/>
      <x:c r="U1483" s="35"/>
      <x:c r="V1483" s="35"/>
      <x:c r="W1483" s="35"/>
      <x:c r="X1483" s="35"/>
      <x:c r="Y1483" s="35"/>
      <x:c r="Z1483" s="35"/>
      <x:c r="AA1483" s="35"/>
    </x:row>
    <x:row r="1484">
      <x:c r="A1484" s="136" t="str">
        <x:v>HarpersFerry | Conquest | Outskirts</x:v>
      </x:c>
      <x:c r="B1484" s="136" t="str">
        <x:v>Gun | 3-inch Ordnance · Entity-1636 [map-68/028]</x:v>
      </x:c>
      <x:c r="C1484" s="136" t="str">
        <x:v>gun_spawn</x:v>
      </x:c>
      <x:c r="D1484" s="136" t="str"/>
      <x:c r="E1484" s="136" t="str">
        <x:v>3-inch Ordnance · Entity-1636</x:v>
      </x:c>
      <x:c r="F1484" s="137" t="n">
        <x:v>919.6587524414062</x:v>
      </x:c>
      <x:c r="G1484" s="137" t="n">
        <x:v>1738.0233154296875</x:v>
      </x:c>
      <x:c r="H1484" s="137" t="n">
        <x:v>144.8079833984375</x:v>
      </x:c>
      <x:c r="I1484" s="137" t="n">
        <x:v>811.1379515209126</x:v>
      </x:c>
      <x:c r="J1484" s="137" t="n">
        <x:v>1454.5997220683205</x:v>
      </x:c>
      <x:c r="K1484" s="136" t="str">
        <x:v>map-68</x:v>
      </x:c>
      <x:c r="L1484" s="136" t="str">
        <x:v>HarpersFerry | Conquest | Outskirts||Gun | 3-inch Ordnance · Entity-1636 [map-68/028]</x:v>
      </x:c>
      <x:c r="M1484" s="35"/>
      <x:c r="N1484" s="35"/>
      <x:c r="O1484" s="35"/>
      <x:c r="P1484" s="35"/>
      <x:c r="Q1484" s="35"/>
      <x:c r="R1484" s="35"/>
      <x:c r="S1484" s="35"/>
      <x:c r="T1484" s="35"/>
      <x:c r="U1484" s="35"/>
      <x:c r="V1484" s="35"/>
      <x:c r="W1484" s="35"/>
      <x:c r="X1484" s="35"/>
      <x:c r="Y1484" s="35"/>
      <x:c r="Z1484" s="35"/>
      <x:c r="AA1484" s="35"/>
    </x:row>
    <x:row r="1485">
      <x:c r="A1485" s="136" t="str">
        <x:v>HarpersFerry | Conquest | Outskirts</x:v>
      </x:c>
      <x:c r="B1485" s="136" t="str">
        <x:v>Gun | 12-pounder Napoleon (USA) · 3InchOrdnanceRifle-173 [map-68/029]</x:v>
      </x:c>
      <x:c r="C1485" s="136" t="str">
        <x:v>gun_spawn</x:v>
      </x:c>
      <x:c r="D1485" s="136" t="str"/>
      <x:c r="E1485" s="136" t="str">
        <x:v>12-pounder Napoleon (USA) · 3InchOrdnanceRifle-173</x:v>
      </x:c>
      <x:c r="F1485" s="137" t="n">
        <x:v>671.7979736328125</x:v>
      </x:c>
      <x:c r="G1485" s="137" t="n">
        <x:v>1745.715087890625</x:v>
      </x:c>
      <x:c r="H1485" s="137" t="n">
        <x:v>163.29696655273438</x:v>
      </x:c>
      <x:c r="I1485" s="137" t="n">
        <x:v>328.61050380228136</x:v>
      </x:c>
      <x:c r="J1485" s="137" t="n">
        <x:v>1394.2166730462684</x:v>
      </x:c>
      <x:c r="K1485" s="136" t="str">
        <x:v>map-68</x:v>
      </x:c>
      <x:c r="L1485" s="136" t="str">
        <x:v>HarpersFerry | Conquest | Outskirts||Gun | 12-pounder Napoleon (USA) · 3InchOrdnanceRifle-173 [map-68/029]</x:v>
      </x:c>
      <x:c r="M1485" s="35"/>
      <x:c r="N1485" s="35"/>
      <x:c r="O1485" s="35"/>
      <x:c r="P1485" s="35"/>
      <x:c r="Q1485" s="35"/>
      <x:c r="R1485" s="35"/>
      <x:c r="S1485" s="35"/>
      <x:c r="T1485" s="35"/>
      <x:c r="U1485" s="35"/>
      <x:c r="V1485" s="35"/>
      <x:c r="W1485" s="35"/>
      <x:c r="X1485" s="35"/>
      <x:c r="Y1485" s="35"/>
      <x:c r="Z1485" s="35"/>
      <x:c r="AA1485" s="35"/>
    </x:row>
    <x:row r="1486">
      <x:c r="A1486" s="136" t="str">
        <x:v>HarpersFerry | Conquest | Outskirts</x:v>
      </x:c>
      <x:c r="B1486" s="136" t="str">
        <x:v>Gun | 3-inch Ordnance · 3InchOrdnanceRifle-171 [map-68/030]</x:v>
      </x:c>
      <x:c r="C1486" s="136" t="str">
        <x:v>gun_spawn</x:v>
      </x:c>
      <x:c r="D1486" s="136" t="str"/>
      <x:c r="E1486" s="136" t="str">
        <x:v>3-inch Ordnance · 3InchOrdnanceRifle-171</x:v>
      </x:c>
      <x:c r="F1486" s="137" t="n">
        <x:v>683.3240966796875</x:v>
      </x:c>
      <x:c r="G1486" s="137" t="n">
        <x:v>1756.951416015625</x:v>
      </x:c>
      <x:c r="H1486" s="137" t="n">
        <x:v>163.32745361328125</x:v>
      </x:c>
      <x:c r="I1486" s="137" t="n">
        <x:v>351.04919201520914</x:v>
      </x:c>
      <x:c r="J1486" s="137" t="n">
        <x:v>1374.4537739441473</x:v>
      </x:c>
      <x:c r="K1486" s="136" t="str">
        <x:v>map-68</x:v>
      </x:c>
      <x:c r="L1486" s="136" t="str">
        <x:v>HarpersFerry | Conquest | Outskirts||Gun | 3-inch Ordnance · 3InchOrdnanceRifle-171 [map-68/030]</x:v>
      </x:c>
      <x:c r="M1486" s="35"/>
      <x:c r="N1486" s="35"/>
      <x:c r="O1486" s="35"/>
      <x:c r="P1486" s="35"/>
      <x:c r="Q1486" s="35"/>
      <x:c r="R1486" s="35"/>
      <x:c r="S1486" s="35"/>
      <x:c r="T1486" s="35"/>
      <x:c r="U1486" s="35"/>
      <x:c r="V1486" s="35"/>
      <x:c r="W1486" s="35"/>
      <x:c r="X1486" s="35"/>
      <x:c r="Y1486" s="35"/>
      <x:c r="Z1486" s="35"/>
      <x:c r="AA1486" s="35"/>
    </x:row>
    <x:row r="1487">
      <x:c r="A1487" s="136" t="str">
        <x:v>HarpersFerry | Conquest | Outskirts</x:v>
      </x:c>
      <x:c r="B1487" s="136" t="str">
        <x:v>Gun | 10-pounder Parrott · 3InchOrdnanceRifle-166 [map-68/031]</x:v>
      </x:c>
      <x:c r="C1487" s="136" t="str">
        <x:v>gun_spawn</x:v>
      </x:c>
      <x:c r="D1487" s="136" t="str"/>
      <x:c r="E1487" s="136" t="str">
        <x:v>10-pounder Parrott · 3InchOrdnanceRifle-166</x:v>
      </x:c>
      <x:c r="F1487" s="137" t="n">
        <x:v>691.8099975585938</x:v>
      </x:c>
      <x:c r="G1487" s="137" t="n">
        <x:v>1688.9019775390625</x:v>
      </x:c>
      <x:c r="H1487" s="137" t="n">
        <x:v>158.93873596191406</x:v>
      </x:c>
      <x:c r="I1487" s="137" t="n">
        <x:v>367.5692728136882</x:v>
      </x:c>
      <x:c r="J1487" s="137" t="n">
        <x:v>1508.484893723147</x:v>
      </x:c>
      <x:c r="K1487" s="136" t="str">
        <x:v>map-68</x:v>
      </x:c>
      <x:c r="L1487" s="136" t="str">
        <x:v>HarpersFerry | Conquest | Outskirts||Gun | 10-pounder Parrott · 3InchOrdnanceRifle-166 [map-68/031]</x:v>
      </x:c>
      <x:c r="M1487" s="35"/>
      <x:c r="N1487" s="35"/>
      <x:c r="O1487" s="35"/>
      <x:c r="P1487" s="35"/>
      <x:c r="Q1487" s="35"/>
      <x:c r="R1487" s="35"/>
      <x:c r="S1487" s="35"/>
      <x:c r="T1487" s="35"/>
      <x:c r="U1487" s="35"/>
      <x:c r="V1487" s="35"/>
      <x:c r="W1487" s="35"/>
      <x:c r="X1487" s="35"/>
      <x:c r="Y1487" s="35"/>
      <x:c r="Z1487" s="35"/>
      <x:c r="AA1487" s="35"/>
    </x:row>
    <x:row r="1488">
      <x:c r="A1488" s="136" t="str">
        <x:v>HarpersFerry | Conquest | Outskirts</x:v>
      </x:c>
      <x:c r="B1488" s="136" t="str">
        <x:v>Gun | 12-pounder Napoleon (CSA) · Entity-1651 [map-68/032]</x:v>
      </x:c>
      <x:c r="C1488" s="136" t="str">
        <x:v>gun_spawn</x:v>
      </x:c>
      <x:c r="D1488" s="136" t="str"/>
      <x:c r="E1488" s="136" t="str">
        <x:v>12-pounder Napoleon (CSA) · Entity-1651</x:v>
      </x:c>
      <x:c r="F1488" s="137" t="n">
        <x:v>1130.17236328125</x:v>
      </x:c>
      <x:c r="G1488" s="137" t="n">
        <x:v>2092.822509765625</x:v>
      </x:c>
      <x:c r="H1488" s="137" t="n">
        <x:v>139.58551025390625</x:v>
      </x:c>
      <x:c r="I1488" s="137" t="n">
        <x:v>1220.9591254752852</x:v>
      </x:c>
      <x:c r="J1488" s="137" t="n">
        <x:v>802.4548042273615</x:v>
      </x:c>
      <x:c r="K1488" s="136" t="str">
        <x:v>map-68</x:v>
      </x:c>
      <x:c r="L1488" s="136" t="str">
        <x:v>HarpersFerry | Conquest | Outskirts||Gun | 12-pounder Napoleon (CSA) · Entity-1651 [map-68/032]</x:v>
      </x:c>
      <x:c r="M1488" s="35"/>
      <x:c r="N1488" s="35"/>
      <x:c r="O1488" s="35"/>
      <x:c r="P1488" s="35"/>
      <x:c r="Q1488" s="35"/>
      <x:c r="R1488" s="35"/>
      <x:c r="S1488" s="35"/>
      <x:c r="T1488" s="35"/>
      <x:c r="U1488" s="35"/>
      <x:c r="V1488" s="35"/>
      <x:c r="W1488" s="35"/>
      <x:c r="X1488" s="35"/>
      <x:c r="Y1488" s="35"/>
      <x:c r="Z1488" s="35"/>
      <x:c r="AA1488" s="35"/>
    </x:row>
    <x:row r="1489">
      <x:c r="A1489" s="136" t="str">
        <x:v>HarpersFerry | Conquest | Outskirts</x:v>
      </x:c>
      <x:c r="B1489" s="136" t="str">
        <x:v>Gun | 3-inch Ordnance · 3InchOrdnanceRifle-172 [map-68/033]</x:v>
      </x:c>
      <x:c r="C1489" s="136" t="str">
        <x:v>gun_spawn</x:v>
      </x:c>
      <x:c r="D1489" s="136" t="str"/>
      <x:c r="E1489" s="136" t="str">
        <x:v>3-inch Ordnance · 3InchOrdnanceRifle-172</x:v>
      </x:c>
      <x:c r="F1489" s="137" t="n">
        <x:v>675.4078369140625</x:v>
      </x:c>
      <x:c r="G1489" s="137" t="n">
        <x:v>1749.2274169921875</x:v>
      </x:c>
      <x:c r="H1489" s="137" t="n">
        <x:v>163.32745361328125</x:v>
      </x:c>
      <x:c r="I1489" s="137" t="n">
        <x:v>335.6380703422053</x:v>
      </x:c>
      <x:c r="J1489" s="137" t="n">
        <x:v>1388.0403223723622</x:v>
      </x:c>
      <x:c r="K1489" s="136" t="str">
        <x:v>map-68</x:v>
      </x:c>
      <x:c r="L1489" s="136" t="str">
        <x:v>HarpersFerry | Conquest | Outskirts||Gun | 3-inch Ordnance · 3InchOrdnanceRifle-172 [map-68/033]</x:v>
      </x:c>
      <x:c r="M1489" s="35"/>
      <x:c r="N1489" s="35"/>
      <x:c r="O1489" s="35"/>
      <x:c r="P1489" s="35"/>
      <x:c r="Q1489" s="35"/>
      <x:c r="R1489" s="35"/>
      <x:c r="S1489" s="35"/>
      <x:c r="T1489" s="35"/>
      <x:c r="U1489" s="35"/>
      <x:c r="V1489" s="35"/>
      <x:c r="W1489" s="35"/>
      <x:c r="X1489" s="35"/>
      <x:c r="Y1489" s="35"/>
      <x:c r="Z1489" s="35"/>
      <x:c r="AA1489" s="35"/>
    </x:row>
    <x:row r="1490">
      <x:c r="A1490" s="136" t="str">
        <x:v>HarpersFerry | Conquest | Outskirts</x:v>
      </x:c>
      <x:c r="B1490" s="136" t="str">
        <x:v>Gun | 12-pounder Napoleon (USA) · 3InchOrdnanceRifle-168 [map-68/034]</x:v>
      </x:c>
      <x:c r="C1490" s="136" t="str">
        <x:v>gun_spawn</x:v>
      </x:c>
      <x:c r="D1490" s="136" t="str"/>
      <x:c r="E1490" s="136" t="str">
        <x:v>12-pounder Napoleon (USA) · 3InchOrdnanceRifle-168</x:v>
      </x:c>
      <x:c r="F1490" s="137" t="n">
        <x:v>668.074951171875</x:v>
      </x:c>
      <x:c r="G1490" s="137" t="n">
        <x:v>1715.5125732421875</x:v>
      </x:c>
      <x:c r="H1490" s="137" t="n">
        <x:v>163.3070831298828</x:v>
      </x:c>
      <x:c r="I1490" s="137" t="n">
        <x:v>321.3626425855513</x:v>
      </x:c>
      <x:c r="J1490" s="137" t="n">
        <x:v>1452.3318933274784</x:v>
      </x:c>
      <x:c r="K1490" s="136" t="str">
        <x:v>map-68</x:v>
      </x:c>
      <x:c r="L1490" s="136" t="str">
        <x:v>HarpersFerry | Conquest | Outskirts||Gun | 12-pounder Napoleon (USA) · 3InchOrdnanceRifle-168 [map-68/034]</x:v>
      </x:c>
      <x:c r="M1490" s="35"/>
      <x:c r="N1490" s="35"/>
      <x:c r="O1490" s="35"/>
      <x:c r="P1490" s="35"/>
      <x:c r="Q1490" s="35"/>
      <x:c r="R1490" s="35"/>
      <x:c r="S1490" s="35"/>
      <x:c r="T1490" s="35"/>
      <x:c r="U1490" s="35"/>
      <x:c r="V1490" s="35"/>
      <x:c r="W1490" s="35"/>
      <x:c r="X1490" s="35"/>
      <x:c r="Y1490" s="35"/>
      <x:c r="Z1490" s="35"/>
      <x:c r="AA1490" s="35"/>
    </x:row>
    <x:row r="1491">
      <x:c r="A1491" s="136" t="str">
        <x:v>HarpersFerry | Conquest | Outskirts</x:v>
      </x:c>
      <x:c r="B1491" s="136" t="str">
        <x:v>Gun | 12-pounder Napoleon (USA) · Entity-1637 [map-68/035]</x:v>
      </x:c>
      <x:c r="C1491" s="136" t="str">
        <x:v>gun_spawn</x:v>
      </x:c>
      <x:c r="D1491" s="136" t="str"/>
      <x:c r="E1491" s="136" t="str">
        <x:v>12-pounder Napoleon (USA) · Entity-1637</x:v>
      </x:c>
      <x:c r="F1491" s="137" t="n">
        <x:v>925.7066650390625</x:v>
      </x:c>
      <x:c r="G1491" s="137" t="n">
        <x:v>1732.5340576171875</x:v>
      </x:c>
      <x:c r="H1491" s="137" t="n">
        <x:v>144.52215576171875</x:v>
      </x:c>
      <x:c r="I1491" s="137" t="n">
        <x:v>822.9118346007605</x:v>
      </x:c>
      <x:c r="J1491" s="137" t="n">
        <x:v>1466.3940323638842</x:v>
      </x:c>
      <x:c r="K1491" s="136" t="str">
        <x:v>map-68</x:v>
      </x:c>
      <x:c r="L1491" s="136" t="str">
        <x:v>HarpersFerry | Conquest | Outskirts||Gun | 12-pounder Napoleon (USA) · Entity-1637 [map-68/035]</x:v>
      </x:c>
      <x:c r="M1491" s="35"/>
      <x:c r="N1491" s="35"/>
      <x:c r="O1491" s="35"/>
      <x:c r="P1491" s="35"/>
      <x:c r="Q1491" s="35"/>
      <x:c r="R1491" s="35"/>
      <x:c r="S1491" s="35"/>
      <x:c r="T1491" s="35"/>
      <x:c r="U1491" s="35"/>
      <x:c r="V1491" s="35"/>
      <x:c r="W1491" s="35"/>
      <x:c r="X1491" s="35"/>
      <x:c r="Y1491" s="35"/>
      <x:c r="Z1491" s="35"/>
      <x:c r="AA1491" s="35"/>
    </x:row>
    <x:row r="1492">
      <x:c r="A1492" s="136" t="str">
        <x:v>HarpersFerry | Conquest | Outskirts</x:v>
      </x:c>
      <x:c r="B1492" s="136" t="str">
        <x:v>Gun | 12-pounder Napoleon (USA) · 3InchOrdnanceRifle-162 [map-68/036]</x:v>
      </x:c>
      <x:c r="C1492" s="136" t="str">
        <x:v>gun_spawn</x:v>
      </x:c>
      <x:c r="D1492" s="136" t="str"/>
      <x:c r="E1492" s="136" t="str">
        <x:v>12-pounder Napoleon (USA) · 3InchOrdnanceRifle-162</x:v>
      </x:c>
      <x:c r="F1492" s="137" t="n">
        <x:v>734.99072265625</x:v>
      </x:c>
      <x:c r="G1492" s="137" t="n">
        <x:v>1692.052490234375</x:v>
      </x:c>
      <x:c r="H1492" s="137" t="n">
        <x:v>152.57833862304688</x:v>
      </x:c>
      <x:c r="I1492" s="137" t="n">
        <x:v>451.63212927756655</x:v>
      </x:c>
      <x:c r="J1492" s="137" t="n">
        <x:v>1510.2624344388923</x:v>
      </x:c>
      <x:c r="K1492" s="136" t="str">
        <x:v>map-68</x:v>
      </x:c>
      <x:c r="L1492" s="136" t="str">
        <x:v>HarpersFerry | Conquest | Outskirts||Gun | 12-pounder Napoleon (USA) · 3InchOrdnanceRifle-162 [map-68/036]</x:v>
      </x:c>
      <x:c r="M1492" s="35"/>
      <x:c r="N1492" s="35"/>
      <x:c r="O1492" s="35"/>
      <x:c r="P1492" s="35"/>
      <x:c r="Q1492" s="35"/>
      <x:c r="R1492" s="35"/>
      <x:c r="S1492" s="35"/>
      <x:c r="T1492" s="35"/>
      <x:c r="U1492" s="35"/>
      <x:c r="V1492" s="35"/>
      <x:c r="W1492" s="35"/>
      <x:c r="X1492" s="35"/>
      <x:c r="Y1492" s="35"/>
      <x:c r="Z1492" s="35"/>
      <x:c r="AA1492" s="35"/>
    </x:row>
    <x:row r="1493">
      <x:c r="A1493" s="136" t="str">
        <x:v>HarpersFerry | Conquest | Outskirts</x:v>
      </x:c>
      <x:c r="B1493" s="136" t="str">
        <x:v>Gun | 3-inch Ordnance · 3InchOrdnanceRifle-169 [map-68/037]</x:v>
      </x:c>
      <x:c r="C1493" s="136" t="str">
        <x:v>gun_spawn</x:v>
      </x:c>
      <x:c r="D1493" s="136" t="str"/>
      <x:c r="E1493" s="136" t="str">
        <x:v>3-inch Ordnance · 3InchOrdnanceRifle-169</x:v>
      </x:c>
      <x:c r="F1493" s="137" t="n">
        <x:v>692.5941162109375</x:v>
      </x:c>
      <x:c r="G1493" s="137" t="n">
        <x:v>1764.5723876953125</x:v>
      </x:c>
      <x:c r="H1493" s="137" t="n">
        <x:v>163.27745056152344</x:v>
      </x:c>
      <x:c r="I1493" s="137" t="n">
        <x:v>369.09576996197717</x:v>
      </x:c>
      <x:c r="J1493" s="137" t="n">
        <x:v>1361.3158093300501</x:v>
      </x:c>
      <x:c r="K1493" s="136" t="str">
        <x:v>map-68</x:v>
      </x:c>
      <x:c r="L1493" s="136" t="str">
        <x:v>HarpersFerry | Conquest | Outskirts||Gun | 3-inch Ordnance · 3InchOrdnanceRifle-169 [map-68/037]</x:v>
      </x:c>
      <x:c r="M1493" s="35"/>
      <x:c r="N1493" s="35"/>
      <x:c r="O1493" s="35"/>
      <x:c r="P1493" s="35"/>
      <x:c r="Q1493" s="35"/>
      <x:c r="R1493" s="35"/>
      <x:c r="S1493" s="35"/>
      <x:c r="T1493" s="35"/>
      <x:c r="U1493" s="35"/>
      <x:c r="V1493" s="35"/>
      <x:c r="W1493" s="35"/>
      <x:c r="X1493" s="35"/>
      <x:c r="Y1493" s="35"/>
      <x:c r="Z1493" s="35"/>
      <x:c r="AA1493" s="35"/>
    </x:row>
    <x:row r="1494">
      <x:c r="A1494" s="136" t="str">
        <x:v>HarpersFerry | Conquest | Outskirts</x:v>
      </x:c>
      <x:c r="B1494" s="136" t="str">
        <x:v>Gun | 3-inch Ordnance · Entity-1646 [map-68/038]</x:v>
      </x:c>
      <x:c r="C1494" s="136" t="str">
        <x:v>gun_spawn</x:v>
      </x:c>
      <x:c r="D1494" s="136" t="str"/>
      <x:c r="E1494" s="136" t="str">
        <x:v>3-inch Ordnance · Entity-1646</x:v>
      </x:c>
      <x:c r="F1494" s="137" t="n">
        <x:v>1163.8670654296875</x:v>
      </x:c>
      <x:c r="G1494" s="137" t="n">
        <x:v>2070.900146484375</x:v>
      </x:c>
      <x:c r="H1494" s="137" t="n">
        <x:v>136.84022521972656</x:v>
      </x:c>
      <x:c r="I1494" s="137" t="n">
        <x:v>1286.5548954372623</x:v>
      </x:c>
      <x:c r="J1494" s="137" t="n">
        <x:v>851.3055468697767</x:v>
      </x:c>
      <x:c r="K1494" s="136" t="str">
        <x:v>map-68</x:v>
      </x:c>
      <x:c r="L1494" s="136" t="str">
        <x:v>HarpersFerry | Conquest | Outskirts||Gun | 3-inch Ordnance · Entity-1646 [map-68/038]</x:v>
      </x:c>
      <x:c r="M1494" s="35"/>
      <x:c r="N1494" s="35"/>
      <x:c r="O1494" s="35"/>
      <x:c r="P1494" s="35"/>
      <x:c r="Q1494" s="35"/>
      <x:c r="R1494" s="35"/>
      <x:c r="S1494" s="35"/>
      <x:c r="T1494" s="35"/>
      <x:c r="U1494" s="35"/>
      <x:c r="V1494" s="35"/>
      <x:c r="W1494" s="35"/>
      <x:c r="X1494" s="35"/>
      <x:c r="Y1494" s="35"/>
      <x:c r="Z1494" s="35"/>
      <x:c r="AA1494" s="35"/>
    </x:row>
    <x:row r="1495">
      <x:c r="A1495" s="136" t="str">
        <x:v>HarpersFerry | Conquest | Outskirts</x:v>
      </x:c>
      <x:c r="B1495" s="136" t="str">
        <x:v>Gun | 12-pounder Napoleon (USA) · Entity-1649 [map-68/039]</x:v>
      </x:c>
      <x:c r="C1495" s="136" t="str">
        <x:v>gun_spawn</x:v>
      </x:c>
      <x:c r="D1495" s="136" t="str"/>
      <x:c r="E1495" s="136" t="str">
        <x:v>12-pounder Napoleon (USA) · Entity-1649</x:v>
      </x:c>
      <x:c r="F1495" s="137" t="n">
        <x:v>1145.587646484375</x:v>
      </x:c>
      <x:c r="G1495" s="137" t="n">
        <x:v>2082.854248046875</x:v>
      </x:c>
      <x:c r="H1495" s="137" t="n">
        <x:v>138.563232421875</x:v>
      </x:c>
      <x:c r="I1495" s="137" t="n">
        <x:v>1250.9691064638782</x:v>
      </x:c>
      <x:c r="J1495" s="137" t="n">
        <x:v>824.6848309699811</x:v>
      </x:c>
      <x:c r="K1495" s="136" t="str">
        <x:v>map-68</x:v>
      </x:c>
      <x:c r="L1495" s="136" t="str">
        <x:v>HarpersFerry | Conquest | Outskirts||Gun | 12-pounder Napoleon (USA) · Entity-1649 [map-68/039]</x:v>
      </x:c>
      <x:c r="M1495" s="35"/>
      <x:c r="N1495" s="35"/>
      <x:c r="O1495" s="35"/>
      <x:c r="P1495" s="35"/>
      <x:c r="Q1495" s="35"/>
      <x:c r="R1495" s="35"/>
      <x:c r="S1495" s="35"/>
      <x:c r="T1495" s="35"/>
      <x:c r="U1495" s="35"/>
      <x:c r="V1495" s="35"/>
      <x:c r="W1495" s="35"/>
      <x:c r="X1495" s="35"/>
      <x:c r="Y1495" s="35"/>
      <x:c r="Z1495" s="35"/>
      <x:c r="AA1495" s="35"/>
    </x:row>
    <x:row r="1496">
      <x:c r="A1496" s="136" t="str">
        <x:v>HarpersFerry | Conquest | Overlook</x:v>
      </x:c>
      <x:c r="B1496" s="136" t="str">
        <x:v>Spawn | USA CQ3_Spawnpoint_USA_Infantry_1 [map-69/001]</x:v>
      </x:c>
      <x:c r="C1496" s="136" t="str">
        <x:v>spawn</x:v>
      </x:c>
      <x:c r="D1496" s="136" t="str">
        <x:v>USA</x:v>
      </x:c>
      <x:c r="E1496" s="136" t="str">
        <x:v>CQ3_Spawnpoint_USA_Infantry_1</x:v>
      </x:c>
      <x:c r="F1496" s="137" t="n">
        <x:v>2604.469482421875</x:v>
      </x:c>
      <x:c r="G1496" s="137" t="n">
        <x:v>2645.071044921875</x:v>
      </x:c>
      <x:c r="H1496" s="137" t="n">
        <x:v>157.8117218017578</x:v>
      </x:c>
      <x:c r="I1496" s="137" t="n">
        <x:v>803.7543156501291</x:v>
      </x:c>
      <x:c r="J1496" s="137" t="n">
        <x:v>309.2190333920646</x:v>
      </x:c>
      <x:c r="K1496" s="136" t="str">
        <x:v>map-69</x:v>
      </x:c>
      <x:c r="L1496" s="136" t="str">
        <x:v>HarpersFerry | Conquest | Overlook||Spawn | USA CQ3_Spawnpoint_USA_Infantry_1 [map-69/001]</x:v>
      </x:c>
      <x:c r="M1496" s="35"/>
      <x:c r="N1496" s="35"/>
      <x:c r="O1496" s="35"/>
      <x:c r="P1496" s="35"/>
      <x:c r="Q1496" s="35"/>
      <x:c r="R1496" s="35"/>
      <x:c r="S1496" s="35"/>
      <x:c r="T1496" s="35"/>
      <x:c r="U1496" s="35"/>
      <x:c r="V1496" s="35"/>
      <x:c r="W1496" s="35"/>
      <x:c r="X1496" s="35"/>
      <x:c r="Y1496" s="35"/>
      <x:c r="Z1496" s="35"/>
      <x:c r="AA1496" s="35"/>
    </x:row>
    <x:row r="1497">
      <x:c r="A1497" s="136" t="str">
        <x:v>HarpersFerry | Conquest | Overlook</x:v>
      </x:c>
      <x:c r="B1497" s="136" t="str">
        <x:v>Objective | Victory_Conquest_3 [map-69/002]</x:v>
      </x:c>
      <x:c r="C1497" s="136" t="str">
        <x:v>objective</x:v>
      </x:c>
      <x:c r="D1497" s="136" t="str"/>
      <x:c r="E1497" s="136" t="str">
        <x:v>Victory_Conquest_3</x:v>
      </x:c>
      <x:c r="F1497" s="137" t="n">
        <x:v>2806.368408203125</x:v>
      </x:c>
      <x:c r="G1497" s="137" t="n">
        <x:v>1945.8311767578125</x:v>
      </x:c>
      <x:c r="H1497" s="137" t="n">
        <x:v>91.5</x:v>
      </x:c>
      <x:c r="I1497" s="137" t="n">
        <x:v>1219.1241367389482</x:v>
      </x:c>
      <x:c r="J1497" s="137" t="n">
        <x:v>1751.357251658303</x:v>
      </x:c>
      <x:c r="K1497" s="136" t="str">
        <x:v>map-69</x:v>
      </x:c>
      <x:c r="L1497" s="136" t="str">
        <x:v>HarpersFerry | Conquest | Overlook||Objective | Victory_Conquest_3 [map-69/002]</x:v>
      </x:c>
      <x:c r="M1497" s="35"/>
      <x:c r="N1497" s="35"/>
      <x:c r="O1497" s="35"/>
      <x:c r="P1497" s="35"/>
      <x:c r="Q1497" s="35"/>
      <x:c r="R1497" s="35"/>
      <x:c r="S1497" s="35"/>
      <x:c r="T1497" s="35"/>
      <x:c r="U1497" s="35"/>
      <x:c r="V1497" s="35"/>
      <x:c r="W1497" s="35"/>
      <x:c r="X1497" s="35"/>
      <x:c r="Y1497" s="35"/>
      <x:c r="Z1497" s="35"/>
      <x:c r="AA1497" s="35"/>
    </x:row>
    <x:row r="1498">
      <x:c r="A1498" s="136" t="str">
        <x:v>HarpersFerry | Conquest | Overlook</x:v>
      </x:c>
      <x:c r="B1498" s="136" t="str">
        <x:v>Spawn | CSA CQ3_Spawnpoint_CSA_Infantry_1 [map-69/003]</x:v>
      </x:c>
      <x:c r="C1498" s="136" t="str">
        <x:v>spawn</x:v>
      </x:c>
      <x:c r="D1498" s="136" t="str">
        <x:v>CSA</x:v>
      </x:c>
      <x:c r="E1498" s="136" t="str">
        <x:v>CQ3_Spawnpoint_CSA_Infantry_1</x:v>
      </x:c>
      <x:c r="F1498" s="137" t="n">
        <x:v>2818.327392578125</x:v>
      </x:c>
      <x:c r="G1498" s="137" t="n">
        <x:v>1942.269287109375</x:v>
      </x:c>
      <x:c r="H1498" s="137" t="n">
        <x:v>91.59300231933594</x:v>
      </x:c>
      <x:c r="I1498" s="137" t="n">
        <x:v>1243.8062474552232</x:v>
      </x:c>
      <x:c r="J1498" s="137" t="n">
        <x:v>1758.703424874578</x:v>
      </x:c>
      <x:c r="K1498" s="136" t="str">
        <x:v>map-69</x:v>
      </x:c>
      <x:c r="L1498" s="136" t="str">
        <x:v>HarpersFerry | Conquest | Overlook||Spawn | CSA CQ3_Spawnpoint_CSA_Infantry_1 [map-69/003]</x:v>
      </x:c>
      <x:c r="M1498" s="35"/>
      <x:c r="N1498" s="35"/>
      <x:c r="O1498" s="35"/>
      <x:c r="P1498" s="35"/>
      <x:c r="Q1498" s="35"/>
      <x:c r="R1498" s="35"/>
      <x:c r="S1498" s="35"/>
      <x:c r="T1498" s="35"/>
      <x:c r="U1498" s="35"/>
      <x:c r="V1498" s="35"/>
      <x:c r="W1498" s="35"/>
      <x:c r="X1498" s="35"/>
      <x:c r="Y1498" s="35"/>
      <x:c r="Z1498" s="35"/>
      <x:c r="AA1498" s="35"/>
    </x:row>
    <x:row r="1499">
      <x:c r="A1499" s="136" t="str">
        <x:v>HarpersFerry | Conquest | Overlook</x:v>
      </x:c>
      <x:c r="B1499" s="136" t="str">
        <x:v>Spawn | USA CQ3_Spawnpoint_USA_Infantry_0 [map-69/004]</x:v>
      </x:c>
      <x:c r="C1499" s="136" t="str">
        <x:v>spawn</x:v>
      </x:c>
      <x:c r="D1499" s="136" t="str">
        <x:v>USA</x:v>
      </x:c>
      <x:c r="E1499" s="136" t="str">
        <x:v>CQ3_Spawnpoint_USA_Infantry_0</x:v>
      </x:c>
      <x:c r="F1499" s="137" t="n">
        <x:v>2623.725830078125</x:v>
      </x:c>
      <x:c r="G1499" s="137" t="n">
        <x:v>2683.611572265625</x:v>
      </x:c>
      <x:c r="H1499" s="137" t="n">
        <x:v>158.3346710205078</x:v>
      </x:c>
      <x:c r="I1499" s="137" t="n">
        <x:v>843.5894843711236</x:v>
      </x:c>
      <x:c r="J1499" s="137" t="n">
        <x:v>229.73162146789787</x:v>
      </x:c>
      <x:c r="K1499" s="136" t="str">
        <x:v>map-69</x:v>
      </x:c>
      <x:c r="L1499" s="136" t="str">
        <x:v>HarpersFerry | Conquest | Overlook||Spawn | USA CQ3_Spawnpoint_USA_Infantry_0 [map-69/004]</x:v>
      </x:c>
      <x:c r="M1499" s="35"/>
      <x:c r="N1499" s="35"/>
      <x:c r="O1499" s="35"/>
      <x:c r="P1499" s="35"/>
      <x:c r="Q1499" s="35"/>
      <x:c r="R1499" s="35"/>
      <x:c r="S1499" s="35"/>
      <x:c r="T1499" s="35"/>
      <x:c r="U1499" s="35"/>
      <x:c r="V1499" s="35"/>
      <x:c r="W1499" s="35"/>
      <x:c r="X1499" s="35"/>
      <x:c r="Y1499" s="35"/>
      <x:c r="Z1499" s="35"/>
      <x:c r="AA1499" s="35"/>
    </x:row>
    <x:row r="1500">
      <x:c r="A1500" s="136" t="str">
        <x:v>HarpersFerry | Conquest | Overlook</x:v>
      </x:c>
      <x:c r="B1500" s="136" t="str">
        <x:v>Spawn | CSA CQ3_Spawnpoint_CSA_Infantry_0 [map-69/005]</x:v>
      </x:c>
      <x:c r="C1500" s="136" t="str">
        <x:v>spawn</x:v>
      </x:c>
      <x:c r="D1500" s="136" t="str">
        <x:v>CSA</x:v>
      </x:c>
      <x:c r="E1500" s="136" t="str">
        <x:v>CQ3_Spawnpoint_CSA_Infantry_0</x:v>
      </x:c>
      <x:c r="F1500" s="137" t="n">
        <x:v>2840.41015625</x:v>
      </x:c>
      <x:c r="G1500" s="137" t="n">
        <x:v>1929.3289794921875</x:v>
      </x:c>
      <x:c r="H1500" s="137" t="n">
        <x:v>91.58097839355469</x:v>
      </x:c>
      <x:c r="I1500" s="137" t="n">
        <x:v>1289.3695654427845</x:v>
      </x:c>
      <x:c r="J1500" s="137" t="n">
        <x:v>1785.3919948782686</x:v>
      </x:c>
      <x:c r="K1500" s="136" t="str">
        <x:v>map-69</x:v>
      </x:c>
      <x:c r="L1500" s="136" t="str">
        <x:v>HarpersFerry | Conquest | Overlook||Spawn | CSA CQ3_Spawnpoint_CSA_Infantry_0 [map-69/005]</x:v>
      </x:c>
      <x:c r="M1500" s="35"/>
      <x:c r="N1500" s="35"/>
      <x:c r="O1500" s="35"/>
      <x:c r="P1500" s="35"/>
      <x:c r="Q1500" s="35"/>
      <x:c r="R1500" s="35"/>
      <x:c r="S1500" s="35"/>
      <x:c r="T1500" s="35"/>
      <x:c r="U1500" s="35"/>
      <x:c r="V1500" s="35"/>
      <x:c r="W1500" s="35"/>
      <x:c r="X1500" s="35"/>
      <x:c r="Y1500" s="35"/>
      <x:c r="Z1500" s="35"/>
      <x:c r="AA1500" s="35"/>
    </x:row>
    <x:row r="1501">
      <x:c r="A1501" s="136" t="str">
        <x:v>HarpersFerry | Conquest | Valley</x:v>
      </x:c>
      <x:c r="B1501" s="136" t="str">
        <x:v>Spawn | USA CQ4_Spawnpoint_USA_Infantry_2 [map-70/001]</x:v>
      </x:c>
      <x:c r="C1501" s="136" t="str">
        <x:v>spawn</x:v>
      </x:c>
      <x:c r="D1501" s="136" t="str">
        <x:v>USA</x:v>
      </x:c>
      <x:c r="E1501" s="136" t="str">
        <x:v>CQ4_Spawnpoint_USA_Infantry_2</x:v>
      </x:c>
      <x:c r="F1501" s="137" t="n">
        <x:v>215.99972534179688</x:v>
      </x:c>
      <x:c r="G1501" s="137" t="n">
        <x:v>2295.598876953125</x:v>
      </x:c>
      <x:c r="H1501" s="137" t="n">
        <x:v>117.45675659179688</x:v>
      </x:c>
      <x:c r="I1501" s="137" t="n">
        <x:v>268.79559443780346</x:v>
      </x:c>
      <x:c r="J1501" s="137" t="n">
        <x:v>773.1651267160427</x:v>
      </x:c>
      <x:c r="K1501" s="136" t="str">
        <x:v>map-70</x:v>
      </x:c>
      <x:c r="L1501" s="136" t="str">
        <x:v>HarpersFerry | Conquest | Valley||Spawn | USA CQ4_Spawnpoint_USA_Infantry_2 [map-70/001]</x:v>
      </x:c>
      <x:c r="M1501" s="35"/>
      <x:c r="N1501" s="35"/>
      <x:c r="O1501" s="35"/>
      <x:c r="P1501" s="35"/>
      <x:c r="Q1501" s="35"/>
      <x:c r="R1501" s="35"/>
      <x:c r="S1501" s="35"/>
      <x:c r="T1501" s="35"/>
      <x:c r="U1501" s="35"/>
      <x:c r="V1501" s="35"/>
      <x:c r="W1501" s="35"/>
      <x:c r="X1501" s="35"/>
      <x:c r="Y1501" s="35"/>
      <x:c r="Z1501" s="35"/>
      <x:c r="AA1501" s="35"/>
    </x:row>
    <x:row r="1502">
      <x:c r="A1502" s="136" t="str">
        <x:v>HarpersFerry | Conquest | Valley</x:v>
      </x:c>
      <x:c r="B1502" s="136" t="str">
        <x:v>Spawn | CSA CQ4_Spawnpoint_CSA_Infantry_1 [map-70/002]</x:v>
      </x:c>
      <x:c r="C1502" s="136" t="str">
        <x:v>spawn</x:v>
      </x:c>
      <x:c r="D1502" s="136" t="str">
        <x:v>CSA</x:v>
      </x:c>
      <x:c r="E1502" s="136" t="str">
        <x:v>CQ4_Spawnpoint_CSA_Infantry_1</x:v>
      </x:c>
      <x:c r="F1502" s="137" t="n">
        <x:v>775.2705688476562</x:v>
      </x:c>
      <x:c r="G1502" s="137" t="n">
        <x:v>1933.640380859375</x:v>
      </x:c>
      <x:c r="H1502" s="137" t="n">
        <x:v>163.32101440429688</x:v>
      </x:c>
      <x:c r="I1502" s="137" t="n">
        <x:v>1149.4233059569206</x:v>
      </x:c>
      <x:c r="J1502" s="137" t="n">
        <x:v>1343.8279440430795</x:v>
      </x:c>
      <x:c r="K1502" s="136" t="str">
        <x:v>map-70</x:v>
      </x:c>
      <x:c r="L1502" s="136" t="str">
        <x:v>HarpersFerry | Conquest | Valley||Spawn | CSA CQ4_Spawnpoint_CSA_Infantry_1 [map-70/002]</x:v>
      </x:c>
      <x:c r="M1502" s="35"/>
      <x:c r="N1502" s="35"/>
      <x:c r="O1502" s="35"/>
      <x:c r="P1502" s="35"/>
      <x:c r="Q1502" s="35"/>
      <x:c r="R1502" s="35"/>
      <x:c r="S1502" s="35"/>
      <x:c r="T1502" s="35"/>
      <x:c r="U1502" s="35"/>
      <x:c r="V1502" s="35"/>
      <x:c r="W1502" s="35"/>
      <x:c r="X1502" s="35"/>
      <x:c r="Y1502" s="35"/>
      <x:c r="Z1502" s="35"/>
      <x:c r="AA1502" s="35"/>
    </x:row>
    <x:row r="1503">
      <x:c r="A1503" s="136" t="str">
        <x:v>HarpersFerry | Conquest | Valley</x:v>
      </x:c>
      <x:c r="B1503" s="136" t="str">
        <x:v>Objective | Victory_Conquest_4 [map-70/003]</x:v>
      </x:c>
      <x:c r="C1503" s="136" t="str">
        <x:v>objective</x:v>
      </x:c>
      <x:c r="D1503" s="136" t="str"/>
      <x:c r="E1503" s="136" t="str">
        <x:v>Victory_Conquest_4</x:v>
      </x:c>
      <x:c r="F1503" s="137" t="n">
        <x:v>390.0260009765625</x:v>
      </x:c>
      <x:c r="G1503" s="137" t="n">
        <x:v>2019.6412353515625</x:v>
      </x:c>
      <x:c r="H1503" s="137" t="n">
        <x:v>110.95001220703125</x:v>
      </x:c>
      <x:c r="I1503" s="137" t="n">
        <x:v>542.6192395358584</x:v>
      </x:c>
      <x:c r="J1503" s="137" t="n">
        <x:v>1208.2392220026031</x:v>
      </x:c>
      <x:c r="K1503" s="136" t="str">
        <x:v>map-70</x:v>
      </x:c>
      <x:c r="L1503" s="136" t="str">
        <x:v>HarpersFerry | Conquest | Valley||Objective | Victory_Conquest_4 [map-70/003]</x:v>
      </x:c>
      <x:c r="M1503" s="35"/>
      <x:c r="N1503" s="35"/>
      <x:c r="O1503" s="35"/>
      <x:c r="P1503" s="35"/>
      <x:c r="Q1503" s="35"/>
      <x:c r="R1503" s="35"/>
      <x:c r="S1503" s="35"/>
      <x:c r="T1503" s="35"/>
      <x:c r="U1503" s="35"/>
      <x:c r="V1503" s="35"/>
      <x:c r="W1503" s="35"/>
      <x:c r="X1503" s="35"/>
      <x:c r="Y1503" s="35"/>
      <x:c r="Z1503" s="35"/>
      <x:c r="AA1503" s="35"/>
    </x:row>
    <x:row r="1504">
      <x:c r="A1504" s="136" t="str">
        <x:v>HarpersFerry | Conquest | Valley</x:v>
      </x:c>
      <x:c r="B1504" s="136" t="str">
        <x:v>Spawn | USA CQ4_Spawnpoint_USA_Infantry_0 [map-70/004]</x:v>
      </x:c>
      <x:c r="C1504" s="136" t="str">
        <x:v>spawn</x:v>
      </x:c>
      <x:c r="D1504" s="136" t="str">
        <x:v>USA</x:v>
      </x:c>
      <x:c r="E1504" s="136" t="str">
        <x:v>CQ4_Spawnpoint_USA_Infantry_0</x:v>
      </x:c>
      <x:c r="F1504" s="137" t="n">
        <x:v>218.8082733154297</x:v>
      </x:c>
      <x:c r="G1504" s="137" t="n">
        <x:v>2280.332275390625</x:v>
      </x:c>
      <x:c r="H1504" s="137" t="n">
        <x:v>117.61514282226562</x:v>
      </x:c>
      <x:c r="I1504" s="137" t="n">
        <x:v>273.20162288262526</x:v>
      </x:c>
      <x:c r="J1504" s="137" t="n">
        <x:v>797.234410771221</x:v>
      </x:c>
      <x:c r="K1504" s="136" t="str">
        <x:v>map-70</x:v>
      </x:c>
      <x:c r="L1504" s="136" t="str">
        <x:v>HarpersFerry | Conquest | Valley||Spawn | USA CQ4_Spawnpoint_USA_Infantry_0 [map-70/004]</x:v>
      </x:c>
      <x:c r="M1504" s="35"/>
      <x:c r="N1504" s="35"/>
      <x:c r="O1504" s="35"/>
      <x:c r="P1504" s="35"/>
      <x:c r="Q1504" s="35"/>
      <x:c r="R1504" s="35"/>
      <x:c r="S1504" s="35"/>
      <x:c r="T1504" s="35"/>
      <x:c r="U1504" s="35"/>
      <x:c r="V1504" s="35"/>
      <x:c r="W1504" s="35"/>
      <x:c r="X1504" s="35"/>
      <x:c r="Y1504" s="35"/>
      <x:c r="Z1504" s="35"/>
      <x:c r="AA1504" s="35"/>
    </x:row>
    <x:row r="1505">
      <x:c r="A1505" s="136" t="str">
        <x:v>HarpersFerry | Conquest | Valley</x:v>
      </x:c>
      <x:c r="B1505" s="136" t="str">
        <x:v>Spawn | USA CQ4_Spawnpoint_USA_Cavalry_0 [map-70/005]</x:v>
      </x:c>
      <x:c r="C1505" s="136" t="str">
        <x:v>spawn</x:v>
      </x:c>
      <x:c r="D1505" s="136" t="str">
        <x:v>USA</x:v>
      </x:c>
      <x:c r="E1505" s="136" t="str">
        <x:v>CQ4_Spawnpoint_USA_Cavalry_0</x:v>
      </x:c>
      <x:c r="F1505" s="137" t="n">
        <x:v>232.31495666503906</x:v>
      </x:c>
      <x:c r="G1505" s="137" t="n">
        <x:v>2450.26171875</x:v>
      </x:c>
      <x:c r="H1505" s="137" t="n">
        <x:v>111.45860290527344</x:v>
      </x:c>
      <x:c r="I1505" s="137" t="n">
        <x:v>294.6859287890496</x:v>
      </x:c>
      <x:c r="J1505" s="137" t="n">
        <x:v>529.3240952494119</x:v>
      </x:c>
      <x:c r="K1505" s="136" t="str">
        <x:v>map-70</x:v>
      </x:c>
      <x:c r="L1505" s="136" t="str">
        <x:v>HarpersFerry | Conquest | Valley||Spawn | USA CQ4_Spawnpoint_USA_Cavalry_0 [map-70/005]</x:v>
      </x:c>
      <x:c r="M1505" s="35"/>
      <x:c r="N1505" s="35"/>
      <x:c r="O1505" s="35"/>
      <x:c r="P1505" s="35"/>
      <x:c r="Q1505" s="35"/>
      <x:c r="R1505" s="35"/>
      <x:c r="S1505" s="35"/>
      <x:c r="T1505" s="35"/>
      <x:c r="U1505" s="35"/>
      <x:c r="V1505" s="35"/>
      <x:c r="W1505" s="35"/>
      <x:c r="X1505" s="35"/>
      <x:c r="Y1505" s="35"/>
      <x:c r="Z1505" s="35"/>
      <x:c r="AA1505" s="35"/>
    </x:row>
    <x:row r="1506">
      <x:c r="A1506" s="136" t="str">
        <x:v>HarpersFerry | Conquest | Valley</x:v>
      </x:c>
      <x:c r="B1506" s="136" t="str">
        <x:v>Spawn | USA CQ4_Spawnpoint_USA_Infantry_1 [map-70/006]</x:v>
      </x:c>
      <x:c r="C1506" s="136" t="str">
        <x:v>spawn</x:v>
      </x:c>
      <x:c r="D1506" s="136" t="str">
        <x:v>USA</x:v>
      </x:c>
      <x:c r="E1506" s="136" t="str">
        <x:v>CQ4_Spawnpoint_USA_Infantry_1</x:v>
      </x:c>
      <x:c r="F1506" s="137" t="n">
        <x:v>230.92015075683594</x:v>
      </x:c>
      <x:c r="G1506" s="137" t="n">
        <x:v>2302.9765625</x:v>
      </x:c>
      <x:c r="H1506" s="137" t="n">
        <x:v>116.61448669433594</x:v>
      </x:c>
      <x:c r="I1506" s="137" t="n">
        <x:v>292.30995050223646</x:v>
      </x:c>
      <x:c r="J1506" s="137" t="n">
        <x:v>761.5334869977636</x:v>
      </x:c>
      <x:c r="K1506" s="136" t="str">
        <x:v>map-70</x:v>
      </x:c>
      <x:c r="L1506" s="136" t="str">
        <x:v>HarpersFerry | Conquest | Valley||Spawn | USA CQ4_Spawnpoint_USA_Infantry_1 [map-70/006]</x:v>
      </x:c>
      <x:c r="M1506" s="35"/>
      <x:c r="N1506" s="35"/>
      <x:c r="O1506" s="35"/>
      <x:c r="P1506" s="35"/>
      <x:c r="Q1506" s="35"/>
      <x:c r="R1506" s="35"/>
      <x:c r="S1506" s="35"/>
      <x:c r="T1506" s="35"/>
      <x:c r="U1506" s="35"/>
      <x:c r="V1506" s="35"/>
      <x:c r="W1506" s="35"/>
      <x:c r="X1506" s="35"/>
      <x:c r="Y1506" s="35"/>
      <x:c r="Z1506" s="35"/>
      <x:c r="AA1506" s="35"/>
    </x:row>
    <x:row r="1507">
      <x:c r="A1507" s="136" t="str">
        <x:v>HarpersFerry | Conquest | Valley</x:v>
      </x:c>
      <x:c r="B1507" s="136" t="str">
        <x:v>Spawn | CSA CQ4_Spawnpoint_CSA_Cavalry_0 [map-70/007]</x:v>
      </x:c>
      <x:c r="C1507" s="136" t="str">
        <x:v>spawn</x:v>
      </x:c>
      <x:c r="D1507" s="136" t="str">
        <x:v>CSA</x:v>
      </x:c>
      <x:c r="E1507" s="136" t="str">
        <x:v>CQ4_Spawnpoint_CSA_Cavalry_0</x:v>
      </x:c>
      <x:c r="F1507" s="137" t="n">
        <x:v>883.5482788085938</x:v>
      </x:c>
      <x:c r="G1507" s="137" t="n">
        <x:v>1898.429443359375</x:v>
      </x:c>
      <x:c r="H1507" s="137" t="n">
        <x:v>150.66493225097656</x:v>
      </x:c>
      <x:c r="I1507" s="137" t="n">
        <x:v>1319.9596417696462</x:v>
      </x:c>
      <x:c r="J1507" s="137" t="n">
        <x:v>1399.3414159226616</x:v>
      </x:c>
      <x:c r="K1507" s="136" t="str">
        <x:v>map-70</x:v>
      </x:c>
      <x:c r="L1507" s="136" t="str">
        <x:v>HarpersFerry | Conquest | Valley||Spawn | CSA CQ4_Spawnpoint_CSA_Cavalry_0 [map-70/007]</x:v>
      </x:c>
      <x:c r="M1507" s="35"/>
      <x:c r="N1507" s="35"/>
      <x:c r="O1507" s="35"/>
      <x:c r="P1507" s="35"/>
      <x:c r="Q1507" s="35"/>
      <x:c r="R1507" s="35"/>
      <x:c r="S1507" s="35"/>
      <x:c r="T1507" s="35"/>
      <x:c r="U1507" s="35"/>
      <x:c r="V1507" s="35"/>
      <x:c r="W1507" s="35"/>
      <x:c r="X1507" s="35"/>
      <x:c r="Y1507" s="35"/>
      <x:c r="Z1507" s="35"/>
      <x:c r="AA1507" s="35"/>
    </x:row>
    <x:row r="1508">
      <x:c r="A1508" s="136" t="str">
        <x:v>HarpersFerry | Conquest | Valley</x:v>
      </x:c>
      <x:c r="B1508" s="136" t="str">
        <x:v>Artillery | CSA CQ4_Spawnpoint_CSA_Artillery_Staging [map-70/008]</x:v>
      </x:c>
      <x:c r="C1508" s="136" t="str">
        <x:v>battery</x:v>
      </x:c>
      <x:c r="D1508" s="136" t="str">
        <x:v>CSA</x:v>
      </x:c>
      <x:c r="E1508" s="136" t="str">
        <x:v>CQ4_Spawnpoint_CSA_Artillery_Staging</x:v>
      </x:c>
      <x:c r="F1508" s="137" t="n">
        <x:v>791.6436157226562</x:v>
      </x:c>
      <x:c r="G1508" s="137" t="n">
        <x:v>1944.9456787109375</x:v>
      </x:c>
      <x:c r="H1508" s="137" t="n">
        <x:v>162.63348388671875</x:v>
      </x:c>
      <x:c r="I1508" s="137" t="n">
        <x:v>1175.2308627983589</x:v>
      </x:c>
      <x:c r="J1508" s="137" t="n">
        <x:v>1326.0040410477952</x:v>
      </x:c>
      <x:c r="K1508" s="136" t="str">
        <x:v>map-70</x:v>
      </x:c>
      <x:c r="L1508" s="136" t="str">
        <x:v>HarpersFerry | Conquest | Valley||Artillery | CSA CQ4_Spawnpoint_CSA_Artillery_Staging [map-70/008]</x:v>
      </x:c>
      <x:c r="M1508" s="35"/>
      <x:c r="N1508" s="35"/>
      <x:c r="O1508" s="35"/>
      <x:c r="P1508" s="35"/>
      <x:c r="Q1508" s="35"/>
      <x:c r="R1508" s="35"/>
      <x:c r="S1508" s="35"/>
      <x:c r="T1508" s="35"/>
      <x:c r="U1508" s="35"/>
      <x:c r="V1508" s="35"/>
      <x:c r="W1508" s="35"/>
      <x:c r="X1508" s="35"/>
      <x:c r="Y1508" s="35"/>
      <x:c r="Z1508" s="35"/>
      <x:c r="AA1508" s="35"/>
    </x:row>
    <x:row r="1509">
      <x:c r="A1509" s="136" t="str">
        <x:v>HarpersFerry | Conquest | Valley</x:v>
      </x:c>
      <x:c r="B1509" s="136" t="str">
        <x:v>Artillery | USA CQ4_Spawnpoint_USA_Artillery_Staging [map-70/009]</x:v>
      </x:c>
      <x:c r="C1509" s="136" t="str">
        <x:v>battery</x:v>
      </x:c>
      <x:c r="D1509" s="136" t="str">
        <x:v>USA</x:v>
      </x:c>
      <x:c r="E1509" s="136" t="str">
        <x:v>CQ4_Spawnpoint_USA_Artillery_Staging</x:v>
      </x:c>
      <x:c r="F1509" s="137" t="n">
        <x:v>208.84219360351562</x:v>
      </x:c>
      <x:c r="G1509" s="137" t="n">
        <x:v>2245.842041015625</x:v>
      </x:c>
      <x:c r="H1509" s="137" t="n">
        <x:v>118.75179290771484</x:v>
      </x:c>
      <x:c r="I1509" s="137" t="n">
        <x:v>257.45938562464187</x:v>
      </x:c>
      <x:c r="J1509" s="137" t="n">
        <x:v>851.6116239907428</x:v>
      </x:c>
      <x:c r="K1509" s="136" t="str">
        <x:v>map-70</x:v>
      </x:c>
      <x:c r="L1509" s="136" t="str">
        <x:v>HarpersFerry | Conquest | Valley||Artillery | USA CQ4_Spawnpoint_USA_Artillery_Staging [map-70/009]</x:v>
      </x:c>
      <x:c r="M1509" s="35"/>
      <x:c r="N1509" s="35"/>
      <x:c r="O1509" s="35"/>
      <x:c r="P1509" s="35"/>
      <x:c r="Q1509" s="35"/>
      <x:c r="R1509" s="35"/>
      <x:c r="S1509" s="35"/>
      <x:c r="T1509" s="35"/>
      <x:c r="U1509" s="35"/>
      <x:c r="V1509" s="35"/>
      <x:c r="W1509" s="35"/>
      <x:c r="X1509" s="35"/>
      <x:c r="Y1509" s="35"/>
      <x:c r="Z1509" s="35"/>
      <x:c r="AA1509" s="35"/>
    </x:row>
    <x:row r="1510">
      <x:c r="A1510" s="136" t="str">
        <x:v>HarpersFerry | Conquest | Valley</x:v>
      </x:c>
      <x:c r="B1510" s="136" t="str">
        <x:v>Spawn | CSA CQ4_Spawnpoint_CSA_Infantry_2 [map-70/010]</x:v>
      </x:c>
      <x:c r="C1510" s="136" t="str">
        <x:v>spawn</x:v>
      </x:c>
      <x:c r="D1510" s="136" t="str">
        <x:v>CSA</x:v>
      </x:c>
      <x:c r="E1510" s="136" t="str">
        <x:v>CQ4_Spawnpoint_CSA_Infantry_2</x:v>
      </x:c>
      <x:c r="F1510" s="137" t="n">
        <x:v>782.4935913085938</x:v>
      </x:c>
      <x:c r="G1510" s="137" t="n">
        <x:v>1916.74365234375</x:v>
      </x:c>
      <x:c r="H1510" s="137" t="n">
        <x:v>162.018310546875</x:v>
      </x:c>
      <x:c r="I1510" s="137" t="n">
        <x:v>1160.781852630534</x:v>
      </x:c>
      <x:c r="J1510" s="137" t="n">
        <x:v>1370.4672819848506</x:v>
      </x:c>
      <x:c r="K1510" s="136" t="str">
        <x:v>map-70</x:v>
      </x:c>
      <x:c r="L1510" s="136" t="str">
        <x:v>HarpersFerry | Conquest | Valley||Spawn | CSA CQ4_Spawnpoint_CSA_Infantry_2 [map-70/010]</x:v>
      </x:c>
      <x:c r="M1510" s="35"/>
      <x:c r="N1510" s="35"/>
      <x:c r="O1510" s="35"/>
      <x:c r="P1510" s="35"/>
      <x:c r="Q1510" s="35"/>
      <x:c r="R1510" s="35"/>
      <x:c r="S1510" s="35"/>
      <x:c r="T1510" s="35"/>
      <x:c r="U1510" s="35"/>
      <x:c r="V1510" s="35"/>
      <x:c r="W1510" s="35"/>
      <x:c r="X1510" s="35"/>
      <x:c r="Y1510" s="35"/>
      <x:c r="Z1510" s="35"/>
      <x:c r="AA1510" s="35"/>
    </x:row>
    <x:row r="1511">
      <x:c r="A1511" s="136" t="str">
        <x:v>HarpersFerry | Conquest | Valley</x:v>
      </x:c>
      <x:c r="B1511" s="136" t="str">
        <x:v>Artillery | USA CQ4_Spawnpoint_USA_Artillery_Forward [map-70/011]</x:v>
      </x:c>
      <x:c r="C1511" s="136" t="str">
        <x:v>battery</x:v>
      </x:c>
      <x:c r="D1511" s="136" t="str">
        <x:v>USA</x:v>
      </x:c>
      <x:c r="E1511" s="136" t="str">
        <x:v>CQ4_Spawnpoint_USA_Artillery_Forward</x:v>
      </x:c>
      <x:c r="F1511" s="137" t="n">
        <x:v>176.84573364257812</x:v>
      </x:c>
      <x:c r="G1511" s="137" t="n">
        <x:v>1940.4102783203125</x:v>
      </x:c>
      <x:c r="H1511" s="137" t="n">
        <x:v>127.73564910888672</x:v>
      </x:c>
      <x:c r="I1511" s="137" t="n">
        <x:v>206.6822374162656</x:v>
      </x:c>
      <x:c r="J1511" s="137" t="n">
        <x:v>1333.1545414298882</x:v>
      </x:c>
      <x:c r="K1511" s="136" t="str">
        <x:v>map-70</x:v>
      </x:c>
      <x:c r="L1511" s="136" t="str">
        <x:v>HarpersFerry | Conquest | Valley||Artillery | USA CQ4_Spawnpoint_USA_Artillery_Forward [map-70/011]</x:v>
      </x:c>
      <x:c r="M1511" s="35"/>
      <x:c r="N1511" s="35"/>
      <x:c r="O1511" s="35"/>
      <x:c r="P1511" s="35"/>
      <x:c r="Q1511" s="35"/>
      <x:c r="R1511" s="35"/>
      <x:c r="S1511" s="35"/>
      <x:c r="T1511" s="35"/>
      <x:c r="U1511" s="35"/>
      <x:c r="V1511" s="35"/>
      <x:c r="W1511" s="35"/>
      <x:c r="X1511" s="35"/>
      <x:c r="Y1511" s="35"/>
      <x:c r="Z1511" s="35"/>
      <x:c r="AA1511" s="35"/>
    </x:row>
    <x:row r="1512">
      <x:c r="A1512" s="136" t="str">
        <x:v>HarpersFerry | Conquest | Valley</x:v>
      </x:c>
      <x:c r="B1512" s="136" t="str">
        <x:v>Spawn | CSA CQ4_Spawnpoint_CSA_Infantry_0 [map-70/012]</x:v>
      </x:c>
      <x:c r="C1512" s="136" t="str">
        <x:v>spawn</x:v>
      </x:c>
      <x:c r="D1512" s="136" t="str">
        <x:v>CSA</x:v>
      </x:c>
      <x:c r="E1512" s="136" t="str">
        <x:v>CQ4_Spawnpoint_CSA_Infantry_0</x:v>
      </x:c>
      <x:c r="F1512" s="137" t="n">
        <x:v>788.1815795898438</x:v>
      </x:c>
      <x:c r="G1512" s="137" t="n">
        <x:v>1968.2213134765625</x:v>
      </x:c>
      <x:c r="H1512" s="137" t="n">
        <x:v>163.31802368164062</x:v>
      </x:c>
      <x:c r="I1512" s="137" t="n">
        <x:v>1169.805052249164</x:v>
      </x:c>
      <x:c r="J1512" s="137" t="n">
        <x:v>1289.3077362123745</x:v>
      </x:c>
      <x:c r="K1512" s="136" t="str">
        <x:v>map-70</x:v>
      </x:c>
      <x:c r="L1512" s="136" t="str">
        <x:v>HarpersFerry | Conquest | Valley||Spawn | CSA CQ4_Spawnpoint_CSA_Infantry_0 [map-70/012]</x:v>
      </x:c>
      <x:c r="M1512" s="35"/>
      <x:c r="N1512" s="35"/>
      <x:c r="O1512" s="35"/>
      <x:c r="P1512" s="35"/>
      <x:c r="Q1512" s="35"/>
      <x:c r="R1512" s="35"/>
      <x:c r="S1512" s="35"/>
      <x:c r="T1512" s="35"/>
      <x:c r="U1512" s="35"/>
      <x:c r="V1512" s="35"/>
      <x:c r="W1512" s="35"/>
      <x:c r="X1512" s="35"/>
      <x:c r="Y1512" s="35"/>
      <x:c r="Z1512" s="35"/>
      <x:c r="AA1512" s="35"/>
    </x:row>
    <x:row r="1513">
      <x:c r="A1513" s="136" t="str">
        <x:v>HarpersFerry | Conquest | Valley</x:v>
      </x:c>
      <x:c r="B1513" s="136" t="str">
        <x:v>Artillery | CSA CQ4_Spawnpoint_CSA_Artillery_Forward [map-70/013]</x:v>
      </x:c>
      <x:c r="C1513" s="136" t="str">
        <x:v>battery</x:v>
      </x:c>
      <x:c r="D1513" s="136" t="str">
        <x:v>CSA</x:v>
      </x:c>
      <x:c r="E1513" s="136" t="str">
        <x:v>CQ4_Spawnpoint_CSA_Artillery_Forward</x:v>
      </x:c>
      <x:c r="F1513" s="137" t="n">
        <x:v>728.5020751953125</x:v>
      </x:c>
      <x:c r="G1513" s="137" t="n">
        <x:v>2130.97802734375</x:v>
      </x:c>
      <x:c r="H1513" s="137" t="n">
        <x:v>133.25546264648438</x:v>
      </x:c>
      <x:c r="I1513" s="137" t="n">
        <x:v>1075.984265078089</x:v>
      </x:c>
      <x:c r="J1513" s="137" t="n">
        <x:v>1032.7059272296033</x:v>
      </x:c>
      <x:c r="K1513" s="136" t="str">
        <x:v>map-70</x:v>
      </x:c>
      <x:c r="L1513" s="136" t="str">
        <x:v>HarpersFerry | Conquest | Valley||Artillery | CSA CQ4_Spawnpoint_CSA_Artillery_Forward [map-70/013]</x:v>
      </x:c>
      <x:c r="M1513" s="35"/>
      <x:c r="N1513" s="35"/>
      <x:c r="O1513" s="35"/>
      <x:c r="P1513" s="35"/>
      <x:c r="Q1513" s="35"/>
      <x:c r="R1513" s="35"/>
      <x:c r="S1513" s="35"/>
      <x:c r="T1513" s="35"/>
      <x:c r="U1513" s="35"/>
      <x:c r="V1513" s="35"/>
      <x:c r="W1513" s="35"/>
      <x:c r="X1513" s="35"/>
      <x:c r="Y1513" s="35"/>
      <x:c r="Z1513" s="35"/>
      <x:c r="AA1513" s="35"/>
    </x:row>
    <x:row r="1514">
      <x:c r="A1514" s="136" t="str">
        <x:v>HarpersFerry | Conquest | Valley</x:v>
      </x:c>
      <x:c r="B1514" s="136" t="str">
        <x:v>Gun | 3-inch Ordnance · Entity-1031 [map-70/014]</x:v>
      </x:c>
      <x:c r="C1514" s="136" t="str">
        <x:v>gun_spawn</x:v>
      </x:c>
      <x:c r="D1514" s="136" t="str"/>
      <x:c r="E1514" s="136" t="str">
        <x:v>3-inch Ordnance · Entity-1031</x:v>
      </x:c>
      <x:c r="F1514" s="137" t="n">
        <x:v>684.76708984375</x:v>
      </x:c>
      <x:c r="G1514" s="137" t="n">
        <x:v>2123.677490234375</x:v>
      </x:c>
      <x:c r="H1514" s="137" t="n">
        <x:v>127.42688751220703</x:v>
      </x:c>
      <x:c r="I1514" s="137" t="n">
        <x:v>1007.0759881536272</x:v>
      </x:c>
      <x:c r="J1514" s="137" t="n">
        <x:v>1044.215934923296</x:v>
      </x:c>
      <x:c r="K1514" s="136" t="str">
        <x:v>map-70</x:v>
      </x:c>
      <x:c r="L1514" s="136" t="str">
        <x:v>HarpersFerry | Conquest | Valley||Gun | 3-inch Ordnance · Entity-1031 [map-70/014]</x:v>
      </x:c>
      <x:c r="M1514" s="35"/>
      <x:c r="N1514" s="35"/>
      <x:c r="O1514" s="35"/>
      <x:c r="P1514" s="35"/>
      <x:c r="Q1514" s="35"/>
      <x:c r="R1514" s="35"/>
      <x:c r="S1514" s="35"/>
      <x:c r="T1514" s="35"/>
      <x:c r="U1514" s="35"/>
      <x:c r="V1514" s="35"/>
      <x:c r="W1514" s="35"/>
      <x:c r="X1514" s="35"/>
      <x:c r="Y1514" s="35"/>
      <x:c r="Z1514" s="35"/>
      <x:c r="AA1514" s="35"/>
    </x:row>
    <x:row r="1515">
      <x:c r="A1515" s="136" t="str">
        <x:v>HarpersFerry | Conquest | Valley</x:v>
      </x:c>
      <x:c r="B1515" s="136" t="str">
        <x:v>Gun | 3-inch Ordnance · Entity-1679 [map-70/015]</x:v>
      </x:c>
      <x:c r="C1515" s="136" t="str">
        <x:v>gun_spawn</x:v>
      </x:c>
      <x:c r="D1515" s="136" t="str"/>
      <x:c r="E1515" s="136" t="str">
        <x:v>3-inch Ordnance · Entity-1679</x:v>
      </x:c>
      <x:c r="F1515" s="137" t="n">
        <x:v>193.097412109375</x:v>
      </x:c>
      <x:c r="G1515" s="137" t="n">
        <x:v>1961.4383544921875</x:v>
      </x:c>
      <x:c r="H1515" s="137" t="n">
        <x:v>125.61221313476562</x:v>
      </x:c>
      <x:c r="I1515" s="137" t="n">
        <x:v>232.3103837953936</x:v>
      </x:c>
      <x:c r="J1515" s="137" t="n">
        <x:v>1300.001731589222</x:v>
      </x:c>
      <x:c r="K1515" s="136" t="str">
        <x:v>map-70</x:v>
      </x:c>
      <x:c r="L1515" s="136" t="str">
        <x:v>HarpersFerry | Conquest | Valley||Gun | 3-inch Ordnance · Entity-1679 [map-70/015]</x:v>
      </x:c>
      <x:c r="M1515" s="35"/>
      <x:c r="N1515" s="35"/>
      <x:c r="O1515" s="35"/>
      <x:c r="P1515" s="35"/>
      <x:c r="Q1515" s="35"/>
      <x:c r="R1515" s="35"/>
      <x:c r="S1515" s="35"/>
      <x:c r="T1515" s="35"/>
      <x:c r="U1515" s="35"/>
      <x:c r="V1515" s="35"/>
      <x:c r="W1515" s="35"/>
      <x:c r="X1515" s="35"/>
      <x:c r="Y1515" s="35"/>
      <x:c r="Z1515" s="35"/>
      <x:c r="AA1515" s="35"/>
    </x:row>
    <x:row r="1516">
      <x:c r="A1516" s="136" t="str">
        <x:v>HarpersFerry | Conquest | Valley</x:v>
      </x:c>
      <x:c r="B1516" s="136" t="str">
        <x:v>Gun | 3-inch Ordnance · Entity-1678 [map-70/016]</x:v>
      </x:c>
      <x:c r="C1516" s="136" t="str">
        <x:v>gun_spawn</x:v>
      </x:c>
      <x:c r="D1516" s="136" t="str"/>
      <x:c r="E1516" s="136" t="str">
        <x:v>3-inch Ordnance · Entity-1678</x:v>
      </x:c>
      <x:c r="F1516" s="137" t="n">
        <x:v>191.3513641357422</x:v>
      </x:c>
      <x:c r="G1516" s="137" t="n">
        <x:v>1968.5977783203125</x:v>
      </x:c>
      <x:c r="H1516" s="137" t="n">
        <x:v>124.75962829589844</x:v>
      </x:c>
      <x:c r="I1516" s="137" t="n">
        <x:v>229.56836939007417</x:v>
      </x:c>
      <x:c r="J1516" s="137" t="n">
        <x:v>1288.7142027253105</x:v>
      </x:c>
      <x:c r="K1516" s="136" t="str">
        <x:v>map-70</x:v>
      </x:c>
      <x:c r="L1516" s="136" t="str">
        <x:v>HarpersFerry | Conquest | Valley||Gun | 3-inch Ordnance · Entity-1678 [map-70/016]</x:v>
      </x:c>
      <x:c r="M1516" s="35"/>
      <x:c r="N1516" s="35"/>
      <x:c r="O1516" s="35"/>
      <x:c r="P1516" s="35"/>
      <x:c r="Q1516" s="35"/>
      <x:c r="R1516" s="35"/>
      <x:c r="S1516" s="35"/>
      <x:c r="T1516" s="35"/>
      <x:c r="U1516" s="35"/>
      <x:c r="V1516" s="35"/>
      <x:c r="W1516" s="35"/>
      <x:c r="X1516" s="35"/>
      <x:c r="Y1516" s="35"/>
      <x:c r="Z1516" s="35"/>
      <x:c r="AA1516" s="35"/>
    </x:row>
    <x:row r="1517">
      <x:c r="A1517" s="136" t="str">
        <x:v>HarpersFerry | Conquest | Valley</x:v>
      </x:c>
      <x:c r="B1517" s="136" t="str">
        <x:v>Gun | 12-pounder Napoleon (CSA) · Entity-1682 [map-70/017]</x:v>
      </x:c>
      <x:c r="C1517" s="136" t="str">
        <x:v>gun_spawn</x:v>
      </x:c>
      <x:c r="D1517" s="136" t="str"/>
      <x:c r="E1517" s="136" t="str">
        <x:v>12-pounder Napoleon (CSA) · Entity-1682</x:v>
      </x:c>
      <x:c r="F1517" s="137" t="n">
        <x:v>200.2221221923828</x:v>
      </x:c>
      <x:c r="G1517" s="137" t="n">
        <x:v>1939.651611328125</x:v>
      </x:c>
      <x:c r="H1517" s="137" t="n">
        <x:v>127.05806732177734</x:v>
      </x:c>
      <x:c r="I1517" s="137" t="n">
        <x:v>243.50812021489537</x:v>
      </x:c>
      <x:c r="J1517" s="137" t="n">
        <x:v>1334.3506538235663</x:v>
      </x:c>
      <x:c r="K1517" s="136" t="str">
        <x:v>map-70</x:v>
      </x:c>
      <x:c r="L1517" s="136" t="str">
        <x:v>HarpersFerry | Conquest | Valley||Gun | 12-pounder Napoleon (CSA) · Entity-1682 [map-70/017]</x:v>
      </x:c>
      <x:c r="M1517" s="35"/>
      <x:c r="N1517" s="35"/>
      <x:c r="O1517" s="35"/>
      <x:c r="P1517" s="35"/>
      <x:c r="Q1517" s="35"/>
      <x:c r="R1517" s="35"/>
      <x:c r="S1517" s="35"/>
      <x:c r="T1517" s="35"/>
      <x:c r="U1517" s="35"/>
      <x:c r="V1517" s="35"/>
      <x:c r="W1517" s="35"/>
      <x:c r="X1517" s="35"/>
      <x:c r="Y1517" s="35"/>
      <x:c r="Z1517" s="35"/>
      <x:c r="AA1517" s="35"/>
    </x:row>
    <x:row r="1518">
      <x:c r="A1518" s="136" t="str">
        <x:v>HarpersFerry | Conquest | Valley</x:v>
      </x:c>
      <x:c r="B1518" s="136" t="str">
        <x:v>Gun | 12-pounder Napoleon (CSA) · Entity-1683 [map-70/018]</x:v>
      </x:c>
      <x:c r="C1518" s="136" t="str">
        <x:v>gun_spawn</x:v>
      </x:c>
      <x:c r="D1518" s="136" t="str"/>
      <x:c r="E1518" s="136" t="str">
        <x:v>12-pounder Napoleon (CSA) · Entity-1683</x:v>
      </x:c>
      <x:c r="F1518" s="137" t="n">
        <x:v>203.1532440185547</x:v>
      </x:c>
      <x:c r="G1518" s="137" t="n">
        <x:v>1930.1702880859375</x:v>
      </x:c>
      <x:c r="H1518" s="137" t="n">
        <x:v>126.08130645751953</x:v>
      </x:c>
      <x:c r="I1518" s="137" t="n">
        <x:v>248.1142658135509</x:v>
      </x:c>
      <x:c r="J1518" s="137" t="n">
        <x:v>1349.2988832249107</x:v>
      </x:c>
      <x:c r="K1518" s="136" t="str">
        <x:v>map-70</x:v>
      </x:c>
      <x:c r="L1518" s="136" t="str">
        <x:v>HarpersFerry | Conquest | Valley||Gun | 12-pounder Napoleon (CSA) · Entity-1683 [map-70/018]</x:v>
      </x:c>
      <x:c r="M1518" s="35"/>
      <x:c r="N1518" s="35"/>
      <x:c r="O1518" s="35"/>
      <x:c r="P1518" s="35"/>
      <x:c r="Q1518" s="35"/>
      <x:c r="R1518" s="35"/>
      <x:c r="S1518" s="35"/>
      <x:c r="T1518" s="35"/>
      <x:c r="U1518" s="35"/>
      <x:c r="V1518" s="35"/>
      <x:c r="W1518" s="35"/>
      <x:c r="X1518" s="35"/>
      <x:c r="Y1518" s="35"/>
      <x:c r="Z1518" s="35"/>
      <x:c r="AA1518" s="35"/>
    </x:row>
    <x:row r="1519">
      <x:c r="A1519" s="136" t="str">
        <x:v>HarpersFerry | Conquest | Valley</x:v>
      </x:c>
      <x:c r="B1519" s="136" t="str">
        <x:v>Gun | 12-pounder Napoleon (USA) · Entity-1681 [map-70/019]</x:v>
      </x:c>
      <x:c r="C1519" s="136" t="str">
        <x:v>gun_spawn</x:v>
      </x:c>
      <x:c r="D1519" s="136" t="str"/>
      <x:c r="E1519" s="136" t="str">
        <x:v>12-pounder Napoleon (USA) · Entity-1681</x:v>
      </x:c>
      <x:c r="F1519" s="137" t="n">
        <x:v>197.7149200439453</x:v>
      </x:c>
      <x:c r="G1519" s="137" t="n">
        <x:v>1947.703857421875</x:v>
      </x:c>
      <x:c r="H1519" s="137" t="n">
        <x:v>127.06459045410156</x:v>
      </x:c>
      <x:c r="I1519" s="137" t="n">
        <x:v>239.56807801767275</x:v>
      </x:c>
      <x:c r="J1519" s="137" t="n">
        <x:v>1321.6555037130966</x:v>
      </x:c>
      <x:c r="K1519" s="136" t="str">
        <x:v>map-70</x:v>
      </x:c>
      <x:c r="L1519" s="136" t="str">
        <x:v>HarpersFerry | Conquest | Valley||Gun | 12-pounder Napoleon (USA) · Entity-1681 [map-70/019]</x:v>
      </x:c>
      <x:c r="M1519" s="35"/>
      <x:c r="N1519" s="35"/>
      <x:c r="O1519" s="35"/>
      <x:c r="P1519" s="35"/>
      <x:c r="Q1519" s="35"/>
      <x:c r="R1519" s="35"/>
      <x:c r="S1519" s="35"/>
      <x:c r="T1519" s="35"/>
      <x:c r="U1519" s="35"/>
      <x:c r="V1519" s="35"/>
      <x:c r="W1519" s="35"/>
      <x:c r="X1519" s="35"/>
      <x:c r="Y1519" s="35"/>
      <x:c r="Z1519" s="35"/>
      <x:c r="AA1519" s="35"/>
    </x:row>
    <x:row r="1520">
      <x:c r="A1520" s="136" t="str">
        <x:v>HarpersFerry | Conquest | Valley</x:v>
      </x:c>
      <x:c r="B1520" s="136" t="str">
        <x:v>Gun | 3-inch Ordnance · Entity-1032 [map-70/020]</x:v>
      </x:c>
      <x:c r="C1520" s="136" t="str">
        <x:v>gun_spawn</x:v>
      </x:c>
      <x:c r="D1520" s="136" t="str"/>
      <x:c r="E1520" s="136" t="str">
        <x:v>3-inch Ordnance · Entity-1032</x:v>
      </x:c>
      <x:c r="F1520" s="137" t="n">
        <x:v>689.2044067382812</x:v>
      </x:c>
      <x:c r="G1520" s="137" t="n">
        <x:v>2117.39794921875</x:v>
      </x:c>
      <x:c r="H1520" s="137" t="n">
        <x:v>128.62110900878906</x:v>
      </x:c>
      <x:c r="I1520" s="137" t="n">
        <x:v>1014.0588533052762</x:v>
      </x:c>
      <x:c r="J1520" s="137" t="n">
        <x:v>1054.11624284857</x:v>
      </x:c>
      <x:c r="K1520" s="136" t="str">
        <x:v>map-70</x:v>
      </x:c>
      <x:c r="L1520" s="136" t="str">
        <x:v>HarpersFerry | Conquest | Valley||Gun | 3-inch Ordnance · Entity-1032 [map-70/020]</x:v>
      </x:c>
      <x:c r="M1520" s="35"/>
      <x:c r="N1520" s="35"/>
      <x:c r="O1520" s="35"/>
      <x:c r="P1520" s="35"/>
      <x:c r="Q1520" s="35"/>
      <x:c r="R1520" s="35"/>
      <x:c r="S1520" s="35"/>
      <x:c r="T1520" s="35"/>
      <x:c r="U1520" s="35"/>
      <x:c r="V1520" s="35"/>
      <x:c r="W1520" s="35"/>
      <x:c r="X1520" s="35"/>
      <x:c r="Y1520" s="35"/>
      <x:c r="Z1520" s="35"/>
      <x:c r="AA1520" s="35"/>
    </x:row>
    <x:row r="1521">
      <x:c r="A1521" s="136" t="str">
        <x:v>HarpersFerry | Conquest | Valley</x:v>
      </x:c>
      <x:c r="B1521" s="136" t="str">
        <x:v>Gun | 3-inch Ordnance · Entity-1680 [map-70/021]</x:v>
      </x:c>
      <x:c r="C1521" s="136" t="str">
        <x:v>gun_spawn</x:v>
      </x:c>
      <x:c r="D1521" s="136" t="str"/>
      <x:c r="E1521" s="136" t="str">
        <x:v>3-inch Ordnance · Entity-1680</x:v>
      </x:c>
      <x:c r="F1521" s="137" t="n">
        <x:v>195.22763061523438</x:v>
      </x:c>
      <x:c r="G1521" s="137" t="n">
        <x:v>1954.05029296875</x:v>
      </x:c>
      <x:c r="H1521" s="137" t="n">
        <x:v>126.41114044189453</x:v>
      </x:c>
      <x:c r="I1521" s="137" t="n">
        <x:v>235.65733726270747</x:v>
      </x:c>
      <x:c r="J1521" s="137" t="n">
        <x:v>1311.6497300449848</x:v>
      </x:c>
      <x:c r="K1521" s="136" t="str">
        <x:v>map-70</x:v>
      </x:c>
      <x:c r="L1521" s="136" t="str">
        <x:v>HarpersFerry | Conquest | Valley||Gun | 3-inch Ordnance · Entity-1680 [map-70/021]</x:v>
      </x:c>
      <x:c r="M1521" s="35"/>
      <x:c r="N1521" s="35"/>
      <x:c r="O1521" s="35"/>
      <x:c r="P1521" s="35"/>
      <x:c r="Q1521" s="35"/>
      <x:c r="R1521" s="35"/>
      <x:c r="S1521" s="35"/>
      <x:c r="T1521" s="35"/>
      <x:c r="U1521" s="35"/>
      <x:c r="V1521" s="35"/>
      <x:c r="W1521" s="35"/>
      <x:c r="X1521" s="35"/>
      <x:c r="Y1521" s="35"/>
      <x:c r="Z1521" s="35"/>
      <x:c r="AA1521" s="35"/>
    </x:row>
    <x:row r="1522">
      <x:c r="A1522" s="136" t="str">
        <x:v>HarpersFerry | Conquest | Valley</x:v>
      </x:c>
      <x:c r="B1522" s="136" t="str">
        <x:v>Gun | 12-pounder Napoleon (USA) · Entity-1694 [map-70/022]</x:v>
      </x:c>
      <x:c r="C1522" s="136" t="str">
        <x:v>gun_spawn</x:v>
      </x:c>
      <x:c r="D1522" s="136" t="str"/>
      <x:c r="E1522" s="136" t="str">
        <x:v>12-pounder Napoleon (USA) · Entity-1694</x:v>
      </x:c>
      <x:c r="F1522" s="137" t="n">
        <x:v>702.320556640625</x:v>
      </x:c>
      <x:c r="G1522" s="137" t="n">
        <x:v>2097.5439453125</x:v>
      </x:c>
      <x:c r="H1522" s="137" t="n">
        <x:v>131.76622009277344</x:v>
      </x:c>
      <x:c r="I1522" s="137" t="n">
        <x:v>1034.6977558017732</x:v>
      </x:c>
      <x:c r="J1522" s="137" t="n">
        <x:v>1085.4180134289961</x:v>
      </x:c>
      <x:c r="K1522" s="136" t="str">
        <x:v>map-70</x:v>
      </x:c>
      <x:c r="L1522" s="136" t="str">
        <x:v>HarpersFerry | Conquest | Valley||Gun | 12-pounder Napoleon (USA) · Entity-1694 [map-70/022]</x:v>
      </x:c>
      <x:c r="M1522" s="35"/>
      <x:c r="N1522" s="35"/>
      <x:c r="O1522" s="35"/>
      <x:c r="P1522" s="35"/>
      <x:c r="Q1522" s="35"/>
      <x:c r="R1522" s="35"/>
      <x:c r="S1522" s="35"/>
      <x:c r="T1522" s="35"/>
      <x:c r="U1522" s="35"/>
      <x:c r="V1522" s="35"/>
      <x:c r="W1522" s="35"/>
      <x:c r="X1522" s="35"/>
      <x:c r="Y1522" s="35"/>
      <x:c r="Z1522" s="35"/>
      <x:c r="AA1522" s="35"/>
    </x:row>
    <x:row r="1523">
      <x:c r="A1523" s="136" t="str">
        <x:v>HarpersFerry | Conquest | Valley</x:v>
      </x:c>
      <x:c r="B1523" s="136" t="str">
        <x:v>Gun | 12-pounder Napoleon (USA) · Entity-1693 [map-70/023]</x:v>
      </x:c>
      <x:c r="C1523" s="136" t="str">
        <x:v>gun_spawn</x:v>
      </x:c>
      <x:c r="D1523" s="136" t="str"/>
      <x:c r="E1523" s="136" t="str">
        <x:v>12-pounder Napoleon (USA) · Entity-1693</x:v>
      </x:c>
      <x:c r="F1523" s="137" t="n">
        <x:v>707.626708984375</x:v>
      </x:c>
      <x:c r="G1523" s="137" t="n">
        <x:v>2089.652099609375</x:v>
      </x:c>
      <x:c r="H1523" s="137" t="n">
        <x:v>133.0569610595703</x:v>
      </x:c>
      <x:c r="I1523" s="137" t="n">
        <x:v>1043.0474156041546</x:v>
      </x:c>
      <x:c r="J1523" s="137" t="n">
        <x:v>1097.8602767035377</x:v>
      </x:c>
      <x:c r="K1523" s="136" t="str">
        <x:v>map-70</x:v>
      </x:c>
      <x:c r="L1523" s="136" t="str">
        <x:v>HarpersFerry | Conquest | Valley||Gun | 12-pounder Napoleon (USA) · Entity-1693 [map-70/023]</x:v>
      </x:c>
      <x:c r="M1523" s="35"/>
      <x:c r="N1523" s="35"/>
      <x:c r="O1523" s="35"/>
      <x:c r="P1523" s="35"/>
      <x:c r="Q1523" s="35"/>
      <x:c r="R1523" s="35"/>
      <x:c r="S1523" s="35"/>
      <x:c r="T1523" s="35"/>
      <x:c r="U1523" s="35"/>
      <x:c r="V1523" s="35"/>
      <x:c r="W1523" s="35"/>
      <x:c r="X1523" s="35"/>
      <x:c r="Y1523" s="35"/>
      <x:c r="Z1523" s="35"/>
      <x:c r="AA1523" s="35"/>
    </x:row>
    <x:row r="1524">
      <x:c r="A1524" s="136" t="str">
        <x:v>HarpersFerry | Conquest | Valley</x:v>
      </x:c>
      <x:c r="B1524" s="136" t="str">
        <x:v>Gun | 3-inch Ordnance · Entity-1033 [map-70/024]</x:v>
      </x:c>
      <x:c r="C1524" s="136" t="str">
        <x:v>gun_spawn</x:v>
      </x:c>
      <x:c r="D1524" s="136" t="str"/>
      <x:c r="E1524" s="136" t="str">
        <x:v>3-inch Ordnance · Entity-1033</x:v>
      </x:c>
      <x:c r="F1524" s="137" t="n">
        <x:v>693.2037963867188</x:v>
      </x:c>
      <x:c r="G1524" s="137" t="n">
        <x:v>2111.208251953125</x:v>
      </x:c>
      <x:c r="H1524" s="137" t="n">
        <x:v>129.63522338867188</x:v>
      </x:c>
      <x:c r="I1524" s="137" t="n">
        <x:v>1020.3519235702702</x:v>
      </x:c>
      <x:c r="J1524" s="137" t="n">
        <x:v>1063.8749033528068</x:v>
      </x:c>
      <x:c r="K1524" s="136" t="str">
        <x:v>map-70</x:v>
      </x:c>
      <x:c r="L1524" s="136" t="str">
        <x:v>HarpersFerry | Conquest | Valley||Gun | 3-inch Ordnance · Entity-1033 [map-70/024]</x:v>
      </x:c>
      <x:c r="M1524" s="35"/>
      <x:c r="N1524" s="35"/>
      <x:c r="O1524" s="35"/>
      <x:c r="P1524" s="35"/>
      <x:c r="Q1524" s="35"/>
      <x:c r="R1524" s="35"/>
      <x:c r="S1524" s="35"/>
      <x:c r="T1524" s="35"/>
      <x:c r="U1524" s="35"/>
      <x:c r="V1524" s="35"/>
      <x:c r="W1524" s="35"/>
      <x:c r="X1524" s="35"/>
      <x:c r="Y1524" s="35"/>
      <x:c r="Z1524" s="35"/>
      <x:c r="AA1524" s="35"/>
    </x:row>
    <x:row r="1525">
      <x:c r="A1525" s="136" t="str">
        <x:v>HarpersFerry | Conquest | Valley</x:v>
      </x:c>
      <x:c r="B1525" s="136" t="str">
        <x:v>Gun | 12-pounder Napoleon (USA) · Entity-1695 [map-70/025]</x:v>
      </x:c>
      <x:c r="C1525" s="136" t="str">
        <x:v>gun_spawn</x:v>
      </x:c>
      <x:c r="D1525" s="136" t="str"/>
      <x:c r="E1525" s="136" t="str">
        <x:v>12-pounder Napoleon (USA) · Entity-1695</x:v>
      </x:c>
      <x:c r="F1525" s="137" t="n">
        <x:v>697.1944580078125</x:v>
      </x:c>
      <x:c r="G1525" s="137" t="n">
        <x:v>2105.737060546875</x:v>
      </x:c>
      <x:c r="H1525" s="137" t="n">
        <x:v>130.48590087890625</x:v>
      </x:c>
      <x:c r="I1525" s="137" t="n">
        <x:v>1026.6321152151695</x:v>
      </x:c>
      <x:c r="J1525" s="137" t="n">
        <x:v>1072.5007694002152</x:v>
      </x:c>
      <x:c r="K1525" s="136" t="str">
        <x:v>map-70</x:v>
      </x:c>
      <x:c r="L1525" s="136" t="str">
        <x:v>HarpersFerry | Conquest | Valley||Gun | 12-pounder Napoleon (USA) · Entity-1695 [map-70/025]</x:v>
      </x:c>
      <x:c r="M1525" s="35"/>
      <x:c r="N1525" s="35"/>
      <x:c r="O1525" s="35"/>
      <x:c r="P1525" s="35"/>
      <x:c r="Q1525" s="35"/>
      <x:c r="R1525" s="35"/>
      <x:c r="S1525" s="35"/>
      <x:c r="T1525" s="35"/>
      <x:c r="U1525" s="35"/>
      <x:c r="V1525" s="35"/>
      <x:c r="W1525" s="35"/>
      <x:c r="X1525" s="35"/>
      <x:c r="Y1525" s="35"/>
      <x:c r="Z1525" s="35"/>
      <x:c r="AA1525" s="35"/>
    </x:row>
    <x:row r="1526">
      <x:c r="A1526" s="136" t="str">
        <x:v>HarpersFerry | Contention | River Town</x:v>
      </x:c>
      <x:c r="B1526" s="136" t="str">
        <x:v>Spawn | USA CQ1_Spawnpoint_USA_Infantry_1 [map-71/001]</x:v>
      </x:c>
      <x:c r="C1526" s="136" t="str">
        <x:v>spawn</x:v>
      </x:c>
      <x:c r="D1526" s="136" t="str">
        <x:v>USA</x:v>
      </x:c>
      <x:c r="E1526" s="136" t="str">
        <x:v>CQ1_Spawnpoint_USA_Infantry_1</x:v>
      </x:c>
      <x:c r="F1526" s="137" t="n">
        <x:v>2427.288818359375</x:v>
      </x:c>
      <x:c r="G1526" s="137" t="n">
        <x:v>1808.043701171875</x:v>
      </x:c>
      <x:c r="H1526" s="137" t="n">
        <x:v>87.57367706298828</x:v>
      </x:c>
      <x:c r="I1526" s="137" t="n">
        <x:v>1407.4030876245042</x:v>
      </x:c>
      <x:c r="J1526" s="137" t="n">
        <x:v>1373.9621930740482</x:v>
      </x:c>
      <x:c r="K1526" s="136" t="str">
        <x:v>map-71</x:v>
      </x:c>
      <x:c r="L1526" s="136" t="str">
        <x:v>HarpersFerry | Contention | River Town||Spawn | USA CQ1_Spawnpoint_USA_Infantry_1 [map-71/001]</x:v>
      </x:c>
      <x:c r="M1526" s="35"/>
      <x:c r="N1526" s="35"/>
      <x:c r="O1526" s="35"/>
      <x:c r="P1526" s="35"/>
      <x:c r="Q1526" s="35"/>
      <x:c r="R1526" s="35"/>
      <x:c r="S1526" s="35"/>
      <x:c r="T1526" s="35"/>
      <x:c r="U1526" s="35"/>
      <x:c r="V1526" s="35"/>
      <x:c r="W1526" s="35"/>
      <x:c r="X1526" s="35"/>
      <x:c r="Y1526" s="35"/>
      <x:c r="Z1526" s="35"/>
      <x:c r="AA1526" s="35"/>
    </x:row>
    <x:row r="1527">
      <x:c r="A1527" s="136" t="str">
        <x:v>HarpersFerry | Contention | River Town</x:v>
      </x:c>
      <x:c r="B1527" s="136" t="str">
        <x:v>Spawn | CSA CQ1_Spawnpoint_CSA_Cavalry_0 [map-71/002]</x:v>
      </x:c>
      <x:c r="C1527" s="136" t="str">
        <x:v>spawn</x:v>
      </x:c>
      <x:c r="D1527" s="136" t="str">
        <x:v>CSA</x:v>
      </x:c>
      <x:c r="E1527" s="136" t="str">
        <x:v>CQ1_Spawnpoint_CSA_Cavalry_0</x:v>
      </x:c>
      <x:c r="F1527" s="137" t="n">
        <x:v>1800.9600830078125</x:v>
      </x:c>
      <x:c r="G1527" s="137" t="n">
        <x:v>2006.18798828125</x:v>
      </x:c>
      <x:c r="H1527" s="137" t="n">
        <x:v>130.18190002441406</x:v>
      </x:c>
      <x:c r="I1527" s="137" t="n">
        <x:v>41.352768880540346</x:v>
      </x:c>
      <x:c r="J1527" s="137" t="n">
        <x:v>941.8008514566538</x:v>
      </x:c>
      <x:c r="K1527" s="136" t="str">
        <x:v>map-71</x:v>
      </x:c>
      <x:c r="L1527" s="136" t="str">
        <x:v>HarpersFerry | Contention | River Town||Spawn | CSA CQ1_Spawnpoint_CSA_Cavalry_0 [map-71/002]</x:v>
      </x:c>
      <x:c r="M1527" s="35"/>
      <x:c r="N1527" s="35"/>
      <x:c r="O1527" s="35"/>
      <x:c r="P1527" s="35"/>
      <x:c r="Q1527" s="35"/>
      <x:c r="R1527" s="35"/>
      <x:c r="S1527" s="35"/>
      <x:c r="T1527" s="35"/>
      <x:c r="U1527" s="35"/>
      <x:c r="V1527" s="35"/>
      <x:c r="W1527" s="35"/>
      <x:c r="X1527" s="35"/>
      <x:c r="Y1527" s="35"/>
      <x:c r="Z1527" s="35"/>
      <x:c r="AA1527" s="35"/>
    </x:row>
    <x:row r="1528">
      <x:c r="A1528" s="136" t="str">
        <x:v>HarpersFerry | Contention | River Town</x:v>
      </x:c>
      <x:c r="B1528" s="136" t="str">
        <x:v>Spawn | CSA CQ1_Spawnpoint_CSA_Infantry_2 [map-71/003]</x:v>
      </x:c>
      <x:c r="C1528" s="136" t="str">
        <x:v>spawn</x:v>
      </x:c>
      <x:c r="D1528" s="136" t="str">
        <x:v>CSA</x:v>
      </x:c>
      <x:c r="E1528" s="136" t="str">
        <x:v>CQ1_Spawnpoint_CSA_Infantry_2</x:v>
      </x:c>
      <x:c r="F1528" s="137" t="n">
        <x:v>2406.6015625</x:v>
      </x:c>
      <x:c r="G1528" s="137" t="n">
        <x:v>2008.2088623046875</x:v>
      </x:c>
      <x:c r="H1528" s="137" t="n">
        <x:v>93.07270050048828</x:v>
      </x:c>
      <x:c r="I1528" s="137" t="n">
        <x:v>1362.2832793423972</x:v>
      </x:c>
      <x:c r="J1528" s="137" t="n">
        <x:v>937.393236975564</x:v>
      </x:c>
      <x:c r="K1528" s="136" t="str">
        <x:v>map-71</x:v>
      </x:c>
      <x:c r="L1528" s="136" t="str">
        <x:v>HarpersFerry | Contention | River Town||Spawn | CSA CQ1_Spawnpoint_CSA_Infantry_2 [map-71/003]</x:v>
      </x:c>
      <x:c r="M1528" s="35"/>
      <x:c r="N1528" s="35"/>
      <x:c r="O1528" s="35"/>
      <x:c r="P1528" s="35"/>
      <x:c r="Q1528" s="35"/>
      <x:c r="R1528" s="35"/>
      <x:c r="S1528" s="35"/>
      <x:c r="T1528" s="35"/>
      <x:c r="U1528" s="35"/>
      <x:c r="V1528" s="35"/>
      <x:c r="W1528" s="35"/>
      <x:c r="X1528" s="35"/>
      <x:c r="Y1528" s="35"/>
      <x:c r="Z1528" s="35"/>
      <x:c r="AA1528" s="35"/>
    </x:row>
    <x:row r="1529">
      <x:c r="A1529" s="136" t="str">
        <x:v>HarpersFerry | Contention | River Town</x:v>
      </x:c>
      <x:c r="B1529" s="136" t="str">
        <x:v>Spawn | USA CQ1_Spawnpoint_USA_Infantry_2 [map-71/004]</x:v>
      </x:c>
      <x:c r="C1529" s="136" t="str">
        <x:v>spawn</x:v>
      </x:c>
      <x:c r="D1529" s="136" t="str">
        <x:v>USA</x:v>
      </x:c>
      <x:c r="E1529" s="136" t="str">
        <x:v>CQ1_Spawnpoint_USA_Infantry_2</x:v>
      </x:c>
      <x:c r="F1529" s="137" t="n">
        <x:v>2394.581787109375</x:v>
      </x:c>
      <x:c r="G1529" s="137" t="n">
        <x:v>1802.253662109375</x:v>
      </x:c>
      <x:c r="H1529" s="137" t="n">
        <x:v>87.9604263305664</x:v>
      </x:c>
      <x:c r="I1529" s="137" t="n">
        <x:v>1336.0676244046147</x:v>
      </x:c>
      <x:c r="J1529" s="137" t="n">
        <x:v>1386.590521075682</x:v>
      </x:c>
      <x:c r="K1529" s="136" t="str">
        <x:v>map-71</x:v>
      </x:c>
      <x:c r="L1529" s="136" t="str">
        <x:v>HarpersFerry | Contention | River Town||Spawn | USA CQ1_Spawnpoint_USA_Infantry_2 [map-71/004]</x:v>
      </x:c>
      <x:c r="M1529" s="35"/>
      <x:c r="N1529" s="35"/>
      <x:c r="O1529" s="35"/>
      <x:c r="P1529" s="35"/>
      <x:c r="Q1529" s="35"/>
      <x:c r="R1529" s="35"/>
      <x:c r="S1529" s="35"/>
      <x:c r="T1529" s="35"/>
      <x:c r="U1529" s="35"/>
      <x:c r="V1529" s="35"/>
      <x:c r="W1529" s="35"/>
      <x:c r="X1529" s="35"/>
      <x:c r="Y1529" s="35"/>
      <x:c r="Z1529" s="35"/>
      <x:c r="AA1529" s="35"/>
    </x:row>
    <x:row r="1530">
      <x:c r="A1530" s="136" t="str">
        <x:v>HarpersFerry | Contention | River Town</x:v>
      </x:c>
      <x:c r="B1530" s="136" t="str">
        <x:v>Objective | Victory_Conquest_1 [map-71/005]</x:v>
      </x:c>
      <x:c r="C1530" s="136" t="str">
        <x:v>objective</x:v>
      </x:c>
      <x:c r="D1530" s="136" t="str"/>
      <x:c r="E1530" s="136" t="str">
        <x:v>Victory_Conquest_1</x:v>
      </x:c>
      <x:c r="F1530" s="137" t="n">
        <x:v>1960.7386474609375</x:v>
      </x:c>
      <x:c r="G1530" s="137" t="n">
        <x:v>2021.493408203125</x:v>
      </x:c>
      <x:c r="H1530" s="137" t="n">
        <x:v>143.3253631591797</x:v>
      </x:c>
      <x:c r="I1530" s="137" t="n">
        <x:v>389.83679424963105</x:v>
      </x:c>
      <x:c r="J1530" s="137" t="n">
        <x:v>908.4190623374755</x:v>
      </x:c>
      <x:c r="K1530" s="136" t="str">
        <x:v>map-71</x:v>
      </x:c>
      <x:c r="L1530" s="136" t="str">
        <x:v>HarpersFerry | Contention | River Town||Objective | Victory_Conquest_1 [map-71/005]</x:v>
      </x:c>
      <x:c r="M1530" s="35"/>
      <x:c r="N1530" s="35"/>
      <x:c r="O1530" s="35"/>
      <x:c r="P1530" s="35"/>
      <x:c r="Q1530" s="35"/>
      <x:c r="R1530" s="35"/>
      <x:c r="S1530" s="35"/>
      <x:c r="T1530" s="35"/>
      <x:c r="U1530" s="35"/>
      <x:c r="V1530" s="35"/>
      <x:c r="W1530" s="35"/>
      <x:c r="X1530" s="35"/>
      <x:c r="Y1530" s="35"/>
      <x:c r="Z1530" s="35"/>
      <x:c r="AA1530" s="35"/>
    </x:row>
    <x:row r="1531">
      <x:c r="A1531" s="136" t="str">
        <x:v>HarpersFerry | Contention | River Town</x:v>
      </x:c>
      <x:c r="B1531" s="136" t="str">
        <x:v>Spawn | CSA CQ1_Spawnpoint_CSA_Infantry_1 [map-71/006]</x:v>
      </x:c>
      <x:c r="C1531" s="136" t="str">
        <x:v>spawn</x:v>
      </x:c>
      <x:c r="D1531" s="136" t="str">
        <x:v>CSA</x:v>
      </x:c>
      <x:c r="E1531" s="136" t="str">
        <x:v>CQ1_Spawnpoint_CSA_Infantry_1</x:v>
      </x:c>
      <x:c r="F1531" s="137" t="n">
        <x:v>2428.505615234375</x:v>
      </x:c>
      <x:c r="G1531" s="137" t="n">
        <x:v>1990.69140625</x:v>
      </x:c>
      <x:c r="H1531" s="137" t="n">
        <x:v>92.16999053955078</x:v>
      </x:c>
      <x:c r="I1531" s="137" t="n">
        <x:v>1410.0569747370082</x:v>
      </x:c>
      <x:c r="J1531" s="137" t="n">
        <x:v>975.5995734829531</x:v>
      </x:c>
      <x:c r="K1531" s="136" t="str">
        <x:v>map-71</x:v>
      </x:c>
      <x:c r="L1531" s="136" t="str">
        <x:v>HarpersFerry | Contention | River Town||Spawn | CSA CQ1_Spawnpoint_CSA_Infantry_1 [map-71/006]</x:v>
      </x:c>
      <x:c r="M1531" s="35"/>
      <x:c r="N1531" s="35"/>
      <x:c r="O1531" s="35"/>
      <x:c r="P1531" s="35"/>
      <x:c r="Q1531" s="35"/>
      <x:c r="R1531" s="35"/>
      <x:c r="S1531" s="35"/>
      <x:c r="T1531" s="35"/>
      <x:c r="U1531" s="35"/>
      <x:c r="V1531" s="35"/>
      <x:c r="W1531" s="35"/>
      <x:c r="X1531" s="35"/>
      <x:c r="Y1531" s="35"/>
      <x:c r="Z1531" s="35"/>
      <x:c r="AA1531" s="35"/>
    </x:row>
    <x:row r="1532">
      <x:c r="A1532" s="136" t="str">
        <x:v>HarpersFerry | Contention | River Town</x:v>
      </x:c>
      <x:c r="B1532" s="136" t="str">
        <x:v>Spawn | USA CQ1_Spawnpoint_USA_Infantry_0 [map-71/007]</x:v>
      </x:c>
      <x:c r="C1532" s="136" t="str">
        <x:v>spawn</x:v>
      </x:c>
      <x:c r="D1532" s="136" t="str">
        <x:v>USA</x:v>
      </x:c>
      <x:c r="E1532" s="136" t="str">
        <x:v>CQ1_Spawnpoint_USA_Infantry_0</x:v>
      </x:c>
      <x:c r="F1532" s="137" t="n">
        <x:v>2457.482177734375</x:v>
      </x:c>
      <x:c r="G1532" s="137" t="n">
        <x:v>1814.439697265625</x:v>
      </x:c>
      <x:c r="H1532" s="137" t="n">
        <x:v>87.58497619628906</x:v>
      </x:c>
      <x:c r="I1532" s="137" t="n">
        <x:v>1473.2561227323672</x:v>
      </x:c>
      <x:c r="J1532" s="137" t="n">
        <x:v>1360.0122463297907</x:v>
      </x:c>
      <x:c r="K1532" s="136" t="str">
        <x:v>map-71</x:v>
      </x:c>
      <x:c r="L1532" s="136" t="str">
        <x:v>HarpersFerry | Contention | River Town||Spawn | USA CQ1_Spawnpoint_USA_Infantry_0 [map-71/007]</x:v>
      </x:c>
      <x:c r="M1532" s="35"/>
      <x:c r="N1532" s="35"/>
      <x:c r="O1532" s="35"/>
      <x:c r="P1532" s="35"/>
      <x:c r="Q1532" s="35"/>
      <x:c r="R1532" s="35"/>
      <x:c r="S1532" s="35"/>
      <x:c r="T1532" s="35"/>
      <x:c r="U1532" s="35"/>
      <x:c r="V1532" s="35"/>
      <x:c r="W1532" s="35"/>
      <x:c r="X1532" s="35"/>
      <x:c r="Y1532" s="35"/>
      <x:c r="Z1532" s="35"/>
      <x:c r="AA1532" s="35"/>
    </x:row>
    <x:row r="1533">
      <x:c r="A1533" s="136" t="str">
        <x:v>HarpersFerry | Contention | River Town</x:v>
      </x:c>
      <x:c r="B1533" s="136" t="str">
        <x:v>Spawn | CSA CQ1_Spawnpoint_CSA_Infantry_0 [map-71/008]</x:v>
      </x:c>
      <x:c r="C1533" s="136" t="str">
        <x:v>spawn</x:v>
      </x:c>
      <x:c r="D1533" s="136" t="str">
        <x:v>CSA</x:v>
      </x:c>
      <x:c r="E1533" s="136" t="str">
        <x:v>CQ1_Spawnpoint_CSA_Infantry_0</x:v>
      </x:c>
      <x:c r="F1533" s="137" t="n">
        <x:v>2451.0810546875</x:v>
      </x:c>
      <x:c r="G1533" s="137" t="n">
        <x:v>1973.42529296875</x:v>
      </x:c>
      <x:c r="H1533" s="137" t="n">
        <x:v>91.41631317138672</x:v>
      </x:c>
      <x:c r="I1533" s="137" t="n">
        <x:v>1459.2949938794898</x:v>
      </x:c>
      <x:c r="J1533" s="137" t="n">
        <x:v>1013.2577204272759</x:v>
      </x:c>
      <x:c r="K1533" s="136" t="str">
        <x:v>map-71</x:v>
      </x:c>
      <x:c r="L1533" s="136" t="str">
        <x:v>HarpersFerry | Contention | River Town||Spawn | CSA CQ1_Spawnpoint_CSA_Infantry_0 [map-71/008]</x:v>
      </x:c>
      <x:c r="M1533" s="35"/>
      <x:c r="N1533" s="35"/>
      <x:c r="O1533" s="35"/>
      <x:c r="P1533" s="35"/>
      <x:c r="Q1533" s="35"/>
      <x:c r="R1533" s="35"/>
      <x:c r="S1533" s="35"/>
      <x:c r="T1533" s="35"/>
      <x:c r="U1533" s="35"/>
      <x:c r="V1533" s="35"/>
      <x:c r="W1533" s="35"/>
      <x:c r="X1533" s="35"/>
      <x:c r="Y1533" s="35"/>
      <x:c r="Z1533" s="35"/>
      <x:c r="AA1533" s="35"/>
    </x:row>
    <x:row r="1534">
      <x:c r="A1534" s="136" t="str">
        <x:v>HarpersFerry | Contention | Outskirts</x:v>
      </x:c>
      <x:c r="B1534" s="136" t="str">
        <x:v>Spawn | USA CQ2_Spawnpoint_USA_Infantry_2 [map-72/001]</x:v>
      </x:c>
      <x:c r="C1534" s="136" t="str">
        <x:v>spawn</x:v>
      </x:c>
      <x:c r="D1534" s="136" t="str">
        <x:v>USA</x:v>
      </x:c>
      <x:c r="E1534" s="136" t="str">
        <x:v>CQ2_Spawnpoint_USA_Infantry_2</x:v>
      </x:c>
      <x:c r="F1534" s="137" t="n">
        <x:v>896.4703979492188</x:v>
      </x:c>
      <x:c r="G1534" s="137" t="n">
        <x:v>2123.427734375</x:v>
      </x:c>
      <x:c r="H1534" s="137" t="n">
        <x:v>164.86671447753906</x:v>
      </x:c>
      <x:c r="I1534" s="137" t="n">
        <x:v>765.9956036121673</x:v>
      </x:c>
      <x:c r="J1534" s="137" t="n">
        <x:v>700.0585220055078</x:v>
      </x:c>
      <x:c r="K1534" s="136" t="str">
        <x:v>map-72</x:v>
      </x:c>
      <x:c r="L1534" s="136" t="str">
        <x:v>HarpersFerry | Contention | Outskirts||Spawn | USA CQ2_Spawnpoint_USA_Infantry_2 [map-72/001]</x:v>
      </x:c>
      <x:c r="M1534" s="35"/>
      <x:c r="N1534" s="35"/>
      <x:c r="O1534" s="35"/>
      <x:c r="P1534" s="35"/>
      <x:c r="Q1534" s="35"/>
      <x:c r="R1534" s="35"/>
      <x:c r="S1534" s="35"/>
      <x:c r="T1534" s="35"/>
      <x:c r="U1534" s="35"/>
      <x:c r="V1534" s="35"/>
      <x:c r="W1534" s="35"/>
      <x:c r="X1534" s="35"/>
      <x:c r="Y1534" s="35"/>
      <x:c r="Z1534" s="35"/>
      <x:c r="AA1534" s="35"/>
    </x:row>
    <x:row r="1535">
      <x:c r="A1535" s="136" t="str">
        <x:v>HarpersFerry | Contention | Outskirts</x:v>
      </x:c>
      <x:c r="B1535" s="136" t="str">
        <x:v>Spawn | USA CQ2_Spawnpoint_USA_Infantry_1 [map-72/002]</x:v>
      </x:c>
      <x:c r="C1535" s="136" t="str">
        <x:v>spawn</x:v>
      </x:c>
      <x:c r="D1535" s="136" t="str">
        <x:v>USA</x:v>
      </x:c>
      <x:c r="E1535" s="136" t="str">
        <x:v>CQ2_Spawnpoint_USA_Infantry_1</x:v>
      </x:c>
      <x:c r="F1535" s="137" t="n">
        <x:v>897.8070678710938</x:v>
      </x:c>
      <x:c r="G1535" s="137" t="n">
        <x:v>2140.7919921875</x:v>
      </x:c>
      <x:c r="H1535" s="137" t="n">
        <x:v>166.81158447265625</x:v>
      </x:c>
      <x:c r="I1535" s="137" t="n">
        <x:v>768.5977899239543</x:v>
      </x:c>
      <x:c r="J1535" s="137" t="n">
        <x:v>666.4992220494236</x:v>
      </x:c>
      <x:c r="K1535" s="136" t="str">
        <x:v>map-72</x:v>
      </x:c>
      <x:c r="L1535" s="136" t="str">
        <x:v>HarpersFerry | Contention | Outskirts||Spawn | USA CQ2_Spawnpoint_USA_Infantry_1 [map-72/002]</x:v>
      </x:c>
      <x:c r="M1535" s="35"/>
      <x:c r="N1535" s="35"/>
      <x:c r="O1535" s="35"/>
      <x:c r="P1535" s="35"/>
      <x:c r="Q1535" s="35"/>
      <x:c r="R1535" s="35"/>
      <x:c r="S1535" s="35"/>
      <x:c r="T1535" s="35"/>
      <x:c r="U1535" s="35"/>
      <x:c r="V1535" s="35"/>
      <x:c r="W1535" s="35"/>
      <x:c r="X1535" s="35"/>
      <x:c r="Y1535" s="35"/>
      <x:c r="Z1535" s="35"/>
      <x:c r="AA1535" s="35"/>
    </x:row>
    <x:row r="1536">
      <x:c r="A1536" s="136" t="str">
        <x:v>HarpersFerry | Contention | Outskirts</x:v>
      </x:c>
      <x:c r="B1536" s="136" t="str">
        <x:v>Artillery | USA CQ2_Spawnpoint_USA_Artillery_Staging [map-72/003]</x:v>
      </x:c>
      <x:c r="C1536" s="136" t="str">
        <x:v>battery</x:v>
      </x:c>
      <x:c r="D1536" s="136" t="str">
        <x:v>USA</x:v>
      </x:c>
      <x:c r="E1536" s="136" t="str">
        <x:v>CQ2_Spawnpoint_USA_Artillery_Staging</x:v>
      </x:c>
      <x:c r="F1536" s="137" t="n">
        <x:v>882.7863159179688</x:v>
      </x:c>
      <x:c r="G1536" s="137" t="n">
        <x:v>2130.130126953125</x:v>
      </x:c>
      <x:c r="H1536" s="137" t="n">
        <x:v>167.51023864746094</x:v>
      </x:c>
      <x:c r="I1536" s="137" t="n">
        <x:v>739.3558697718631</x:v>
      </x:c>
      <x:c r="J1536" s="137" t="n">
        <x:v>684.5035470398903</x:v>
      </x:c>
      <x:c r="K1536" s="136" t="str">
        <x:v>map-72</x:v>
      </x:c>
      <x:c r="L1536" s="136" t="str">
        <x:v>HarpersFerry | Contention | Outskirts||Artillery | USA CQ2_Spawnpoint_USA_Artillery_Staging [map-72/003]</x:v>
      </x:c>
      <x:c r="M1536" s="35"/>
      <x:c r="N1536" s="35"/>
      <x:c r="O1536" s="35"/>
      <x:c r="P1536" s="35"/>
      <x:c r="Q1536" s="35"/>
      <x:c r="R1536" s="35"/>
      <x:c r="S1536" s="35"/>
      <x:c r="T1536" s="35"/>
      <x:c r="U1536" s="35"/>
      <x:c r="V1536" s="35"/>
      <x:c r="W1536" s="35"/>
      <x:c r="X1536" s="35"/>
      <x:c r="Y1536" s="35"/>
      <x:c r="Z1536" s="35"/>
      <x:c r="AA1536" s="35"/>
    </x:row>
    <x:row r="1537">
      <x:c r="A1537" s="136" t="str">
        <x:v>HarpersFerry | Contention | Outskirts</x:v>
      </x:c>
      <x:c r="B1537" s="136" t="str">
        <x:v>Spawn | CSA CQ2_Spawnpoint_CSA_Cavalry_0 [map-72/004]</x:v>
      </x:c>
      <x:c r="C1537" s="136" t="str">
        <x:v>spawn</x:v>
      </x:c>
      <x:c r="D1537" s="136" t="str">
        <x:v>CSA</x:v>
      </x:c>
      <x:c r="E1537" s="136" t="str">
        <x:v>CQ2_Spawnpoint_CSA_Cavalry_0</x:v>
      </x:c>
      <x:c r="F1537" s="137" t="n">
        <x:v>1118.080322265625</x:v>
      </x:c>
      <x:c r="G1537" s="137" t="n">
        <x:v>1542.040771484375</x:v>
      </x:c>
      <x:c r="H1537" s="137" t="n">
        <x:v>133.88690185546875</x:v>
      </x:c>
      <x:c r="I1537" s="137" t="n">
        <x:v>1197.4187262357414</x:v>
      </x:c>
      <x:c r="J1537" s="137" t="n">
        <x:v>1872.4837970631338</x:v>
      </x:c>
      <x:c r="K1537" s="136" t="str">
        <x:v>map-72</x:v>
      </x:c>
      <x:c r="L1537" s="136" t="str">
        <x:v>HarpersFerry | Contention | Outskirts||Spawn | CSA CQ2_Spawnpoint_CSA_Cavalry_0 [map-72/004]</x:v>
      </x:c>
      <x:c r="M1537" s="35"/>
      <x:c r="N1537" s="35"/>
      <x:c r="O1537" s="35"/>
      <x:c r="P1537" s="35"/>
      <x:c r="Q1537" s="35"/>
      <x:c r="R1537" s="35"/>
      <x:c r="S1537" s="35"/>
      <x:c r="T1537" s="35"/>
      <x:c r="U1537" s="35"/>
      <x:c r="V1537" s="35"/>
      <x:c r="W1537" s="35"/>
      <x:c r="X1537" s="35"/>
      <x:c r="Y1537" s="35"/>
      <x:c r="Z1537" s="35"/>
      <x:c r="AA1537" s="35"/>
    </x:row>
    <x:row r="1538">
      <x:c r="A1538" s="136" t="str">
        <x:v>HarpersFerry | Contention | Outskirts</x:v>
      </x:c>
      <x:c r="B1538" s="136" t="str">
        <x:v>Spawn | CSA CQ2_Spawnpoint_CSA_Infantry_0 [map-72/005]</x:v>
      </x:c>
      <x:c r="C1538" s="136" t="str">
        <x:v>spawn</x:v>
      </x:c>
      <x:c r="D1538" s="136" t="str">
        <x:v>CSA</x:v>
      </x:c>
      <x:c r="E1538" s="136" t="str">
        <x:v>CQ2_Spawnpoint_CSA_Infantry_0</x:v>
      </x:c>
      <x:c r="F1538" s="137" t="n">
        <x:v>1097.2052001953125</x:v>
      </x:c>
      <x:c r="G1538" s="137" t="n">
        <x:v>1654.908203125</x:v>
      </x:c>
      <x:c r="H1538" s="137" t="n">
        <x:v>138.02191162109375</x:v>
      </x:c>
      <x:c r="I1538" s="137" t="n">
        <x:v>1156.7797053231939</x:v>
      </x:c>
      <x:c r="J1538" s="137" t="n">
        <x:v>1648.932691463182</x:v>
      </x:c>
      <x:c r="K1538" s="136" t="str">
        <x:v>map-72</x:v>
      </x:c>
      <x:c r="L1538" s="136" t="str">
        <x:v>HarpersFerry | Contention | Outskirts||Spawn | CSA CQ2_Spawnpoint_CSA_Infantry_0 [map-72/005]</x:v>
      </x:c>
      <x:c r="M1538" s="35"/>
      <x:c r="N1538" s="35"/>
      <x:c r="O1538" s="35"/>
      <x:c r="P1538" s="35"/>
      <x:c r="Q1538" s="35"/>
      <x:c r="R1538" s="35"/>
      <x:c r="S1538" s="35"/>
      <x:c r="T1538" s="35"/>
      <x:c r="U1538" s="35"/>
      <x:c r="V1538" s="35"/>
      <x:c r="W1538" s="35"/>
      <x:c r="X1538" s="35"/>
      <x:c r="Y1538" s="35"/>
      <x:c r="Z1538" s="35"/>
      <x:c r="AA1538" s="35"/>
    </x:row>
    <x:row r="1539">
      <x:c r="A1539" s="136" t="str">
        <x:v>HarpersFerry | Contention | Outskirts</x:v>
      </x:c>
      <x:c r="B1539" s="136" t="str">
        <x:v>Artillery | USA CQ2_Spawnpoint_USA_Artillery_Forward [map-72/006]</x:v>
      </x:c>
      <x:c r="C1539" s="136" t="str">
        <x:v>battery</x:v>
      </x:c>
      <x:c r="D1539" s="136" t="str">
        <x:v>USA</x:v>
      </x:c>
      <x:c r="E1539" s="136" t="str">
        <x:v>CQ2_Spawnpoint_USA_Artillery_Forward</x:v>
      </x:c>
      <x:c r="F1539" s="137" t="n">
        <x:v>1179.86474609375</x:v>
      </x:c>
      <x:c r="G1539" s="137" t="n">
        <x:v>2114.319091796875</x:v>
      </x:c>
      <x:c r="H1539" s="137" t="n">
        <x:v>136.5239715576172</x:v>
      </x:c>
      <x:c r="I1539" s="137" t="n">
        <x:v>1317.698669201521</x:v>
      </x:c>
      <x:c r="J1539" s="137" t="n">
        <x:v>769.7097613361333</x:v>
      </x:c>
      <x:c r="K1539" s="136" t="str">
        <x:v>map-72</x:v>
      </x:c>
      <x:c r="L1539" s="136" t="str">
        <x:v>HarpersFerry | Contention | Outskirts||Artillery | USA CQ2_Spawnpoint_USA_Artillery_Forward [map-72/006]</x:v>
      </x:c>
      <x:c r="M1539" s="35"/>
      <x:c r="N1539" s="35"/>
      <x:c r="O1539" s="35"/>
      <x:c r="P1539" s="35"/>
      <x:c r="Q1539" s="35"/>
      <x:c r="R1539" s="35"/>
      <x:c r="S1539" s="35"/>
      <x:c r="T1539" s="35"/>
      <x:c r="U1539" s="35"/>
      <x:c r="V1539" s="35"/>
      <x:c r="W1539" s="35"/>
      <x:c r="X1539" s="35"/>
      <x:c r="Y1539" s="35"/>
      <x:c r="Z1539" s="35"/>
      <x:c r="AA1539" s="35"/>
    </x:row>
    <x:row r="1540">
      <x:c r="A1540" s="136" t="str">
        <x:v>HarpersFerry | Contention | Outskirts</x:v>
      </x:c>
      <x:c r="B1540" s="136" t="str">
        <x:v>Artillery | CSA CQ2_Spawnpoint_CSA_Artillery_Forward [map-72/007]</x:v>
      </x:c>
      <x:c r="C1540" s="136" t="str">
        <x:v>battery</x:v>
      </x:c>
      <x:c r="D1540" s="136" t="str">
        <x:v>CSA</x:v>
      </x:c>
      <x:c r="E1540" s="136" t="str">
        <x:v>CQ2_Spawnpoint_CSA_Artillery_Forward</x:v>
      </x:c>
      <x:c r="F1540" s="137" t="n">
        <x:v>898.1283569335938</x:v>
      </x:c>
      <x:c r="G1540" s="137" t="n">
        <x:v>1703.5892333984375</x:v>
      </x:c>
      <x:c r="H1540" s="137" t="n">
        <x:v>144.4300079345703</x:v>
      </x:c>
      <x:c r="I1540" s="137" t="n">
        <x:v>769.2232652091254</x:v>
      </x:c>
      <x:c r="J1540" s="137" t="n">
        <x:v>1517.6904502372108</x:v>
      </x:c>
      <x:c r="K1540" s="136" t="str">
        <x:v>map-72</x:v>
      </x:c>
      <x:c r="L1540" s="136" t="str">
        <x:v>HarpersFerry | Contention | Outskirts||Artillery | CSA CQ2_Spawnpoint_CSA_Artillery_Forward [map-72/007]</x:v>
      </x:c>
      <x:c r="M1540" s="35"/>
      <x:c r="N1540" s="35"/>
      <x:c r="O1540" s="35"/>
      <x:c r="P1540" s="35"/>
      <x:c r="Q1540" s="35"/>
      <x:c r="R1540" s="35"/>
      <x:c r="S1540" s="35"/>
      <x:c r="T1540" s="35"/>
      <x:c r="U1540" s="35"/>
      <x:c r="V1540" s="35"/>
      <x:c r="W1540" s="35"/>
      <x:c r="X1540" s="35"/>
      <x:c r="Y1540" s="35"/>
      <x:c r="Z1540" s="35"/>
      <x:c r="AA1540" s="35"/>
    </x:row>
    <x:row r="1541">
      <x:c r="A1541" s="136" t="str">
        <x:v>HarpersFerry | Contention | Outskirts</x:v>
      </x:c>
      <x:c r="B1541" s="136" t="str">
        <x:v>Spawn | USA CQ2_Spawnpoint_USA_Infantry_0 [map-72/008]</x:v>
      </x:c>
      <x:c r="C1541" s="136" t="str">
        <x:v>spawn</x:v>
      </x:c>
      <x:c r="D1541" s="136" t="str">
        <x:v>USA</x:v>
      </x:c>
      <x:c r="E1541" s="136" t="str">
        <x:v>CQ2_Spawnpoint_USA_Infantry_0</x:v>
      </x:c>
      <x:c r="F1541" s="137" t="n">
        <x:v>914.8479614257812</x:v>
      </x:c>
      <x:c r="G1541" s="137" t="n">
        <x:v>2126.244140625</x:v>
      </x:c>
      <x:c r="H1541" s="137" t="n">
        <x:v>162.2624969482422</x:v>
      </x:c>
      <x:c r="I1541" s="137" t="n">
        <x:v>801.7724572243346</x:v>
      </x:c>
      <x:c r="J1541" s="137" t="n">
        <x:v>697.9424654712135</x:v>
      </x:c>
      <x:c r="K1541" s="136" t="str">
        <x:v>map-72</x:v>
      </x:c>
      <x:c r="L1541" s="136" t="str">
        <x:v>HarpersFerry | Contention | Outskirts||Spawn | USA CQ2_Spawnpoint_USA_Infantry_0 [map-72/008]</x:v>
      </x:c>
      <x:c r="M1541" s="35"/>
      <x:c r="N1541" s="35"/>
      <x:c r="O1541" s="35"/>
      <x:c r="P1541" s="35"/>
      <x:c r="Q1541" s="35"/>
      <x:c r="R1541" s="35"/>
      <x:c r="S1541" s="35"/>
      <x:c r="T1541" s="35"/>
      <x:c r="U1541" s="35"/>
      <x:c r="V1541" s="35"/>
      <x:c r="W1541" s="35"/>
      <x:c r="X1541" s="35"/>
      <x:c r="Y1541" s="35"/>
      <x:c r="Z1541" s="35"/>
      <x:c r="AA1541" s="35"/>
    </x:row>
    <x:row r="1542">
      <x:c r="A1542" s="136" t="str">
        <x:v>HarpersFerry | Contention | Outskirts</x:v>
      </x:c>
      <x:c r="B1542" s="136" t="str">
        <x:v>Objective | Victory_Conquest_2 [map-72/009]</x:v>
      </x:c>
      <x:c r="C1542" s="136" t="str">
        <x:v>objective</x:v>
      </x:c>
      <x:c r="D1542" s="136" t="str"/>
      <x:c r="E1542" s="136" t="str">
        <x:v>Victory_Conquest_2</x:v>
      </x:c>
      <x:c r="F1542" s="137" t="n">
        <x:v>1270.1903076171875</x:v>
      </x:c>
      <x:c r="G1542" s="137" t="n">
        <x:v>2120.025634765625</x:v>
      </x:c>
      <x:c r="H1542" s="137" t="n">
        <x:v>133.32717895507812</x:v>
      </x:c>
      <x:c r="I1542" s="137" t="n">
        <x:v>1493.5415874524715</x:v>
      </x:c>
      <x:c r="J1542" s="137" t="n">
        <x:v>775.1484010670038</x:v>
      </x:c>
      <x:c r="K1542" s="136" t="str">
        <x:v>map-72</x:v>
      </x:c>
      <x:c r="L1542" s="136" t="str">
        <x:v>HarpersFerry | Contention | Outskirts||Objective | Victory_Conquest_2 [map-72/009]</x:v>
      </x:c>
      <x:c r="M1542" s="35"/>
      <x:c r="N1542" s="35"/>
      <x:c r="O1542" s="35"/>
      <x:c r="P1542" s="35"/>
      <x:c r="Q1542" s="35"/>
      <x:c r="R1542" s="35"/>
      <x:c r="S1542" s="35"/>
      <x:c r="T1542" s="35"/>
      <x:c r="U1542" s="35"/>
      <x:c r="V1542" s="35"/>
      <x:c r="W1542" s="35"/>
      <x:c r="X1542" s="35"/>
      <x:c r="Y1542" s="35"/>
      <x:c r="Z1542" s="35"/>
      <x:c r="AA1542" s="35"/>
    </x:row>
    <x:row r="1543">
      <x:c r="A1543" s="136" t="str">
        <x:v>HarpersFerry | Contention | Outskirts</x:v>
      </x:c>
      <x:c r="B1543" s="136" t="str">
        <x:v>Spawn | CSA CQ2_Spawnpoint_CSA_Infantry_1 [map-72/010]</x:v>
      </x:c>
      <x:c r="C1543" s="136" t="str">
        <x:v>spawn</x:v>
      </x:c>
      <x:c r="D1543" s="136" t="str">
        <x:v>CSA</x:v>
      </x:c>
      <x:c r="E1543" s="136" t="str">
        <x:v>CQ2_Spawnpoint_CSA_Infantry_1</x:v>
      </x:c>
      <x:c r="F1543" s="137" t="n">
        <x:v>1109.3489990234375</x:v>
      </x:c>
      <x:c r="G1543" s="137" t="n">
        <x:v>1661.437744140625</x:v>
      </x:c>
      <x:c r="H1543" s="137" t="n">
        <x:v>137.97341918945312</x:v>
      </x:c>
      <x:c r="I1543" s="137" t="n">
        <x:v>1180.4208650190114</x:v>
      </x:c>
      <x:c r="J1543" s="137" t="n">
        <x:v>1638.4459755145035</x:v>
      </x:c>
      <x:c r="K1543" s="136" t="str">
        <x:v>map-72</x:v>
      </x:c>
      <x:c r="L1543" s="136" t="str">
        <x:v>HarpersFerry | Contention | Outskirts||Spawn | CSA CQ2_Spawnpoint_CSA_Infantry_1 [map-72/010]</x:v>
      </x:c>
      <x:c r="M1543" s="35"/>
      <x:c r="N1543" s="35"/>
      <x:c r="O1543" s="35"/>
      <x:c r="P1543" s="35"/>
      <x:c r="Q1543" s="35"/>
      <x:c r="R1543" s="35"/>
      <x:c r="S1543" s="35"/>
      <x:c r="T1543" s="35"/>
      <x:c r="U1543" s="35"/>
      <x:c r="V1543" s="35"/>
      <x:c r="W1543" s="35"/>
      <x:c r="X1543" s="35"/>
      <x:c r="Y1543" s="35"/>
      <x:c r="Z1543" s="35"/>
      <x:c r="AA1543" s="35"/>
    </x:row>
    <x:row r="1544">
      <x:c r="A1544" s="136" t="str">
        <x:v>HarpersFerry | Contention | Outskirts</x:v>
      </x:c>
      <x:c r="B1544" s="136" t="str">
        <x:v>Spawn | CSA CQ2_Spawnpoint_CSA_Infantry_2 [map-72/011]</x:v>
      </x:c>
      <x:c r="C1544" s="136" t="str">
        <x:v>spawn</x:v>
      </x:c>
      <x:c r="D1544" s="136" t="str">
        <x:v>CSA</x:v>
      </x:c>
      <x:c r="E1544" s="136" t="str">
        <x:v>CQ2_Spawnpoint_CSA_Infantry_2</x:v>
      </x:c>
      <x:c r="F1544" s="137" t="n">
        <x:v>1120.0911865234375</x:v>
      </x:c>
      <x:c r="G1544" s="137" t="n">
        <x:v>1671.83837890625</x:v>
      </x:c>
      <x:c r="H1544" s="137" t="n">
        <x:v>138.8271026611328</x:v>
      </x:c>
      <x:c r="I1544" s="137" t="n">
        <x:v>1201.3334125475285</x:v>
      </x:c>
      <x:c r="J1544" s="137" t="n">
        <x:v>1620.1663578491332</x:v>
      </x:c>
      <x:c r="K1544" s="136" t="str">
        <x:v>map-72</x:v>
      </x:c>
      <x:c r="L1544" s="136" t="str">
        <x:v>HarpersFerry | Contention | Outskirts||Spawn | CSA CQ2_Spawnpoint_CSA_Infantry_2 [map-72/011]</x:v>
      </x:c>
      <x:c r="M1544" s="35"/>
      <x:c r="N1544" s="35"/>
      <x:c r="O1544" s="35"/>
      <x:c r="P1544" s="35"/>
      <x:c r="Q1544" s="35"/>
      <x:c r="R1544" s="35"/>
      <x:c r="S1544" s="35"/>
      <x:c r="T1544" s="35"/>
      <x:c r="U1544" s="35"/>
      <x:c r="V1544" s="35"/>
      <x:c r="W1544" s="35"/>
      <x:c r="X1544" s="35"/>
      <x:c r="Y1544" s="35"/>
      <x:c r="Z1544" s="35"/>
      <x:c r="AA1544" s="35"/>
    </x:row>
    <x:row r="1545">
      <x:c r="A1545" s="136" t="str">
        <x:v>HarpersFerry | Contention | Outskirts</x:v>
      </x:c>
      <x:c r="B1545" s="136" t="str">
        <x:v>Artillery | CSA CQ2_Spawnpoint_CSA_Artillery_Staging [map-72/012]</x:v>
      </x:c>
      <x:c r="C1545" s="136" t="str">
        <x:v>battery</x:v>
      </x:c>
      <x:c r="D1545" s="136" t="str">
        <x:v>CSA</x:v>
      </x:c>
      <x:c r="E1545" s="136" t="str">
        <x:v>CQ2_Spawnpoint_CSA_Artillery_Staging</x:v>
      </x:c>
      <x:c r="F1545" s="137" t="n">
        <x:v>1082.3934326171875</x:v>
      </x:c>
      <x:c r="G1545" s="137" t="n">
        <x:v>1643.4541015625</x:v>
      </x:c>
      <x:c r="H1545" s="137" t="n">
        <x:v>137.74972534179688</x:v>
      </x:c>
      <x:c r="I1545" s="137" t="n">
        <x:v>1127.9446292775665</x:v>
      </x:c>
      <x:c r="J1545" s="137" t="n">
        <x:v>1668.517603494284</x:v>
      </x:c>
      <x:c r="K1545" s="136" t="str">
        <x:v>map-72</x:v>
      </x:c>
      <x:c r="L1545" s="136" t="str">
        <x:v>HarpersFerry | Contention | Outskirts||Artillery | CSA CQ2_Spawnpoint_CSA_Artillery_Staging [map-72/012]</x:v>
      </x:c>
      <x:c r="M1545" s="35"/>
      <x:c r="N1545" s="35"/>
      <x:c r="O1545" s="35"/>
      <x:c r="P1545" s="35"/>
      <x:c r="Q1545" s="35"/>
      <x:c r="R1545" s="35"/>
      <x:c r="S1545" s="35"/>
      <x:c r="T1545" s="35"/>
      <x:c r="U1545" s="35"/>
      <x:c r="V1545" s="35"/>
      <x:c r="W1545" s="35"/>
      <x:c r="X1545" s="35"/>
      <x:c r="Y1545" s="35"/>
      <x:c r="Z1545" s="35"/>
      <x:c r="AA1545" s="35"/>
    </x:row>
    <x:row r="1546">
      <x:c r="A1546" s="136" t="str">
        <x:v>HarpersFerry | Contention | Outskirts</x:v>
      </x:c>
      <x:c r="B1546" s="136" t="str">
        <x:v>Spawn | USA CQ2_Spawnpoint_USA_Cavalry_0 [map-72/013]</x:v>
      </x:c>
      <x:c r="C1546" s="136" t="str">
        <x:v>spawn</x:v>
      </x:c>
      <x:c r="D1546" s="136" t="str">
        <x:v>USA</x:v>
      </x:c>
      <x:c r="E1546" s="136" t="str">
        <x:v>CQ2_Spawnpoint_USA_Cavalry_0</x:v>
      </x:c>
      <x:c r="F1546" s="137" t="n">
        <x:v>865.5709838867188</x:v>
      </x:c>
      <x:c r="G1546" s="137" t="n">
        <x:v>2161.1728515625</x:v>
      </x:c>
      <x:c r="H1546" s="137" t="n">
        <x:v>168.39962768554688</x:v>
      </x:c>
      <x:c r="I1546" s="137" t="n">
        <x:v>705.84161121673</x:v>
      </x:c>
      <x:c r="J1546" s="137" t="n">
        <x:v>620.9166538705772</x:v>
      </x:c>
      <x:c r="K1546" s="136" t="str">
        <x:v>map-72</x:v>
      </x:c>
      <x:c r="L1546" s="136" t="str">
        <x:v>HarpersFerry | Contention | Outskirts||Spawn | USA CQ2_Spawnpoint_USA_Cavalry_0 [map-72/013]</x:v>
      </x:c>
      <x:c r="M1546" s="35"/>
      <x:c r="N1546" s="35"/>
      <x:c r="O1546" s="35"/>
      <x:c r="P1546" s="35"/>
      <x:c r="Q1546" s="35"/>
      <x:c r="R1546" s="35"/>
      <x:c r="S1546" s="35"/>
      <x:c r="T1546" s="35"/>
      <x:c r="U1546" s="35"/>
      <x:c r="V1546" s="35"/>
      <x:c r="W1546" s="35"/>
      <x:c r="X1546" s="35"/>
      <x:c r="Y1546" s="35"/>
      <x:c r="Z1546" s="35"/>
      <x:c r="AA1546" s="35"/>
    </x:row>
    <x:row r="1547">
      <x:c r="A1547" s="136" t="str">
        <x:v>HarpersFerry | Contention | Outskirts</x:v>
      </x:c>
      <x:c r="B1547" s="136" t="str">
        <x:v>Gun | 3-inch Ordnance · Entity-1635 [map-72/014]</x:v>
      </x:c>
      <x:c r="C1547" s="136" t="str">
        <x:v>gun_spawn</x:v>
      </x:c>
      <x:c r="D1547" s="136" t="str"/>
      <x:c r="E1547" s="136" t="str">
        <x:v>3-inch Ordnance · Entity-1635</x:v>
      </x:c>
      <x:c r="F1547" s="137" t="n">
        <x:v>914.2347412109375</x:v>
      </x:c>
      <x:c r="G1547" s="137" t="n">
        <x:v>1743.0579833984375</x:v>
      </x:c>
      <x:c r="H1547" s="137" t="n">
        <x:v>145.36215209960938</x:v>
      </x:c>
      <x:c r="I1547" s="137" t="n">
        <x:v>800.5786596958175</x:v>
      </x:c>
      <x:c r="J1547" s="137" t="n">
        <x:v>1443.8046936499832</x:v>
      </x:c>
      <x:c r="K1547" s="136" t="str">
        <x:v>map-72</x:v>
      </x:c>
      <x:c r="L1547" s="136" t="str">
        <x:v>HarpersFerry | Contention | Outskirts||Gun | 3-inch Ordnance · Entity-1635 [map-72/014]</x:v>
      </x:c>
      <x:c r="M1547" s="35"/>
      <x:c r="N1547" s="35"/>
      <x:c r="O1547" s="35"/>
      <x:c r="P1547" s="35"/>
      <x:c r="Q1547" s="35"/>
      <x:c r="R1547" s="35"/>
      <x:c r="S1547" s="35"/>
      <x:c r="T1547" s="35"/>
      <x:c r="U1547" s="35"/>
      <x:c r="V1547" s="35"/>
      <x:c r="W1547" s="35"/>
      <x:c r="X1547" s="35"/>
      <x:c r="Y1547" s="35"/>
      <x:c r="Z1547" s="35"/>
      <x:c r="AA1547" s="35"/>
    </x:row>
    <x:row r="1548">
      <x:c r="A1548" s="136" t="str">
        <x:v>HarpersFerry | Contention | Outskirts</x:v>
      </x:c>
      <x:c r="B1548" s="136" t="str">
        <x:v>Gun | 3-inch Ordnance · Entity-1648 [map-72/015]</x:v>
      </x:c>
      <x:c r="C1548" s="136" t="str">
        <x:v>gun_spawn</x:v>
      </x:c>
      <x:c r="D1548" s="136" t="str"/>
      <x:c r="E1548" s="136" t="str">
        <x:v>3-inch Ordnance · Entity-1648</x:v>
      </x:c>
      <x:c r="F1548" s="137" t="n">
        <x:v>1151.565673828125</x:v>
      </x:c>
      <x:c r="G1548" s="137" t="n">
        <x:v>2079.578857421875</x:v>
      </x:c>
      <x:c r="H1548" s="137" t="n">
        <x:v>138.0658416748047</x:v>
      </x:c>
      <x:c r="I1548" s="137" t="n">
        <x:v>1262.606939163498</x:v>
      </x:c>
      <x:c r="J1548" s="137" t="n">
        <x:v>832.1564521137273</x:v>
      </x:c>
      <x:c r="K1548" s="136" t="str">
        <x:v>map-72</x:v>
      </x:c>
      <x:c r="L1548" s="136" t="str">
        <x:v>HarpersFerry | Contention | Outskirts||Gun | 3-inch Ordnance · Entity-1648 [map-72/015]</x:v>
      </x:c>
      <x:c r="M1548" s="35"/>
      <x:c r="N1548" s="35"/>
      <x:c r="O1548" s="35"/>
      <x:c r="P1548" s="35"/>
      <x:c r="Q1548" s="35"/>
      <x:c r="R1548" s="35"/>
      <x:c r="S1548" s="35"/>
      <x:c r="T1548" s="35"/>
      <x:c r="U1548" s="35"/>
      <x:c r="V1548" s="35"/>
      <x:c r="W1548" s="35"/>
      <x:c r="X1548" s="35"/>
      <x:c r="Y1548" s="35"/>
      <x:c r="Z1548" s="35"/>
      <x:c r="AA1548" s="35"/>
    </x:row>
    <x:row r="1549">
      <x:c r="A1549" s="136" t="str">
        <x:v>HarpersFerry | Contention | Outskirts</x:v>
      </x:c>
      <x:c r="B1549" s="136" t="str">
        <x:v>Gun | 10-pounder Parrott · 3InchOrdnanceRifle-165 [map-72/016]</x:v>
      </x:c>
      <x:c r="C1549" s="136" t="str">
        <x:v>gun_spawn</x:v>
      </x:c>
      <x:c r="D1549" s="136" t="str"/>
      <x:c r="E1549" s="136" t="str">
        <x:v>10-pounder Parrott · 3InchOrdnanceRifle-165</x:v>
      </x:c>
      <x:c r="F1549" s="137" t="n">
        <x:v>702.0743408203125</x:v>
      </x:c>
      <x:c r="G1549" s="137" t="n">
        <x:v>1682.8011474609375</x:v>
      </x:c>
      <x:c r="H1549" s="137" t="n">
        <x:v>156.67416381835938</x:v>
      </x:c>
      <x:c r="I1549" s="137" t="n">
        <x:v>387.55156844106466</x:v>
      </x:c>
      <x:c r="J1549" s="137" t="n">
        <x:v>1522.2422580552202</x:v>
      </x:c>
      <x:c r="K1549" s="136" t="str">
        <x:v>map-72</x:v>
      </x:c>
      <x:c r="L1549" s="136" t="str">
        <x:v>HarpersFerry | Contention | Outskirts||Gun | 10-pounder Parrott · 3InchOrdnanceRifle-165 [map-72/016]</x:v>
      </x:c>
      <x:c r="M1549" s="35"/>
      <x:c r="N1549" s="35"/>
      <x:c r="O1549" s="35"/>
      <x:c r="P1549" s="35"/>
      <x:c r="Q1549" s="35"/>
      <x:c r="R1549" s="35"/>
      <x:c r="S1549" s="35"/>
      <x:c r="T1549" s="35"/>
      <x:c r="U1549" s="35"/>
      <x:c r="V1549" s="35"/>
      <x:c r="W1549" s="35"/>
      <x:c r="X1549" s="35"/>
      <x:c r="Y1549" s="35"/>
      <x:c r="Z1549" s="35"/>
      <x:c r="AA1549" s="35"/>
    </x:row>
    <x:row r="1550">
      <x:c r="A1550" s="136" t="str">
        <x:v>HarpersFerry | Contention | Outskirts</x:v>
      </x:c>
      <x:c r="B1550" s="136" t="str">
        <x:v>Gun | 12-pounder Napoleon (CSA) · Entity-1650 [map-72/017]</x:v>
      </x:c>
      <x:c r="C1550" s="136" t="str">
        <x:v>gun_spawn</x:v>
      </x:c>
      <x:c r="D1550" s="136" t="str"/>
      <x:c r="E1550" s="136" t="str">
        <x:v>12-pounder Napoleon (CSA) · Entity-1650</x:v>
      </x:c>
      <x:c r="F1550" s="137" t="n">
        <x:v>1138.5013427734375</x:v>
      </x:c>
      <x:c r="G1550" s="137" t="n">
        <x:v>2087.42626953125</x:v>
      </x:c>
      <x:c r="H1550" s="137" t="n">
        <x:v>139.18980407714844</x:v>
      </x:c>
      <x:c r="I1550" s="137" t="n">
        <x:v>1237.173716730038</x:v>
      </x:c>
      <x:c r="J1550" s="137" t="n">
        <x:v>814.4859302183523</x:v>
      </x:c>
      <x:c r="K1550" s="136" t="str">
        <x:v>map-72</x:v>
      </x:c>
      <x:c r="L1550" s="136" t="str">
        <x:v>HarpersFerry | Contention | Outskirts||Gun | 12-pounder Napoleon (CSA) · Entity-1650 [map-72/017]</x:v>
      </x:c>
      <x:c r="M1550" s="35"/>
      <x:c r="N1550" s="35"/>
      <x:c r="O1550" s="35"/>
      <x:c r="P1550" s="35"/>
      <x:c r="Q1550" s="35"/>
      <x:c r="R1550" s="35"/>
      <x:c r="S1550" s="35"/>
      <x:c r="T1550" s="35"/>
      <x:c r="U1550" s="35"/>
      <x:c r="V1550" s="35"/>
      <x:c r="W1550" s="35"/>
      <x:c r="X1550" s="35"/>
      <x:c r="Y1550" s="35"/>
      <x:c r="Z1550" s="35"/>
      <x:c r="AA1550" s="35"/>
    </x:row>
    <x:row r="1551">
      <x:c r="A1551" s="136" t="str">
        <x:v>HarpersFerry | Contention | Outskirts</x:v>
      </x:c>
      <x:c r="B1551" s="136" t="str">
        <x:v>Gun | 12-pounder Napoleon (USA) · Entity-1639 [map-72/018]</x:v>
      </x:c>
      <x:c r="C1551" s="136" t="str">
        <x:v>gun_spawn</x:v>
      </x:c>
      <x:c r="D1551" s="136" t="str"/>
      <x:c r="E1551" s="136" t="str">
        <x:v>12-pounder Napoleon (USA) · Entity-1639</x:v>
      </x:c>
      <x:c r="F1551" s="137" t="n">
        <x:v>939.6810913085938</x:v>
      </x:c>
      <x:c r="G1551" s="137" t="n">
        <x:v>1719.4083251953125</x:v>
      </x:c>
      <x:c r="H1551" s="137" t="n">
        <x:v>144.5293731689453</x:v>
      </x:c>
      <x:c r="I1551" s="137" t="n">
        <x:v>850.1168013307985</x:v>
      </x:c>
      <x:c r="J1551" s="137" t="n">
        <x:v>1494.5069522500085</x:v>
      </x:c>
      <x:c r="K1551" s="136" t="str">
        <x:v>map-72</x:v>
      </x:c>
      <x:c r="L1551" s="136" t="str">
        <x:v>HarpersFerry | Contention | Outskirts||Gun | 12-pounder Napoleon (USA) · Entity-1639 [map-72/018]</x:v>
      </x:c>
      <x:c r="M1551" s="35"/>
      <x:c r="N1551" s="35"/>
      <x:c r="O1551" s="35"/>
      <x:c r="P1551" s="35"/>
      <x:c r="Q1551" s="35"/>
      <x:c r="R1551" s="35"/>
      <x:c r="S1551" s="35"/>
      <x:c r="T1551" s="35"/>
      <x:c r="U1551" s="35"/>
      <x:c r="V1551" s="35"/>
      <x:c r="W1551" s="35"/>
      <x:c r="X1551" s="35"/>
      <x:c r="Y1551" s="35"/>
      <x:c r="Z1551" s="35"/>
      <x:c r="AA1551" s="35"/>
    </x:row>
    <x:row r="1552">
      <x:c r="A1552" s="136" t="str">
        <x:v>HarpersFerry | Contention | Outskirts</x:v>
      </x:c>
      <x:c r="B1552" s="136" t="str">
        <x:v>Gun | 12-pounder Napoleon (USA) · 3InchOrdnanceRifle-163 [map-72/019]</x:v>
      </x:c>
      <x:c r="C1552" s="136" t="str">
        <x:v>gun_spawn</x:v>
      </x:c>
      <x:c r="D1552" s="136" t="str"/>
      <x:c r="E1552" s="136" t="str">
        <x:v>12-pounder Napoleon (USA) · 3InchOrdnanceRifle-163</x:v>
      </x:c>
      <x:c r="F1552" s="137" t="n">
        <x:v>725.10302734375</x:v>
      </x:c>
      <x:c r="G1552" s="137" t="n">
        <x:v>1684.9974365234375</x:v>
      </x:c>
      <x:c r="H1552" s="137" t="n">
        <x:v>153.45875549316406</x:v>
      </x:c>
      <x:c r="I1552" s="137" t="n">
        <x:v>432.38307984790873</x:v>
      </x:c>
      <x:c r="J1552" s="137" t="n">
        <x:v>1522.1855276866188</x:v>
      </x:c>
      <x:c r="K1552" s="136" t="str">
        <x:v>map-72</x:v>
      </x:c>
      <x:c r="L1552" s="136" t="str">
        <x:v>HarpersFerry | Contention | Outskirts||Gun | 12-pounder Napoleon (USA) · 3InchOrdnanceRifle-163 [map-72/019]</x:v>
      </x:c>
      <x:c r="M1552" s="35"/>
      <x:c r="N1552" s="35"/>
      <x:c r="O1552" s="35"/>
      <x:c r="P1552" s="35"/>
      <x:c r="Q1552" s="35"/>
      <x:c r="R1552" s="35"/>
      <x:c r="S1552" s="35"/>
      <x:c r="T1552" s="35"/>
      <x:c r="U1552" s="35"/>
      <x:c r="V1552" s="35"/>
      <x:c r="W1552" s="35"/>
      <x:c r="X1552" s="35"/>
      <x:c r="Y1552" s="35"/>
      <x:c r="Z1552" s="35"/>
      <x:c r="AA1552" s="35"/>
    </x:row>
    <x:row r="1553">
      <x:c r="A1553" s="136" t="str">
        <x:v>HarpersFerry | Contention | Outskirts</x:v>
      </x:c>
      <x:c r="B1553" s="136" t="str">
        <x:v>Gun | 12-pounder Napoleon (USA) · Entity-1638 [map-72/020]</x:v>
      </x:c>
      <x:c r="C1553" s="136" t="str">
        <x:v>gun_spawn</x:v>
      </x:c>
      <x:c r="D1553" s="136" t="str"/>
      <x:c r="E1553" s="136" t="str">
        <x:v>12-pounder Napoleon (USA) · Entity-1638</x:v>
      </x:c>
      <x:c r="F1553" s="137" t="n">
        <x:v>932.7449340820312</x:v>
      </x:c>
      <x:c r="G1553" s="137" t="n">
        <x:v>1726.1390380859375</x:v>
      </x:c>
      <x:c r="H1553" s="137" t="n">
        <x:v>144.5324249267578</x:v>
      </x:c>
      <x:c r="I1553" s="137" t="n">
        <x:v>836.6137119771863</x:v>
      </x:c>
      <x:c r="J1553" s="137" t="n">
        <x:v>1480.1330873708057</x:v>
      </x:c>
      <x:c r="K1553" s="136" t="str">
        <x:v>map-72</x:v>
      </x:c>
      <x:c r="L1553" s="136" t="str">
        <x:v>HarpersFerry | Contention | Outskirts||Gun | 12-pounder Napoleon (USA) · Entity-1638 [map-72/020]</x:v>
      </x:c>
      <x:c r="M1553" s="35"/>
      <x:c r="N1553" s="35"/>
      <x:c r="O1553" s="35"/>
      <x:c r="P1553" s="35"/>
      <x:c r="Q1553" s="35"/>
      <x:c r="R1553" s="35"/>
      <x:c r="S1553" s="35"/>
      <x:c r="T1553" s="35"/>
      <x:c r="U1553" s="35"/>
      <x:c r="V1553" s="35"/>
      <x:c r="W1553" s="35"/>
      <x:c r="X1553" s="35"/>
      <x:c r="Y1553" s="35"/>
      <x:c r="Z1553" s="35"/>
      <x:c r="AA1553" s="35"/>
    </x:row>
    <x:row r="1554">
      <x:c r="A1554" s="136" t="str">
        <x:v>HarpersFerry | Contention | Outskirts</x:v>
      </x:c>
      <x:c r="B1554" s="136" t="str">
        <x:v>Gun | 3-inch Ordnance · Entity-1634 [map-72/021]</x:v>
      </x:c>
      <x:c r="C1554" s="136" t="str">
        <x:v>gun_spawn</x:v>
      </x:c>
      <x:c r="D1554" s="136" t="str"/>
      <x:c r="E1554" s="136" t="str">
        <x:v>3-inch Ordnance · Entity-1634</x:v>
      </x:c>
      <x:c r="F1554" s="137" t="n">
        <x:v>907.8495483398438</x:v>
      </x:c>
      <x:c r="G1554" s="137" t="n">
        <x:v>1749.1387939453125</x:v>
      </x:c>
      <x:c r="H1554" s="137" t="n">
        <x:v>145.9473876953125</x:v>
      </x:c>
      <x:c r="I1554" s="137" t="n">
        <x:v>788.1481701520912</x:v>
      </x:c>
      <x:c r="J1554" s="137" t="n">
        <x:v>1430.7969764720426</x:v>
      </x:c>
      <x:c r="K1554" s="136" t="str">
        <x:v>map-72</x:v>
      </x:c>
      <x:c r="L1554" s="136" t="str">
        <x:v>HarpersFerry | Contention | Outskirts||Gun | 3-inch Ordnance · Entity-1634 [map-72/021]</x:v>
      </x:c>
      <x:c r="M1554" s="35"/>
      <x:c r="N1554" s="35"/>
      <x:c r="O1554" s="35"/>
      <x:c r="P1554" s="35"/>
      <x:c r="Q1554" s="35"/>
      <x:c r="R1554" s="35"/>
      <x:c r="S1554" s="35"/>
      <x:c r="T1554" s="35"/>
      <x:c r="U1554" s="35"/>
      <x:c r="V1554" s="35"/>
      <x:c r="W1554" s="35"/>
      <x:c r="X1554" s="35"/>
      <x:c r="Y1554" s="35"/>
      <x:c r="Z1554" s="35"/>
      <x:c r="AA1554" s="35"/>
    </x:row>
    <x:row r="1555">
      <x:c r="A1555" s="136" t="str">
        <x:v>HarpersFerry | Contention | Outskirts</x:v>
      </x:c>
      <x:c r="B1555" s="136" t="str">
        <x:v>Gun | 12-pounder Napoleon (USA) · 3InchOrdnanceRifle-164 [map-72/022]</x:v>
      </x:c>
      <x:c r="C1555" s="136" t="str">
        <x:v>gun_spawn</x:v>
      </x:c>
      <x:c r="D1555" s="136" t="str"/>
      <x:c r="E1555" s="136" t="str">
        <x:v>12-pounder Napoleon (USA) · 3InchOrdnanceRifle-164</x:v>
      </x:c>
      <x:c r="F1555" s="137" t="n">
        <x:v>712.4551391601562</x:v>
      </x:c>
      <x:c r="G1555" s="137" t="n">
        <x:v>1678.02978515625</x:v>
      </x:c>
      <x:c r="H1555" s="137" t="n">
        <x:v>154.80905151367188</x:v>
      </x:c>
      <x:c r="I1555" s="137" t="n">
        <x:v>407.76057509505705</x:v>
      </x:c>
      <x:c r="J1555" s="137" t="n">
        <x:v>1533.4327919612015</x:v>
      </x:c>
      <x:c r="K1555" s="136" t="str">
        <x:v>map-72</x:v>
      </x:c>
      <x:c r="L1555" s="136" t="str">
        <x:v>HarpersFerry | Contention | Outskirts||Gun | 12-pounder Napoleon (USA) · 3InchOrdnanceRifle-164 [map-72/022]</x:v>
      </x:c>
      <x:c r="M1555" s="35"/>
      <x:c r="N1555" s="35"/>
      <x:c r="O1555" s="35"/>
      <x:c r="P1555" s="35"/>
      <x:c r="Q1555" s="35"/>
      <x:c r="R1555" s="35"/>
      <x:c r="S1555" s="35"/>
      <x:c r="T1555" s="35"/>
      <x:c r="U1555" s="35"/>
      <x:c r="V1555" s="35"/>
      <x:c r="W1555" s="35"/>
      <x:c r="X1555" s="35"/>
      <x:c r="Y1555" s="35"/>
      <x:c r="Z1555" s="35"/>
      <x:c r="AA1555" s="35"/>
    </x:row>
    <x:row r="1556">
      <x:c r="A1556" s="136" t="str">
        <x:v>HarpersFerry | Contention | Outskirts</x:v>
      </x:c>
      <x:c r="B1556" s="136" t="str">
        <x:v>Gun | 3-inch Ordnance · Entity-1647 [map-72/023]</x:v>
      </x:c>
      <x:c r="C1556" s="136" t="str">
        <x:v>gun_spawn</x:v>
      </x:c>
      <x:c r="D1556" s="136" t="str"/>
      <x:c r="E1556" s="136" t="str">
        <x:v>3-inch Ordnance · Entity-1647</x:v>
      </x:c>
      <x:c r="F1556" s="137" t="n">
        <x:v>1157.9376220703125</x:v>
      </x:c>
      <x:c r="G1556" s="137" t="n">
        <x:v>2075.27490234375</x:v>
      </x:c>
      <x:c r="H1556" s="137" t="n">
        <x:v>137.4459991455078</x:v>
      </x:c>
      <x:c r="I1556" s="137" t="n">
        <x:v>1275.011644486692</x:v>
      </x:c>
      <x:c r="J1556" s="137" t="n">
        <x:v>841.7026173545518</x:v>
      </x:c>
      <x:c r="K1556" s="136" t="str">
        <x:v>map-72</x:v>
      </x:c>
      <x:c r="L1556" s="136" t="str">
        <x:v>HarpersFerry | Contention | Outskirts||Gun | 3-inch Ordnance · Entity-1647 [map-72/023]</x:v>
      </x:c>
      <x:c r="M1556" s="35"/>
      <x:c r="N1556" s="35"/>
      <x:c r="O1556" s="35"/>
      <x:c r="P1556" s="35"/>
      <x:c r="Q1556" s="35"/>
      <x:c r="R1556" s="35"/>
      <x:c r="S1556" s="35"/>
      <x:c r="T1556" s="35"/>
      <x:c r="U1556" s="35"/>
      <x:c r="V1556" s="35"/>
      <x:c r="W1556" s="35"/>
      <x:c r="X1556" s="35"/>
      <x:c r="Y1556" s="35"/>
      <x:c r="Z1556" s="35"/>
      <x:c r="AA1556" s="35"/>
    </x:row>
    <x:row r="1557">
      <x:c r="A1557" s="136" t="str">
        <x:v>HarpersFerry | Contention | Outskirts</x:v>
      </x:c>
      <x:c r="B1557" s="136" t="str">
        <x:v>Gun | 3-inch Ordnance · 3InchOrdnanceRifle-170 [map-72/024]</x:v>
      </x:c>
      <x:c r="C1557" s="136" t="str">
        <x:v>gun_spawn</x:v>
      </x:c>
      <x:c r="D1557" s="136" t="str"/>
      <x:c r="E1557" s="136" t="str">
        <x:v>3-inch Ordnance · 3InchOrdnanceRifle-170</x:v>
      </x:c>
      <x:c r="F1557" s="137" t="n">
        <x:v>688.9786376953125</x:v>
      </x:c>
      <x:c r="G1557" s="137" t="n">
        <x:v>1761.396240234375</x:v>
      </x:c>
      <x:c r="H1557" s="137" t="n">
        <x:v>163.27745056152344</x:v>
      </x:c>
      <x:c r="I1557" s="137" t="n">
        <x:v>362.0572718631179</x:v>
      </x:c>
      <x:c r="J1557" s="137" t="n">
        <x:v>1366.8366635929867</x:v>
      </x:c>
      <x:c r="K1557" s="136" t="str">
        <x:v>map-72</x:v>
      </x:c>
      <x:c r="L1557" s="136" t="str">
        <x:v>HarpersFerry | Contention | Outskirts||Gun | 3-inch Ordnance · 3InchOrdnanceRifle-170 [map-72/024]</x:v>
      </x:c>
      <x:c r="M1557" s="35"/>
      <x:c r="N1557" s="35"/>
      <x:c r="O1557" s="35"/>
      <x:c r="P1557" s="35"/>
      <x:c r="Q1557" s="35"/>
      <x:c r="R1557" s="35"/>
      <x:c r="S1557" s="35"/>
      <x:c r="T1557" s="35"/>
      <x:c r="U1557" s="35"/>
      <x:c r="V1557" s="35"/>
      <x:c r="W1557" s="35"/>
      <x:c r="X1557" s="35"/>
      <x:c r="Y1557" s="35"/>
      <x:c r="Z1557" s="35"/>
      <x:c r="AA1557" s="35"/>
    </x:row>
    <x:row r="1558">
      <x:c r="A1558" s="136" t="str">
        <x:v>HarpersFerry | Contention | Outskirts</x:v>
      </x:c>
      <x:c r="B1558" s="136" t="str">
        <x:v>Gun | 10-pounder Parrott · 3InchOrdnanceRifle-167 [map-72/025]</x:v>
      </x:c>
      <x:c r="C1558" s="136" t="str">
        <x:v>gun_spawn</x:v>
      </x:c>
      <x:c r="D1558" s="136" t="str"/>
      <x:c r="E1558" s="136" t="str">
        <x:v>10-pounder Parrott · 3InchOrdnanceRifle-167</x:v>
      </x:c>
      <x:c r="F1558" s="137" t="n">
        <x:v>681.71484375</x:v>
      </x:c>
      <x:c r="G1558" s="137" t="n">
        <x:v>1692.87060546875</x:v>
      </x:c>
      <x:c r="H1558" s="137" t="n">
        <x:v>160.7949676513672</x:v>
      </x:c>
      <x:c r="I1558" s="137" t="n">
        <x:v>347.91634980988596</x:v>
      </x:c>
      <x:c r="J1558" s="137" t="n">
        <x:v>1498.9094285259619</x:v>
      </x:c>
      <x:c r="K1558" s="136" t="str">
        <x:v>map-72</x:v>
      </x:c>
      <x:c r="L1558" s="136" t="str">
        <x:v>HarpersFerry | Contention | Outskirts||Gun | 10-pounder Parrott · 3InchOrdnanceRifle-167 [map-72/025]</x:v>
      </x:c>
      <x:c r="M1558" s="35"/>
      <x:c r="N1558" s="35"/>
      <x:c r="O1558" s="35"/>
      <x:c r="P1558" s="35"/>
      <x:c r="Q1558" s="35"/>
      <x:c r="R1558" s="35"/>
      <x:c r="S1558" s="35"/>
      <x:c r="T1558" s="35"/>
      <x:c r="U1558" s="35"/>
      <x:c r="V1558" s="35"/>
      <x:c r="W1558" s="35"/>
      <x:c r="X1558" s="35"/>
      <x:c r="Y1558" s="35"/>
      <x:c r="Z1558" s="35"/>
      <x:c r="AA1558" s="35"/>
    </x:row>
    <x:row r="1559">
      <x:c r="A1559" s="136" t="str">
        <x:v>HarpersFerry | Contention | Outskirts</x:v>
      </x:c>
      <x:c r="B1559" s="136" t="str">
        <x:v>Gun | 12-pounder Napoleon (USA) · 3InchOrdnanceRifle-174 [map-72/026]</x:v>
      </x:c>
      <x:c r="C1559" s="136" t="str">
        <x:v>gun_spawn</x:v>
      </x:c>
      <x:c r="D1559" s="136" t="str"/>
      <x:c r="E1559" s="136" t="str">
        <x:v>12-pounder Napoleon (USA) · 3InchOrdnanceRifle-174</x:v>
      </x:c>
      <x:c r="F1559" s="137" t="n">
        <x:v>665.6566772460938</x:v>
      </x:c>
      <x:c r="G1559" s="137" t="n">
        <x:v>1738.294189453125</x:v>
      </x:c>
      <x:c r="H1559" s="137" t="n">
        <x:v>163.29696655273438</x:v>
      </x:c>
      <x:c r="I1559" s="137" t="n">
        <x:v>316.65482414448667</x:v>
      </x:c>
      <x:c r="J1559" s="137" t="n">
        <x:v>1407.5383343654291</x:v>
      </x:c>
      <x:c r="K1559" s="136" t="str">
        <x:v>map-72</x:v>
      </x:c>
      <x:c r="L1559" s="136" t="str">
        <x:v>HarpersFerry | Contention | Outskirts||Gun | 12-pounder Napoleon (USA) · 3InchOrdnanceRifle-174 [map-72/026]</x:v>
      </x:c>
      <x:c r="M1559" s="35"/>
      <x:c r="N1559" s="35"/>
      <x:c r="O1559" s="35"/>
      <x:c r="P1559" s="35"/>
      <x:c r="Q1559" s="35"/>
      <x:c r="R1559" s="35"/>
      <x:c r="S1559" s="35"/>
      <x:c r="T1559" s="35"/>
      <x:c r="U1559" s="35"/>
      <x:c r="V1559" s="35"/>
      <x:c r="W1559" s="35"/>
      <x:c r="X1559" s="35"/>
      <x:c r="Y1559" s="35"/>
      <x:c r="Z1559" s="35"/>
      <x:c r="AA1559" s="35"/>
    </x:row>
    <x:row r="1560">
      <x:c r="A1560" s="136" t="str">
        <x:v>HarpersFerry | Contention | Outskirts</x:v>
      </x:c>
      <x:c r="B1560" s="136" t="str">
        <x:v>Gun | 12-pounder Napoleon (USA) · 3InchOrdnanceRifle-175 [map-72/027]</x:v>
      </x:c>
      <x:c r="C1560" s="136" t="str">
        <x:v>gun_spawn</x:v>
      </x:c>
      <x:c r="D1560" s="136" t="str"/>
      <x:c r="E1560" s="136" t="str">
        <x:v>12-pounder Napoleon (USA) · 3InchOrdnanceRifle-175</x:v>
      </x:c>
      <x:c r="F1560" s="137" t="n">
        <x:v>666.2051391601562</x:v>
      </x:c>
      <x:c r="G1560" s="137" t="n">
        <x:v>1727.2857666015625</x:v>
      </x:c>
      <x:c r="H1560" s="137" t="n">
        <x:v>163.29696655273438</x:v>
      </x:c>
      <x:c r="I1560" s="137" t="n">
        <x:v>317.72255228136885</x:v>
      </x:c>
      <x:c r="J1560" s="137" t="n">
        <x:v>1429.0696604928987</x:v>
      </x:c>
      <x:c r="K1560" s="136" t="str">
        <x:v>map-72</x:v>
      </x:c>
      <x:c r="L1560" s="136" t="str">
        <x:v>HarpersFerry | Contention | Outskirts||Gun | 12-pounder Napoleon (USA) · 3InchOrdnanceRifle-175 [map-72/027]</x:v>
      </x:c>
      <x:c r="M1560" s="35"/>
      <x:c r="N1560" s="35"/>
      <x:c r="O1560" s="35"/>
      <x:c r="P1560" s="35"/>
      <x:c r="Q1560" s="35"/>
      <x:c r="R1560" s="35"/>
      <x:c r="S1560" s="35"/>
      <x:c r="T1560" s="35"/>
      <x:c r="U1560" s="35"/>
      <x:c r="V1560" s="35"/>
      <x:c r="W1560" s="35"/>
      <x:c r="X1560" s="35"/>
      <x:c r="Y1560" s="35"/>
      <x:c r="Z1560" s="35"/>
      <x:c r="AA1560" s="35"/>
    </x:row>
    <x:row r="1561">
      <x:c r="A1561" s="136" t="str">
        <x:v>HarpersFerry | Contention | Outskirts</x:v>
      </x:c>
      <x:c r="B1561" s="136" t="str">
        <x:v>Gun | 3-inch Ordnance · Entity-1636 [map-72/028]</x:v>
      </x:c>
      <x:c r="C1561" s="136" t="str">
        <x:v>gun_spawn</x:v>
      </x:c>
      <x:c r="D1561" s="136" t="str"/>
      <x:c r="E1561" s="136" t="str">
        <x:v>3-inch Ordnance · Entity-1636</x:v>
      </x:c>
      <x:c r="F1561" s="137" t="n">
        <x:v>919.6587524414062</x:v>
      </x:c>
      <x:c r="G1561" s="137" t="n">
        <x:v>1738.0233154296875</x:v>
      </x:c>
      <x:c r="H1561" s="137" t="n">
        <x:v>144.8079833984375</x:v>
      </x:c>
      <x:c r="I1561" s="137" t="n">
        <x:v>811.1379515209126</x:v>
      </x:c>
      <x:c r="J1561" s="137" t="n">
        <x:v>1454.5997220683205</x:v>
      </x:c>
      <x:c r="K1561" s="136" t="str">
        <x:v>map-72</x:v>
      </x:c>
      <x:c r="L1561" s="136" t="str">
        <x:v>HarpersFerry | Contention | Outskirts||Gun | 3-inch Ordnance · Entity-1636 [map-72/028]</x:v>
      </x:c>
      <x:c r="M1561" s="35"/>
      <x:c r="N1561" s="35"/>
      <x:c r="O1561" s="35"/>
      <x:c r="P1561" s="35"/>
      <x:c r="Q1561" s="35"/>
      <x:c r="R1561" s="35"/>
      <x:c r="S1561" s="35"/>
      <x:c r="T1561" s="35"/>
      <x:c r="U1561" s="35"/>
      <x:c r="V1561" s="35"/>
      <x:c r="W1561" s="35"/>
      <x:c r="X1561" s="35"/>
      <x:c r="Y1561" s="35"/>
      <x:c r="Z1561" s="35"/>
      <x:c r="AA1561" s="35"/>
    </x:row>
    <x:row r="1562">
      <x:c r="A1562" s="136" t="str">
        <x:v>HarpersFerry | Contention | Outskirts</x:v>
      </x:c>
      <x:c r="B1562" s="136" t="str">
        <x:v>Gun | 12-pounder Napoleon (USA) · 3InchOrdnanceRifle-173 [map-72/029]</x:v>
      </x:c>
      <x:c r="C1562" s="136" t="str">
        <x:v>gun_spawn</x:v>
      </x:c>
      <x:c r="D1562" s="136" t="str"/>
      <x:c r="E1562" s="136" t="str">
        <x:v>12-pounder Napoleon (USA) · 3InchOrdnanceRifle-173</x:v>
      </x:c>
      <x:c r="F1562" s="137" t="n">
        <x:v>671.7979736328125</x:v>
      </x:c>
      <x:c r="G1562" s="137" t="n">
        <x:v>1745.715087890625</x:v>
      </x:c>
      <x:c r="H1562" s="137" t="n">
        <x:v>163.29696655273438</x:v>
      </x:c>
      <x:c r="I1562" s="137" t="n">
        <x:v>328.61050380228136</x:v>
      </x:c>
      <x:c r="J1562" s="137" t="n">
        <x:v>1394.2166730462684</x:v>
      </x:c>
      <x:c r="K1562" s="136" t="str">
        <x:v>map-72</x:v>
      </x:c>
      <x:c r="L1562" s="136" t="str">
        <x:v>HarpersFerry | Contention | Outskirts||Gun | 12-pounder Napoleon (USA) · 3InchOrdnanceRifle-173 [map-72/029]</x:v>
      </x:c>
      <x:c r="M1562" s="35"/>
      <x:c r="N1562" s="35"/>
      <x:c r="O1562" s="35"/>
      <x:c r="P1562" s="35"/>
      <x:c r="Q1562" s="35"/>
      <x:c r="R1562" s="35"/>
      <x:c r="S1562" s="35"/>
      <x:c r="T1562" s="35"/>
      <x:c r="U1562" s="35"/>
      <x:c r="V1562" s="35"/>
      <x:c r="W1562" s="35"/>
      <x:c r="X1562" s="35"/>
      <x:c r="Y1562" s="35"/>
      <x:c r="Z1562" s="35"/>
      <x:c r="AA1562" s="35"/>
    </x:row>
    <x:row r="1563">
      <x:c r="A1563" s="136" t="str">
        <x:v>HarpersFerry | Contention | Outskirts</x:v>
      </x:c>
      <x:c r="B1563" s="136" t="str">
        <x:v>Gun | 3-inch Ordnance · 3InchOrdnanceRifle-171 [map-72/030]</x:v>
      </x:c>
      <x:c r="C1563" s="136" t="str">
        <x:v>gun_spawn</x:v>
      </x:c>
      <x:c r="D1563" s="136" t="str"/>
      <x:c r="E1563" s="136" t="str">
        <x:v>3-inch Ordnance · 3InchOrdnanceRifle-171</x:v>
      </x:c>
      <x:c r="F1563" s="137" t="n">
        <x:v>683.3240966796875</x:v>
      </x:c>
      <x:c r="G1563" s="137" t="n">
        <x:v>1756.951416015625</x:v>
      </x:c>
      <x:c r="H1563" s="137" t="n">
        <x:v>163.32745361328125</x:v>
      </x:c>
      <x:c r="I1563" s="137" t="n">
        <x:v>351.04919201520914</x:v>
      </x:c>
      <x:c r="J1563" s="137" t="n">
        <x:v>1374.4537739441473</x:v>
      </x:c>
      <x:c r="K1563" s="136" t="str">
        <x:v>map-72</x:v>
      </x:c>
      <x:c r="L1563" s="136" t="str">
        <x:v>HarpersFerry | Contention | Outskirts||Gun | 3-inch Ordnance · 3InchOrdnanceRifle-171 [map-72/030]</x:v>
      </x:c>
      <x:c r="M1563" s="35"/>
      <x:c r="N1563" s="35"/>
      <x:c r="O1563" s="35"/>
      <x:c r="P1563" s="35"/>
      <x:c r="Q1563" s="35"/>
      <x:c r="R1563" s="35"/>
      <x:c r="S1563" s="35"/>
      <x:c r="T1563" s="35"/>
      <x:c r="U1563" s="35"/>
      <x:c r="V1563" s="35"/>
      <x:c r="W1563" s="35"/>
      <x:c r="X1563" s="35"/>
      <x:c r="Y1563" s="35"/>
      <x:c r="Z1563" s="35"/>
      <x:c r="AA1563" s="35"/>
    </x:row>
    <x:row r="1564">
      <x:c r="A1564" s="136" t="str">
        <x:v>HarpersFerry | Contention | Outskirts</x:v>
      </x:c>
      <x:c r="B1564" s="136" t="str">
        <x:v>Gun | 10-pounder Parrott · 3InchOrdnanceRifle-166 [map-72/031]</x:v>
      </x:c>
      <x:c r="C1564" s="136" t="str">
        <x:v>gun_spawn</x:v>
      </x:c>
      <x:c r="D1564" s="136" t="str"/>
      <x:c r="E1564" s="136" t="str">
        <x:v>10-pounder Parrott · 3InchOrdnanceRifle-166</x:v>
      </x:c>
      <x:c r="F1564" s="137" t="n">
        <x:v>691.8099975585938</x:v>
      </x:c>
      <x:c r="G1564" s="137" t="n">
        <x:v>1688.9019775390625</x:v>
      </x:c>
      <x:c r="H1564" s="137" t="n">
        <x:v>158.93873596191406</x:v>
      </x:c>
      <x:c r="I1564" s="137" t="n">
        <x:v>367.5692728136882</x:v>
      </x:c>
      <x:c r="J1564" s="137" t="n">
        <x:v>1508.484893723147</x:v>
      </x:c>
      <x:c r="K1564" s="136" t="str">
        <x:v>map-72</x:v>
      </x:c>
      <x:c r="L1564" s="136" t="str">
        <x:v>HarpersFerry | Contention | Outskirts||Gun | 10-pounder Parrott · 3InchOrdnanceRifle-166 [map-72/031]</x:v>
      </x:c>
      <x:c r="M1564" s="35"/>
      <x:c r="N1564" s="35"/>
      <x:c r="O1564" s="35"/>
      <x:c r="P1564" s="35"/>
      <x:c r="Q1564" s="35"/>
      <x:c r="R1564" s="35"/>
      <x:c r="S1564" s="35"/>
      <x:c r="T1564" s="35"/>
      <x:c r="U1564" s="35"/>
      <x:c r="V1564" s="35"/>
      <x:c r="W1564" s="35"/>
      <x:c r="X1564" s="35"/>
      <x:c r="Y1564" s="35"/>
      <x:c r="Z1564" s="35"/>
      <x:c r="AA1564" s="35"/>
    </x:row>
    <x:row r="1565">
      <x:c r="A1565" s="136" t="str">
        <x:v>HarpersFerry | Contention | Outskirts</x:v>
      </x:c>
      <x:c r="B1565" s="136" t="str">
        <x:v>Gun | 12-pounder Napoleon (CSA) · Entity-1651 [map-72/032]</x:v>
      </x:c>
      <x:c r="C1565" s="136" t="str">
        <x:v>gun_spawn</x:v>
      </x:c>
      <x:c r="D1565" s="136" t="str"/>
      <x:c r="E1565" s="136" t="str">
        <x:v>12-pounder Napoleon (CSA) · Entity-1651</x:v>
      </x:c>
      <x:c r="F1565" s="137" t="n">
        <x:v>1130.17236328125</x:v>
      </x:c>
      <x:c r="G1565" s="137" t="n">
        <x:v>2092.822509765625</x:v>
      </x:c>
      <x:c r="H1565" s="137" t="n">
        <x:v>139.58551025390625</x:v>
      </x:c>
      <x:c r="I1565" s="137" t="n">
        <x:v>1220.9591254752852</x:v>
      </x:c>
      <x:c r="J1565" s="137" t="n">
        <x:v>802.4548042273615</x:v>
      </x:c>
      <x:c r="K1565" s="136" t="str">
        <x:v>map-72</x:v>
      </x:c>
      <x:c r="L1565" s="136" t="str">
        <x:v>HarpersFerry | Contention | Outskirts||Gun | 12-pounder Napoleon (CSA) · Entity-1651 [map-72/032]</x:v>
      </x:c>
      <x:c r="M1565" s="35"/>
      <x:c r="N1565" s="35"/>
      <x:c r="O1565" s="35"/>
      <x:c r="P1565" s="35"/>
      <x:c r="Q1565" s="35"/>
      <x:c r="R1565" s="35"/>
      <x:c r="S1565" s="35"/>
      <x:c r="T1565" s="35"/>
      <x:c r="U1565" s="35"/>
      <x:c r="V1565" s="35"/>
      <x:c r="W1565" s="35"/>
      <x:c r="X1565" s="35"/>
      <x:c r="Y1565" s="35"/>
      <x:c r="Z1565" s="35"/>
      <x:c r="AA1565" s="35"/>
    </x:row>
    <x:row r="1566">
      <x:c r="A1566" s="136" t="str">
        <x:v>HarpersFerry | Contention | Outskirts</x:v>
      </x:c>
      <x:c r="B1566" s="136" t="str">
        <x:v>Gun | 3-inch Ordnance · 3InchOrdnanceRifle-172 [map-72/033]</x:v>
      </x:c>
      <x:c r="C1566" s="136" t="str">
        <x:v>gun_spawn</x:v>
      </x:c>
      <x:c r="D1566" s="136" t="str"/>
      <x:c r="E1566" s="136" t="str">
        <x:v>3-inch Ordnance · 3InchOrdnanceRifle-172</x:v>
      </x:c>
      <x:c r="F1566" s="137" t="n">
        <x:v>675.4078369140625</x:v>
      </x:c>
      <x:c r="G1566" s="137" t="n">
        <x:v>1749.2274169921875</x:v>
      </x:c>
      <x:c r="H1566" s="137" t="n">
        <x:v>163.32745361328125</x:v>
      </x:c>
      <x:c r="I1566" s="137" t="n">
        <x:v>335.6380703422053</x:v>
      </x:c>
      <x:c r="J1566" s="137" t="n">
        <x:v>1388.0403223723622</x:v>
      </x:c>
      <x:c r="K1566" s="136" t="str">
        <x:v>map-72</x:v>
      </x:c>
      <x:c r="L1566" s="136" t="str">
        <x:v>HarpersFerry | Contention | Outskirts||Gun | 3-inch Ordnance · 3InchOrdnanceRifle-172 [map-72/033]</x:v>
      </x:c>
      <x:c r="M1566" s="35"/>
      <x:c r="N1566" s="35"/>
      <x:c r="O1566" s="35"/>
      <x:c r="P1566" s="35"/>
      <x:c r="Q1566" s="35"/>
      <x:c r="R1566" s="35"/>
      <x:c r="S1566" s="35"/>
      <x:c r="T1566" s="35"/>
      <x:c r="U1566" s="35"/>
      <x:c r="V1566" s="35"/>
      <x:c r="W1566" s="35"/>
      <x:c r="X1566" s="35"/>
      <x:c r="Y1566" s="35"/>
      <x:c r="Z1566" s="35"/>
      <x:c r="AA1566" s="35"/>
    </x:row>
    <x:row r="1567">
      <x:c r="A1567" s="136" t="str">
        <x:v>HarpersFerry | Contention | Outskirts</x:v>
      </x:c>
      <x:c r="B1567" s="136" t="str">
        <x:v>Gun | 12-pounder Napoleon (USA) · 3InchOrdnanceRifle-168 [map-72/034]</x:v>
      </x:c>
      <x:c r="C1567" s="136" t="str">
        <x:v>gun_spawn</x:v>
      </x:c>
      <x:c r="D1567" s="136" t="str"/>
      <x:c r="E1567" s="136" t="str">
        <x:v>12-pounder Napoleon (USA) · 3InchOrdnanceRifle-168</x:v>
      </x:c>
      <x:c r="F1567" s="137" t="n">
        <x:v>668.074951171875</x:v>
      </x:c>
      <x:c r="G1567" s="137" t="n">
        <x:v>1715.5125732421875</x:v>
      </x:c>
      <x:c r="H1567" s="137" t="n">
        <x:v>163.3070831298828</x:v>
      </x:c>
      <x:c r="I1567" s="137" t="n">
        <x:v>321.3626425855513</x:v>
      </x:c>
      <x:c r="J1567" s="137" t="n">
        <x:v>1452.3318933274784</x:v>
      </x:c>
      <x:c r="K1567" s="136" t="str">
        <x:v>map-72</x:v>
      </x:c>
      <x:c r="L1567" s="136" t="str">
        <x:v>HarpersFerry | Contention | Outskirts||Gun | 12-pounder Napoleon (USA) · 3InchOrdnanceRifle-168 [map-72/034]</x:v>
      </x:c>
      <x:c r="M1567" s="35"/>
      <x:c r="N1567" s="35"/>
      <x:c r="O1567" s="35"/>
      <x:c r="P1567" s="35"/>
      <x:c r="Q1567" s="35"/>
      <x:c r="R1567" s="35"/>
      <x:c r="S1567" s="35"/>
      <x:c r="T1567" s="35"/>
      <x:c r="U1567" s="35"/>
      <x:c r="V1567" s="35"/>
      <x:c r="W1567" s="35"/>
      <x:c r="X1567" s="35"/>
      <x:c r="Y1567" s="35"/>
      <x:c r="Z1567" s="35"/>
      <x:c r="AA1567" s="35"/>
    </x:row>
    <x:row r="1568">
      <x:c r="A1568" s="136" t="str">
        <x:v>HarpersFerry | Contention | Outskirts</x:v>
      </x:c>
      <x:c r="B1568" s="136" t="str">
        <x:v>Gun | 12-pounder Napoleon (USA) · Entity-1637 [map-72/035]</x:v>
      </x:c>
      <x:c r="C1568" s="136" t="str">
        <x:v>gun_spawn</x:v>
      </x:c>
      <x:c r="D1568" s="136" t="str"/>
      <x:c r="E1568" s="136" t="str">
        <x:v>12-pounder Napoleon (USA) · Entity-1637</x:v>
      </x:c>
      <x:c r="F1568" s="137" t="n">
        <x:v>925.7066650390625</x:v>
      </x:c>
      <x:c r="G1568" s="137" t="n">
        <x:v>1732.5340576171875</x:v>
      </x:c>
      <x:c r="H1568" s="137" t="n">
        <x:v>144.52215576171875</x:v>
      </x:c>
      <x:c r="I1568" s="137" t="n">
        <x:v>822.9118346007605</x:v>
      </x:c>
      <x:c r="J1568" s="137" t="n">
        <x:v>1466.3940323638842</x:v>
      </x:c>
      <x:c r="K1568" s="136" t="str">
        <x:v>map-72</x:v>
      </x:c>
      <x:c r="L1568" s="136" t="str">
        <x:v>HarpersFerry | Contention | Outskirts||Gun | 12-pounder Napoleon (USA) · Entity-1637 [map-72/035]</x:v>
      </x:c>
      <x:c r="M1568" s="35"/>
      <x:c r="N1568" s="35"/>
      <x:c r="O1568" s="35"/>
      <x:c r="P1568" s="35"/>
      <x:c r="Q1568" s="35"/>
      <x:c r="R1568" s="35"/>
      <x:c r="S1568" s="35"/>
      <x:c r="T1568" s="35"/>
      <x:c r="U1568" s="35"/>
      <x:c r="V1568" s="35"/>
      <x:c r="W1568" s="35"/>
      <x:c r="X1568" s="35"/>
      <x:c r="Y1568" s="35"/>
      <x:c r="Z1568" s="35"/>
      <x:c r="AA1568" s="35"/>
    </x:row>
    <x:row r="1569">
      <x:c r="A1569" s="136" t="str">
        <x:v>HarpersFerry | Contention | Outskirts</x:v>
      </x:c>
      <x:c r="B1569" s="136" t="str">
        <x:v>Gun | 12-pounder Napoleon (USA) · 3InchOrdnanceRifle-162 [map-72/036]</x:v>
      </x:c>
      <x:c r="C1569" s="136" t="str">
        <x:v>gun_spawn</x:v>
      </x:c>
      <x:c r="D1569" s="136" t="str"/>
      <x:c r="E1569" s="136" t="str">
        <x:v>12-pounder Napoleon (USA) · 3InchOrdnanceRifle-162</x:v>
      </x:c>
      <x:c r="F1569" s="137" t="n">
        <x:v>734.99072265625</x:v>
      </x:c>
      <x:c r="G1569" s="137" t="n">
        <x:v>1692.052490234375</x:v>
      </x:c>
      <x:c r="H1569" s="137" t="n">
        <x:v>152.57833862304688</x:v>
      </x:c>
      <x:c r="I1569" s="137" t="n">
        <x:v>451.63212927756655</x:v>
      </x:c>
      <x:c r="J1569" s="137" t="n">
        <x:v>1510.2624344388923</x:v>
      </x:c>
      <x:c r="K1569" s="136" t="str">
        <x:v>map-72</x:v>
      </x:c>
      <x:c r="L1569" s="136" t="str">
        <x:v>HarpersFerry | Contention | Outskirts||Gun | 12-pounder Napoleon (USA) · 3InchOrdnanceRifle-162 [map-72/036]</x:v>
      </x:c>
      <x:c r="M1569" s="35"/>
      <x:c r="N1569" s="35"/>
      <x:c r="O1569" s="35"/>
      <x:c r="P1569" s="35"/>
      <x:c r="Q1569" s="35"/>
      <x:c r="R1569" s="35"/>
      <x:c r="S1569" s="35"/>
      <x:c r="T1569" s="35"/>
      <x:c r="U1569" s="35"/>
      <x:c r="V1569" s="35"/>
      <x:c r="W1569" s="35"/>
      <x:c r="X1569" s="35"/>
      <x:c r="Y1569" s="35"/>
      <x:c r="Z1569" s="35"/>
      <x:c r="AA1569" s="35"/>
    </x:row>
    <x:row r="1570">
      <x:c r="A1570" s="136" t="str">
        <x:v>HarpersFerry | Contention | Outskirts</x:v>
      </x:c>
      <x:c r="B1570" s="136" t="str">
        <x:v>Gun | 3-inch Ordnance · 3InchOrdnanceRifle-169 [map-72/037]</x:v>
      </x:c>
      <x:c r="C1570" s="136" t="str">
        <x:v>gun_spawn</x:v>
      </x:c>
      <x:c r="D1570" s="136" t="str"/>
      <x:c r="E1570" s="136" t="str">
        <x:v>3-inch Ordnance · 3InchOrdnanceRifle-169</x:v>
      </x:c>
      <x:c r="F1570" s="137" t="n">
        <x:v>692.5941162109375</x:v>
      </x:c>
      <x:c r="G1570" s="137" t="n">
        <x:v>1764.5723876953125</x:v>
      </x:c>
      <x:c r="H1570" s="137" t="n">
        <x:v>163.27745056152344</x:v>
      </x:c>
      <x:c r="I1570" s="137" t="n">
        <x:v>369.09576996197717</x:v>
      </x:c>
      <x:c r="J1570" s="137" t="n">
        <x:v>1361.3158093300501</x:v>
      </x:c>
      <x:c r="K1570" s="136" t="str">
        <x:v>map-72</x:v>
      </x:c>
      <x:c r="L1570" s="136" t="str">
        <x:v>HarpersFerry | Contention | Outskirts||Gun | 3-inch Ordnance · 3InchOrdnanceRifle-169 [map-72/037]</x:v>
      </x:c>
      <x:c r="M1570" s="35"/>
      <x:c r="N1570" s="35"/>
      <x:c r="O1570" s="35"/>
      <x:c r="P1570" s="35"/>
      <x:c r="Q1570" s="35"/>
      <x:c r="R1570" s="35"/>
      <x:c r="S1570" s="35"/>
      <x:c r="T1570" s="35"/>
      <x:c r="U1570" s="35"/>
      <x:c r="V1570" s="35"/>
      <x:c r="W1570" s="35"/>
      <x:c r="X1570" s="35"/>
      <x:c r="Y1570" s="35"/>
      <x:c r="Z1570" s="35"/>
      <x:c r="AA1570" s="35"/>
    </x:row>
    <x:row r="1571">
      <x:c r="A1571" s="136" t="str">
        <x:v>HarpersFerry | Contention | Outskirts</x:v>
      </x:c>
      <x:c r="B1571" s="136" t="str">
        <x:v>Gun | 3-inch Ordnance · Entity-1646 [map-72/038]</x:v>
      </x:c>
      <x:c r="C1571" s="136" t="str">
        <x:v>gun_spawn</x:v>
      </x:c>
      <x:c r="D1571" s="136" t="str"/>
      <x:c r="E1571" s="136" t="str">
        <x:v>3-inch Ordnance · Entity-1646</x:v>
      </x:c>
      <x:c r="F1571" s="137" t="n">
        <x:v>1163.8670654296875</x:v>
      </x:c>
      <x:c r="G1571" s="137" t="n">
        <x:v>2070.900146484375</x:v>
      </x:c>
      <x:c r="H1571" s="137" t="n">
        <x:v>136.84022521972656</x:v>
      </x:c>
      <x:c r="I1571" s="137" t="n">
        <x:v>1286.5548954372623</x:v>
      </x:c>
      <x:c r="J1571" s="137" t="n">
        <x:v>851.3055468697767</x:v>
      </x:c>
      <x:c r="K1571" s="136" t="str">
        <x:v>map-72</x:v>
      </x:c>
      <x:c r="L1571" s="136" t="str">
        <x:v>HarpersFerry | Contention | Outskirts||Gun | 3-inch Ordnance · Entity-1646 [map-72/038]</x:v>
      </x:c>
      <x:c r="M1571" s="35"/>
      <x:c r="N1571" s="35"/>
      <x:c r="O1571" s="35"/>
      <x:c r="P1571" s="35"/>
      <x:c r="Q1571" s="35"/>
      <x:c r="R1571" s="35"/>
      <x:c r="S1571" s="35"/>
      <x:c r="T1571" s="35"/>
      <x:c r="U1571" s="35"/>
      <x:c r="V1571" s="35"/>
      <x:c r="W1571" s="35"/>
      <x:c r="X1571" s="35"/>
      <x:c r="Y1571" s="35"/>
      <x:c r="Z1571" s="35"/>
      <x:c r="AA1571" s="35"/>
    </x:row>
    <x:row r="1572">
      <x:c r="A1572" s="136" t="str">
        <x:v>HarpersFerry | Contention | Outskirts</x:v>
      </x:c>
      <x:c r="B1572" s="136" t="str">
        <x:v>Gun | 12-pounder Napoleon (USA) · Entity-1649 [map-72/039]</x:v>
      </x:c>
      <x:c r="C1572" s="136" t="str">
        <x:v>gun_spawn</x:v>
      </x:c>
      <x:c r="D1572" s="136" t="str"/>
      <x:c r="E1572" s="136" t="str">
        <x:v>12-pounder Napoleon (USA) · Entity-1649</x:v>
      </x:c>
      <x:c r="F1572" s="137" t="n">
        <x:v>1145.587646484375</x:v>
      </x:c>
      <x:c r="G1572" s="137" t="n">
        <x:v>2082.854248046875</x:v>
      </x:c>
      <x:c r="H1572" s="137" t="n">
        <x:v>138.563232421875</x:v>
      </x:c>
      <x:c r="I1572" s="137" t="n">
        <x:v>1250.9691064638782</x:v>
      </x:c>
      <x:c r="J1572" s="137" t="n">
        <x:v>824.6848309699811</x:v>
      </x:c>
      <x:c r="K1572" s="136" t="str">
        <x:v>map-72</x:v>
      </x:c>
      <x:c r="L1572" s="136" t="str">
        <x:v>HarpersFerry | Contention | Outskirts||Gun | 12-pounder Napoleon (USA) · Entity-1649 [map-72/039]</x:v>
      </x:c>
      <x:c r="M1572" s="35"/>
      <x:c r="N1572" s="35"/>
      <x:c r="O1572" s="35"/>
      <x:c r="P1572" s="35"/>
      <x:c r="Q1572" s="35"/>
      <x:c r="R1572" s="35"/>
      <x:c r="S1572" s="35"/>
      <x:c r="T1572" s="35"/>
      <x:c r="U1572" s="35"/>
      <x:c r="V1572" s="35"/>
      <x:c r="W1572" s="35"/>
      <x:c r="X1572" s="35"/>
      <x:c r="Y1572" s="35"/>
      <x:c r="Z1572" s="35"/>
      <x:c r="AA1572" s="35"/>
    </x:row>
    <x:row r="1573">
      <x:c r="A1573" s="136" t="str">
        <x:v>HarpersFerry | Contention | Overlook</x:v>
      </x:c>
      <x:c r="B1573" s="136" t="str">
        <x:v>Spawn | USA CQ3_Spawnpoint_USA_Infantry_1 [map-73/001]</x:v>
      </x:c>
      <x:c r="C1573" s="136" t="str">
        <x:v>spawn</x:v>
      </x:c>
      <x:c r="D1573" s="136" t="str">
        <x:v>USA</x:v>
      </x:c>
      <x:c r="E1573" s="136" t="str">
        <x:v>CQ3_Spawnpoint_USA_Infantry_1</x:v>
      </x:c>
      <x:c r="F1573" s="137" t="n">
        <x:v>2604.469482421875</x:v>
      </x:c>
      <x:c r="G1573" s="137" t="n">
        <x:v>2645.071044921875</x:v>
      </x:c>
      <x:c r="H1573" s="137" t="n">
        <x:v>157.8117218017578</x:v>
      </x:c>
      <x:c r="I1573" s="137" t="n">
        <x:v>803.7543156501291</x:v>
      </x:c>
      <x:c r="J1573" s="137" t="n">
        <x:v>309.2190333920646</x:v>
      </x:c>
      <x:c r="K1573" s="136" t="str">
        <x:v>map-73</x:v>
      </x:c>
      <x:c r="L1573" s="136" t="str">
        <x:v>HarpersFerry | Contention | Overlook||Spawn | USA CQ3_Spawnpoint_USA_Infantry_1 [map-73/001]</x:v>
      </x:c>
      <x:c r="M1573" s="35"/>
      <x:c r="N1573" s="35"/>
      <x:c r="O1573" s="35"/>
      <x:c r="P1573" s="35"/>
      <x:c r="Q1573" s="35"/>
      <x:c r="R1573" s="35"/>
      <x:c r="S1573" s="35"/>
      <x:c r="T1573" s="35"/>
      <x:c r="U1573" s="35"/>
      <x:c r="V1573" s="35"/>
      <x:c r="W1573" s="35"/>
      <x:c r="X1573" s="35"/>
      <x:c r="Y1573" s="35"/>
      <x:c r="Z1573" s="35"/>
      <x:c r="AA1573" s="35"/>
    </x:row>
    <x:row r="1574">
      <x:c r="A1574" s="136" t="str">
        <x:v>HarpersFerry | Contention | Overlook</x:v>
      </x:c>
      <x:c r="B1574" s="136" t="str">
        <x:v>Objective | Victory_Conquest_3 [map-73/002]</x:v>
      </x:c>
      <x:c r="C1574" s="136" t="str">
        <x:v>objective</x:v>
      </x:c>
      <x:c r="D1574" s="136" t="str"/>
      <x:c r="E1574" s="136" t="str">
        <x:v>Victory_Conquest_3</x:v>
      </x:c>
      <x:c r="F1574" s="137" t="n">
        <x:v>2806.368408203125</x:v>
      </x:c>
      <x:c r="G1574" s="137" t="n">
        <x:v>1945.8311767578125</x:v>
      </x:c>
      <x:c r="H1574" s="137" t="n">
        <x:v>91.5</x:v>
      </x:c>
      <x:c r="I1574" s="137" t="n">
        <x:v>1219.1241367389482</x:v>
      </x:c>
      <x:c r="J1574" s="137" t="n">
        <x:v>1751.357251658303</x:v>
      </x:c>
      <x:c r="K1574" s="136" t="str">
        <x:v>map-73</x:v>
      </x:c>
      <x:c r="L1574" s="136" t="str">
        <x:v>HarpersFerry | Contention | Overlook||Objective | Victory_Conquest_3 [map-73/002]</x:v>
      </x:c>
      <x:c r="M1574" s="35"/>
      <x:c r="N1574" s="35"/>
      <x:c r="O1574" s="35"/>
      <x:c r="P1574" s="35"/>
      <x:c r="Q1574" s="35"/>
      <x:c r="R1574" s="35"/>
      <x:c r="S1574" s="35"/>
      <x:c r="T1574" s="35"/>
      <x:c r="U1574" s="35"/>
      <x:c r="V1574" s="35"/>
      <x:c r="W1574" s="35"/>
      <x:c r="X1574" s="35"/>
      <x:c r="Y1574" s="35"/>
      <x:c r="Z1574" s="35"/>
      <x:c r="AA1574" s="35"/>
    </x:row>
    <x:row r="1575">
      <x:c r="A1575" s="136" t="str">
        <x:v>HarpersFerry | Contention | Overlook</x:v>
      </x:c>
      <x:c r="B1575" s="136" t="str">
        <x:v>Spawn | CSA CQ3_Spawnpoint_CSA_Infantry_1 [map-73/003]</x:v>
      </x:c>
      <x:c r="C1575" s="136" t="str">
        <x:v>spawn</x:v>
      </x:c>
      <x:c r="D1575" s="136" t="str">
        <x:v>CSA</x:v>
      </x:c>
      <x:c r="E1575" s="136" t="str">
        <x:v>CQ3_Spawnpoint_CSA_Infantry_1</x:v>
      </x:c>
      <x:c r="F1575" s="137" t="n">
        <x:v>2818.327392578125</x:v>
      </x:c>
      <x:c r="G1575" s="137" t="n">
        <x:v>1942.269287109375</x:v>
      </x:c>
      <x:c r="H1575" s="137" t="n">
        <x:v>91.59300231933594</x:v>
      </x:c>
      <x:c r="I1575" s="137" t="n">
        <x:v>1243.8062474552232</x:v>
      </x:c>
      <x:c r="J1575" s="137" t="n">
        <x:v>1758.703424874578</x:v>
      </x:c>
      <x:c r="K1575" s="136" t="str">
        <x:v>map-73</x:v>
      </x:c>
      <x:c r="L1575" s="136" t="str">
        <x:v>HarpersFerry | Contention | Overlook||Spawn | CSA CQ3_Spawnpoint_CSA_Infantry_1 [map-73/003]</x:v>
      </x:c>
      <x:c r="M1575" s="35"/>
      <x:c r="N1575" s="35"/>
      <x:c r="O1575" s="35"/>
      <x:c r="P1575" s="35"/>
      <x:c r="Q1575" s="35"/>
      <x:c r="R1575" s="35"/>
      <x:c r="S1575" s="35"/>
      <x:c r="T1575" s="35"/>
      <x:c r="U1575" s="35"/>
      <x:c r="V1575" s="35"/>
      <x:c r="W1575" s="35"/>
      <x:c r="X1575" s="35"/>
      <x:c r="Y1575" s="35"/>
      <x:c r="Z1575" s="35"/>
      <x:c r="AA1575" s="35"/>
    </x:row>
    <x:row r="1576">
      <x:c r="A1576" s="136" t="str">
        <x:v>HarpersFerry | Contention | Overlook</x:v>
      </x:c>
      <x:c r="B1576" s="136" t="str">
        <x:v>Spawn | USA CQ3_Spawnpoint_USA_Infantry_0 [map-73/004]</x:v>
      </x:c>
      <x:c r="C1576" s="136" t="str">
        <x:v>spawn</x:v>
      </x:c>
      <x:c r="D1576" s="136" t="str">
        <x:v>USA</x:v>
      </x:c>
      <x:c r="E1576" s="136" t="str">
        <x:v>CQ3_Spawnpoint_USA_Infantry_0</x:v>
      </x:c>
      <x:c r="F1576" s="137" t="n">
        <x:v>2623.725830078125</x:v>
      </x:c>
      <x:c r="G1576" s="137" t="n">
        <x:v>2683.611572265625</x:v>
      </x:c>
      <x:c r="H1576" s="137" t="n">
        <x:v>158.3346710205078</x:v>
      </x:c>
      <x:c r="I1576" s="137" t="n">
        <x:v>843.5894843711236</x:v>
      </x:c>
      <x:c r="J1576" s="137" t="n">
        <x:v>229.73162146789787</x:v>
      </x:c>
      <x:c r="K1576" s="136" t="str">
        <x:v>map-73</x:v>
      </x:c>
      <x:c r="L1576" s="136" t="str">
        <x:v>HarpersFerry | Contention | Overlook||Spawn | USA CQ3_Spawnpoint_USA_Infantry_0 [map-73/004]</x:v>
      </x:c>
      <x:c r="M1576" s="35"/>
      <x:c r="N1576" s="35"/>
      <x:c r="O1576" s="35"/>
      <x:c r="P1576" s="35"/>
      <x:c r="Q1576" s="35"/>
      <x:c r="R1576" s="35"/>
      <x:c r="S1576" s="35"/>
      <x:c r="T1576" s="35"/>
      <x:c r="U1576" s="35"/>
      <x:c r="V1576" s="35"/>
      <x:c r="W1576" s="35"/>
      <x:c r="X1576" s="35"/>
      <x:c r="Y1576" s="35"/>
      <x:c r="Z1576" s="35"/>
      <x:c r="AA1576" s="35"/>
    </x:row>
    <x:row r="1577">
      <x:c r="A1577" s="136" t="str">
        <x:v>HarpersFerry | Contention | Overlook</x:v>
      </x:c>
      <x:c r="B1577" s="136" t="str">
        <x:v>Spawn | CSA CQ3_Spawnpoint_CSA_Infantry_0 [map-73/005]</x:v>
      </x:c>
      <x:c r="C1577" s="136" t="str">
        <x:v>spawn</x:v>
      </x:c>
      <x:c r="D1577" s="136" t="str">
        <x:v>CSA</x:v>
      </x:c>
      <x:c r="E1577" s="136" t="str">
        <x:v>CQ3_Spawnpoint_CSA_Infantry_0</x:v>
      </x:c>
      <x:c r="F1577" s="137" t="n">
        <x:v>2840.41015625</x:v>
      </x:c>
      <x:c r="G1577" s="137" t="n">
        <x:v>1929.3289794921875</x:v>
      </x:c>
      <x:c r="H1577" s="137" t="n">
        <x:v>91.58097839355469</x:v>
      </x:c>
      <x:c r="I1577" s="137" t="n">
        <x:v>1289.3695654427845</x:v>
      </x:c>
      <x:c r="J1577" s="137" t="n">
        <x:v>1785.3919948782686</x:v>
      </x:c>
      <x:c r="K1577" s="136" t="str">
        <x:v>map-73</x:v>
      </x:c>
      <x:c r="L1577" s="136" t="str">
        <x:v>HarpersFerry | Contention | Overlook||Spawn | CSA CQ3_Spawnpoint_CSA_Infantry_0 [map-73/005]</x:v>
      </x:c>
      <x:c r="M1577" s="35"/>
      <x:c r="N1577" s="35"/>
      <x:c r="O1577" s="35"/>
      <x:c r="P1577" s="35"/>
      <x:c r="Q1577" s="35"/>
      <x:c r="R1577" s="35"/>
      <x:c r="S1577" s="35"/>
      <x:c r="T1577" s="35"/>
      <x:c r="U1577" s="35"/>
      <x:c r="V1577" s="35"/>
      <x:c r="W1577" s="35"/>
      <x:c r="X1577" s="35"/>
      <x:c r="Y1577" s="35"/>
      <x:c r="Z1577" s="35"/>
      <x:c r="AA1577" s="35"/>
    </x:row>
    <x:row r="1578">
      <x:c r="A1578" s="136" t="str">
        <x:v>HarpersFerry | Contention | Valley</x:v>
      </x:c>
      <x:c r="B1578" s="136" t="str">
        <x:v>Spawn | USA CQ4_Spawnpoint_USA_Infantry_2 [map-74/001]</x:v>
      </x:c>
      <x:c r="C1578" s="136" t="str">
        <x:v>spawn</x:v>
      </x:c>
      <x:c r="D1578" s="136" t="str">
        <x:v>USA</x:v>
      </x:c>
      <x:c r="E1578" s="136" t="str">
        <x:v>CQ4_Spawnpoint_USA_Infantry_2</x:v>
      </x:c>
      <x:c r="F1578" s="137" t="n">
        <x:v>215.99972534179688</x:v>
      </x:c>
      <x:c r="G1578" s="137" t="n">
        <x:v>2295.598876953125</x:v>
      </x:c>
      <x:c r="H1578" s="137" t="n">
        <x:v>117.45675659179688</x:v>
      </x:c>
      <x:c r="I1578" s="137" t="n">
        <x:v>268.79559443780346</x:v>
      </x:c>
      <x:c r="J1578" s="137" t="n">
        <x:v>773.1651267160427</x:v>
      </x:c>
      <x:c r="K1578" s="136" t="str">
        <x:v>map-74</x:v>
      </x:c>
      <x:c r="L1578" s="136" t="str">
        <x:v>HarpersFerry | Contention | Valley||Spawn | USA CQ4_Spawnpoint_USA_Infantry_2 [map-74/001]</x:v>
      </x:c>
      <x:c r="M1578" s="35"/>
      <x:c r="N1578" s="35"/>
      <x:c r="O1578" s="35"/>
      <x:c r="P1578" s="35"/>
      <x:c r="Q1578" s="35"/>
      <x:c r="R1578" s="35"/>
      <x:c r="S1578" s="35"/>
      <x:c r="T1578" s="35"/>
      <x:c r="U1578" s="35"/>
      <x:c r="V1578" s="35"/>
      <x:c r="W1578" s="35"/>
      <x:c r="X1578" s="35"/>
      <x:c r="Y1578" s="35"/>
      <x:c r="Z1578" s="35"/>
      <x:c r="AA1578" s="35"/>
    </x:row>
    <x:row r="1579">
      <x:c r="A1579" s="136" t="str">
        <x:v>HarpersFerry | Contention | Valley</x:v>
      </x:c>
      <x:c r="B1579" s="136" t="str">
        <x:v>Spawn | CSA CQ4_Spawnpoint_CSA_Infantry_1 [map-74/002]</x:v>
      </x:c>
      <x:c r="C1579" s="136" t="str">
        <x:v>spawn</x:v>
      </x:c>
      <x:c r="D1579" s="136" t="str">
        <x:v>CSA</x:v>
      </x:c>
      <x:c r="E1579" s="136" t="str">
        <x:v>CQ4_Spawnpoint_CSA_Infantry_1</x:v>
      </x:c>
      <x:c r="F1579" s="137" t="n">
        <x:v>775.2705688476562</x:v>
      </x:c>
      <x:c r="G1579" s="137" t="n">
        <x:v>1933.640380859375</x:v>
      </x:c>
      <x:c r="H1579" s="137" t="n">
        <x:v>163.32101440429688</x:v>
      </x:c>
      <x:c r="I1579" s="137" t="n">
        <x:v>1149.4233059569206</x:v>
      </x:c>
      <x:c r="J1579" s="137" t="n">
        <x:v>1343.8279440430795</x:v>
      </x:c>
      <x:c r="K1579" s="136" t="str">
        <x:v>map-74</x:v>
      </x:c>
      <x:c r="L1579" s="136" t="str">
        <x:v>HarpersFerry | Contention | Valley||Spawn | CSA CQ4_Spawnpoint_CSA_Infantry_1 [map-74/002]</x:v>
      </x:c>
      <x:c r="M1579" s="35"/>
      <x:c r="N1579" s="35"/>
      <x:c r="O1579" s="35"/>
      <x:c r="P1579" s="35"/>
      <x:c r="Q1579" s="35"/>
      <x:c r="R1579" s="35"/>
      <x:c r="S1579" s="35"/>
      <x:c r="T1579" s="35"/>
      <x:c r="U1579" s="35"/>
      <x:c r="V1579" s="35"/>
      <x:c r="W1579" s="35"/>
      <x:c r="X1579" s="35"/>
      <x:c r="Y1579" s="35"/>
      <x:c r="Z1579" s="35"/>
      <x:c r="AA1579" s="35"/>
    </x:row>
    <x:row r="1580">
      <x:c r="A1580" s="136" t="str">
        <x:v>HarpersFerry | Contention | Valley</x:v>
      </x:c>
      <x:c r="B1580" s="136" t="str">
        <x:v>Objective | Victory_Conquest_4 [map-74/003]</x:v>
      </x:c>
      <x:c r="C1580" s="136" t="str">
        <x:v>objective</x:v>
      </x:c>
      <x:c r="D1580" s="136" t="str"/>
      <x:c r="E1580" s="136" t="str">
        <x:v>Victory_Conquest_4</x:v>
      </x:c>
      <x:c r="F1580" s="137" t="n">
        <x:v>390.0260009765625</x:v>
      </x:c>
      <x:c r="G1580" s="137" t="n">
        <x:v>2019.6412353515625</x:v>
      </x:c>
      <x:c r="H1580" s="137" t="n">
        <x:v>110.95001220703125</x:v>
      </x:c>
      <x:c r="I1580" s="137" t="n">
        <x:v>542.6192395358584</x:v>
      </x:c>
      <x:c r="J1580" s="137" t="n">
        <x:v>1208.2392220026031</x:v>
      </x:c>
      <x:c r="K1580" s="136" t="str">
        <x:v>map-74</x:v>
      </x:c>
      <x:c r="L1580" s="136" t="str">
        <x:v>HarpersFerry | Contention | Valley||Objective | Victory_Conquest_4 [map-74/003]</x:v>
      </x:c>
      <x:c r="M1580" s="35"/>
      <x:c r="N1580" s="35"/>
      <x:c r="O1580" s="35"/>
      <x:c r="P1580" s="35"/>
      <x:c r="Q1580" s="35"/>
      <x:c r="R1580" s="35"/>
      <x:c r="S1580" s="35"/>
      <x:c r="T1580" s="35"/>
      <x:c r="U1580" s="35"/>
      <x:c r="V1580" s="35"/>
      <x:c r="W1580" s="35"/>
      <x:c r="X1580" s="35"/>
      <x:c r="Y1580" s="35"/>
      <x:c r="Z1580" s="35"/>
      <x:c r="AA1580" s="35"/>
    </x:row>
    <x:row r="1581">
      <x:c r="A1581" s="136" t="str">
        <x:v>HarpersFerry | Contention | Valley</x:v>
      </x:c>
      <x:c r="B1581" s="136" t="str">
        <x:v>Spawn | USA CQ4_Spawnpoint_USA_Infantry_0 [map-74/004]</x:v>
      </x:c>
      <x:c r="C1581" s="136" t="str">
        <x:v>spawn</x:v>
      </x:c>
      <x:c r="D1581" s="136" t="str">
        <x:v>USA</x:v>
      </x:c>
      <x:c r="E1581" s="136" t="str">
        <x:v>CQ4_Spawnpoint_USA_Infantry_0</x:v>
      </x:c>
      <x:c r="F1581" s="137" t="n">
        <x:v>218.8082733154297</x:v>
      </x:c>
      <x:c r="G1581" s="137" t="n">
        <x:v>2280.332275390625</x:v>
      </x:c>
      <x:c r="H1581" s="137" t="n">
        <x:v>117.61514282226562</x:v>
      </x:c>
      <x:c r="I1581" s="137" t="n">
        <x:v>273.20162288262526</x:v>
      </x:c>
      <x:c r="J1581" s="137" t="n">
        <x:v>797.234410771221</x:v>
      </x:c>
      <x:c r="K1581" s="136" t="str">
        <x:v>map-74</x:v>
      </x:c>
      <x:c r="L1581" s="136" t="str">
        <x:v>HarpersFerry | Contention | Valley||Spawn | USA CQ4_Spawnpoint_USA_Infantry_0 [map-74/004]</x:v>
      </x:c>
      <x:c r="M1581" s="35"/>
      <x:c r="N1581" s="35"/>
      <x:c r="O1581" s="35"/>
      <x:c r="P1581" s="35"/>
      <x:c r="Q1581" s="35"/>
      <x:c r="R1581" s="35"/>
      <x:c r="S1581" s="35"/>
      <x:c r="T1581" s="35"/>
      <x:c r="U1581" s="35"/>
      <x:c r="V1581" s="35"/>
      <x:c r="W1581" s="35"/>
      <x:c r="X1581" s="35"/>
      <x:c r="Y1581" s="35"/>
      <x:c r="Z1581" s="35"/>
      <x:c r="AA1581" s="35"/>
    </x:row>
    <x:row r="1582">
      <x:c r="A1582" s="136" t="str">
        <x:v>HarpersFerry | Contention | Valley</x:v>
      </x:c>
      <x:c r="B1582" s="136" t="str">
        <x:v>Spawn | USA CQ4_Spawnpoint_USA_Cavalry_0 [map-74/005]</x:v>
      </x:c>
      <x:c r="C1582" s="136" t="str">
        <x:v>spawn</x:v>
      </x:c>
      <x:c r="D1582" s="136" t="str">
        <x:v>USA</x:v>
      </x:c>
      <x:c r="E1582" s="136" t="str">
        <x:v>CQ4_Spawnpoint_USA_Cavalry_0</x:v>
      </x:c>
      <x:c r="F1582" s="137" t="n">
        <x:v>232.31495666503906</x:v>
      </x:c>
      <x:c r="G1582" s="137" t="n">
        <x:v>2450.26171875</x:v>
      </x:c>
      <x:c r="H1582" s="137" t="n">
        <x:v>111.45860290527344</x:v>
      </x:c>
      <x:c r="I1582" s="137" t="n">
        <x:v>294.6859287890496</x:v>
      </x:c>
      <x:c r="J1582" s="137" t="n">
        <x:v>529.3240952494119</x:v>
      </x:c>
      <x:c r="K1582" s="136" t="str">
        <x:v>map-74</x:v>
      </x:c>
      <x:c r="L1582" s="136" t="str">
        <x:v>HarpersFerry | Contention | Valley||Spawn | USA CQ4_Spawnpoint_USA_Cavalry_0 [map-74/005]</x:v>
      </x:c>
      <x:c r="M1582" s="35"/>
      <x:c r="N1582" s="35"/>
      <x:c r="O1582" s="35"/>
      <x:c r="P1582" s="35"/>
      <x:c r="Q1582" s="35"/>
      <x:c r="R1582" s="35"/>
      <x:c r="S1582" s="35"/>
      <x:c r="T1582" s="35"/>
      <x:c r="U1582" s="35"/>
      <x:c r="V1582" s="35"/>
      <x:c r="W1582" s="35"/>
      <x:c r="X1582" s="35"/>
      <x:c r="Y1582" s="35"/>
      <x:c r="Z1582" s="35"/>
      <x:c r="AA1582" s="35"/>
    </x:row>
    <x:row r="1583">
      <x:c r="A1583" s="136" t="str">
        <x:v>HarpersFerry | Contention | Valley</x:v>
      </x:c>
      <x:c r="B1583" s="136" t="str">
        <x:v>Spawn | USA CQ4_Spawnpoint_USA_Infantry_1 [map-74/006]</x:v>
      </x:c>
      <x:c r="C1583" s="136" t="str">
        <x:v>spawn</x:v>
      </x:c>
      <x:c r="D1583" s="136" t="str">
        <x:v>USA</x:v>
      </x:c>
      <x:c r="E1583" s="136" t="str">
        <x:v>CQ4_Spawnpoint_USA_Infantry_1</x:v>
      </x:c>
      <x:c r="F1583" s="137" t="n">
        <x:v>230.92015075683594</x:v>
      </x:c>
      <x:c r="G1583" s="137" t="n">
        <x:v>2302.9765625</x:v>
      </x:c>
      <x:c r="H1583" s="137" t="n">
        <x:v>116.61448669433594</x:v>
      </x:c>
      <x:c r="I1583" s="137" t="n">
        <x:v>292.30995050223646</x:v>
      </x:c>
      <x:c r="J1583" s="137" t="n">
        <x:v>761.5334869977636</x:v>
      </x:c>
      <x:c r="K1583" s="136" t="str">
        <x:v>map-74</x:v>
      </x:c>
      <x:c r="L1583" s="136" t="str">
        <x:v>HarpersFerry | Contention | Valley||Spawn | USA CQ4_Spawnpoint_USA_Infantry_1 [map-74/006]</x:v>
      </x:c>
      <x:c r="M1583" s="35"/>
      <x:c r="N1583" s="35"/>
      <x:c r="O1583" s="35"/>
      <x:c r="P1583" s="35"/>
      <x:c r="Q1583" s="35"/>
      <x:c r="R1583" s="35"/>
      <x:c r="S1583" s="35"/>
      <x:c r="T1583" s="35"/>
      <x:c r="U1583" s="35"/>
      <x:c r="V1583" s="35"/>
      <x:c r="W1583" s="35"/>
      <x:c r="X1583" s="35"/>
      <x:c r="Y1583" s="35"/>
      <x:c r="Z1583" s="35"/>
      <x:c r="AA1583" s="35"/>
    </x:row>
    <x:row r="1584">
      <x:c r="A1584" s="136" t="str">
        <x:v>HarpersFerry | Contention | Valley</x:v>
      </x:c>
      <x:c r="B1584" s="136" t="str">
        <x:v>Spawn | CSA CQ4_Spawnpoint_CSA_Cavalry_0 [map-74/007]</x:v>
      </x:c>
      <x:c r="C1584" s="136" t="str">
        <x:v>spawn</x:v>
      </x:c>
      <x:c r="D1584" s="136" t="str">
        <x:v>CSA</x:v>
      </x:c>
      <x:c r="E1584" s="136" t="str">
        <x:v>CQ4_Spawnpoint_CSA_Cavalry_0</x:v>
      </x:c>
      <x:c r="F1584" s="137" t="n">
        <x:v>883.5482788085938</x:v>
      </x:c>
      <x:c r="G1584" s="137" t="n">
        <x:v>1898.429443359375</x:v>
      </x:c>
      <x:c r="H1584" s="137" t="n">
        <x:v>150.66493225097656</x:v>
      </x:c>
      <x:c r="I1584" s="137" t="n">
        <x:v>1319.9596417696462</x:v>
      </x:c>
      <x:c r="J1584" s="137" t="n">
        <x:v>1399.3414159226616</x:v>
      </x:c>
      <x:c r="K1584" s="136" t="str">
        <x:v>map-74</x:v>
      </x:c>
      <x:c r="L1584" s="136" t="str">
        <x:v>HarpersFerry | Contention | Valley||Spawn | CSA CQ4_Spawnpoint_CSA_Cavalry_0 [map-74/007]</x:v>
      </x:c>
      <x:c r="M1584" s="35"/>
      <x:c r="N1584" s="35"/>
      <x:c r="O1584" s="35"/>
      <x:c r="P1584" s="35"/>
      <x:c r="Q1584" s="35"/>
      <x:c r="R1584" s="35"/>
      <x:c r="S1584" s="35"/>
      <x:c r="T1584" s="35"/>
      <x:c r="U1584" s="35"/>
      <x:c r="V1584" s="35"/>
      <x:c r="W1584" s="35"/>
      <x:c r="X1584" s="35"/>
      <x:c r="Y1584" s="35"/>
      <x:c r="Z1584" s="35"/>
      <x:c r="AA1584" s="35"/>
    </x:row>
    <x:row r="1585">
      <x:c r="A1585" s="136" t="str">
        <x:v>HarpersFerry | Contention | Valley</x:v>
      </x:c>
      <x:c r="B1585" s="136" t="str">
        <x:v>Artillery | CSA CQ4_Spawnpoint_CSA_Artillery_Staging [map-74/008]</x:v>
      </x:c>
      <x:c r="C1585" s="136" t="str">
        <x:v>battery</x:v>
      </x:c>
      <x:c r="D1585" s="136" t="str">
        <x:v>CSA</x:v>
      </x:c>
      <x:c r="E1585" s="136" t="str">
        <x:v>CQ4_Spawnpoint_CSA_Artillery_Staging</x:v>
      </x:c>
      <x:c r="F1585" s="137" t="n">
        <x:v>791.6436157226562</x:v>
      </x:c>
      <x:c r="G1585" s="137" t="n">
        <x:v>1944.9456787109375</x:v>
      </x:c>
      <x:c r="H1585" s="137" t="n">
        <x:v>162.63348388671875</x:v>
      </x:c>
      <x:c r="I1585" s="137" t="n">
        <x:v>1175.2308627983589</x:v>
      </x:c>
      <x:c r="J1585" s="137" t="n">
        <x:v>1326.0040410477952</x:v>
      </x:c>
      <x:c r="K1585" s="136" t="str">
        <x:v>map-74</x:v>
      </x:c>
      <x:c r="L1585" s="136" t="str">
        <x:v>HarpersFerry | Contention | Valley||Artillery | CSA CQ4_Spawnpoint_CSA_Artillery_Staging [map-74/008]</x:v>
      </x:c>
      <x:c r="M1585" s="35"/>
      <x:c r="N1585" s="35"/>
      <x:c r="O1585" s="35"/>
      <x:c r="P1585" s="35"/>
      <x:c r="Q1585" s="35"/>
      <x:c r="R1585" s="35"/>
      <x:c r="S1585" s="35"/>
      <x:c r="T1585" s="35"/>
      <x:c r="U1585" s="35"/>
      <x:c r="V1585" s="35"/>
      <x:c r="W1585" s="35"/>
      <x:c r="X1585" s="35"/>
      <x:c r="Y1585" s="35"/>
      <x:c r="Z1585" s="35"/>
      <x:c r="AA1585" s="35"/>
    </x:row>
    <x:row r="1586">
      <x:c r="A1586" s="136" t="str">
        <x:v>HarpersFerry | Contention | Valley</x:v>
      </x:c>
      <x:c r="B1586" s="136" t="str">
        <x:v>Artillery | USA CQ4_Spawnpoint_USA_Artillery_Staging [map-74/009]</x:v>
      </x:c>
      <x:c r="C1586" s="136" t="str">
        <x:v>battery</x:v>
      </x:c>
      <x:c r="D1586" s="136" t="str">
        <x:v>USA</x:v>
      </x:c>
      <x:c r="E1586" s="136" t="str">
        <x:v>CQ4_Spawnpoint_USA_Artillery_Staging</x:v>
      </x:c>
      <x:c r="F1586" s="137" t="n">
        <x:v>208.84219360351562</x:v>
      </x:c>
      <x:c r="G1586" s="137" t="n">
        <x:v>2245.842041015625</x:v>
      </x:c>
      <x:c r="H1586" s="137" t="n">
        <x:v>118.75179290771484</x:v>
      </x:c>
      <x:c r="I1586" s="137" t="n">
        <x:v>257.45938562464187</x:v>
      </x:c>
      <x:c r="J1586" s="137" t="n">
        <x:v>851.6116239907428</x:v>
      </x:c>
      <x:c r="K1586" s="136" t="str">
        <x:v>map-74</x:v>
      </x:c>
      <x:c r="L1586" s="136" t="str">
        <x:v>HarpersFerry | Contention | Valley||Artillery | USA CQ4_Spawnpoint_USA_Artillery_Staging [map-74/009]</x:v>
      </x:c>
      <x:c r="M1586" s="35"/>
      <x:c r="N1586" s="35"/>
      <x:c r="O1586" s="35"/>
      <x:c r="P1586" s="35"/>
      <x:c r="Q1586" s="35"/>
      <x:c r="R1586" s="35"/>
      <x:c r="S1586" s="35"/>
      <x:c r="T1586" s="35"/>
      <x:c r="U1586" s="35"/>
      <x:c r="V1586" s="35"/>
      <x:c r="W1586" s="35"/>
      <x:c r="X1586" s="35"/>
      <x:c r="Y1586" s="35"/>
      <x:c r="Z1586" s="35"/>
      <x:c r="AA1586" s="35"/>
    </x:row>
    <x:row r="1587">
      <x:c r="A1587" s="136" t="str">
        <x:v>HarpersFerry | Contention | Valley</x:v>
      </x:c>
      <x:c r="B1587" s="136" t="str">
        <x:v>Spawn | CSA CQ4_Spawnpoint_CSA_Infantry_2 [map-74/010]</x:v>
      </x:c>
      <x:c r="C1587" s="136" t="str">
        <x:v>spawn</x:v>
      </x:c>
      <x:c r="D1587" s="136" t="str">
        <x:v>CSA</x:v>
      </x:c>
      <x:c r="E1587" s="136" t="str">
        <x:v>CQ4_Spawnpoint_CSA_Infantry_2</x:v>
      </x:c>
      <x:c r="F1587" s="137" t="n">
        <x:v>782.4935913085938</x:v>
      </x:c>
      <x:c r="G1587" s="137" t="n">
        <x:v>1916.74365234375</x:v>
      </x:c>
      <x:c r="H1587" s="137" t="n">
        <x:v>162.018310546875</x:v>
      </x:c>
      <x:c r="I1587" s="137" t="n">
        <x:v>1160.781852630534</x:v>
      </x:c>
      <x:c r="J1587" s="137" t="n">
        <x:v>1370.4672819848506</x:v>
      </x:c>
      <x:c r="K1587" s="136" t="str">
        <x:v>map-74</x:v>
      </x:c>
      <x:c r="L1587" s="136" t="str">
        <x:v>HarpersFerry | Contention | Valley||Spawn | CSA CQ4_Spawnpoint_CSA_Infantry_2 [map-74/010]</x:v>
      </x:c>
      <x:c r="M1587" s="35"/>
      <x:c r="N1587" s="35"/>
      <x:c r="O1587" s="35"/>
      <x:c r="P1587" s="35"/>
      <x:c r="Q1587" s="35"/>
      <x:c r="R1587" s="35"/>
      <x:c r="S1587" s="35"/>
      <x:c r="T1587" s="35"/>
      <x:c r="U1587" s="35"/>
      <x:c r="V1587" s="35"/>
      <x:c r="W1587" s="35"/>
      <x:c r="X1587" s="35"/>
      <x:c r="Y1587" s="35"/>
      <x:c r="Z1587" s="35"/>
      <x:c r="AA1587" s="35"/>
    </x:row>
    <x:row r="1588">
      <x:c r="A1588" s="136" t="str">
        <x:v>HarpersFerry | Contention | Valley</x:v>
      </x:c>
      <x:c r="B1588" s="136" t="str">
        <x:v>Artillery | USA CQ4_Spawnpoint_USA_Artillery_Forward [map-74/011]</x:v>
      </x:c>
      <x:c r="C1588" s="136" t="str">
        <x:v>battery</x:v>
      </x:c>
      <x:c r="D1588" s="136" t="str">
        <x:v>USA</x:v>
      </x:c>
      <x:c r="E1588" s="136" t="str">
        <x:v>CQ4_Spawnpoint_USA_Artillery_Forward</x:v>
      </x:c>
      <x:c r="F1588" s="137" t="n">
        <x:v>176.84573364257812</x:v>
      </x:c>
      <x:c r="G1588" s="137" t="n">
        <x:v>1940.4102783203125</x:v>
      </x:c>
      <x:c r="H1588" s="137" t="n">
        <x:v>127.73564910888672</x:v>
      </x:c>
      <x:c r="I1588" s="137" t="n">
        <x:v>206.6822374162656</x:v>
      </x:c>
      <x:c r="J1588" s="137" t="n">
        <x:v>1333.1545414298882</x:v>
      </x:c>
      <x:c r="K1588" s="136" t="str">
        <x:v>map-74</x:v>
      </x:c>
      <x:c r="L1588" s="136" t="str">
        <x:v>HarpersFerry | Contention | Valley||Artillery | USA CQ4_Spawnpoint_USA_Artillery_Forward [map-74/011]</x:v>
      </x:c>
      <x:c r="M1588" s="35"/>
      <x:c r="N1588" s="35"/>
      <x:c r="O1588" s="35"/>
      <x:c r="P1588" s="35"/>
      <x:c r="Q1588" s="35"/>
      <x:c r="R1588" s="35"/>
      <x:c r="S1588" s="35"/>
      <x:c r="T1588" s="35"/>
      <x:c r="U1588" s="35"/>
      <x:c r="V1588" s="35"/>
      <x:c r="W1588" s="35"/>
      <x:c r="X1588" s="35"/>
      <x:c r="Y1588" s="35"/>
      <x:c r="Z1588" s="35"/>
      <x:c r="AA1588" s="35"/>
    </x:row>
    <x:row r="1589">
      <x:c r="A1589" s="136" t="str">
        <x:v>HarpersFerry | Contention | Valley</x:v>
      </x:c>
      <x:c r="B1589" s="136" t="str">
        <x:v>Spawn | CSA CQ4_Spawnpoint_CSA_Infantry_0 [map-74/012]</x:v>
      </x:c>
      <x:c r="C1589" s="136" t="str">
        <x:v>spawn</x:v>
      </x:c>
      <x:c r="D1589" s="136" t="str">
        <x:v>CSA</x:v>
      </x:c>
      <x:c r="E1589" s="136" t="str">
        <x:v>CQ4_Spawnpoint_CSA_Infantry_0</x:v>
      </x:c>
      <x:c r="F1589" s="137" t="n">
        <x:v>788.1815795898438</x:v>
      </x:c>
      <x:c r="G1589" s="137" t="n">
        <x:v>1968.2213134765625</x:v>
      </x:c>
      <x:c r="H1589" s="137" t="n">
        <x:v>163.31802368164062</x:v>
      </x:c>
      <x:c r="I1589" s="137" t="n">
        <x:v>1169.805052249164</x:v>
      </x:c>
      <x:c r="J1589" s="137" t="n">
        <x:v>1289.3077362123745</x:v>
      </x:c>
      <x:c r="K1589" s="136" t="str">
        <x:v>map-74</x:v>
      </x:c>
      <x:c r="L1589" s="136" t="str">
        <x:v>HarpersFerry | Contention | Valley||Spawn | CSA CQ4_Spawnpoint_CSA_Infantry_0 [map-74/012]</x:v>
      </x:c>
      <x:c r="M1589" s="35"/>
      <x:c r="N1589" s="35"/>
      <x:c r="O1589" s="35"/>
      <x:c r="P1589" s="35"/>
      <x:c r="Q1589" s="35"/>
      <x:c r="R1589" s="35"/>
      <x:c r="S1589" s="35"/>
      <x:c r="T1589" s="35"/>
      <x:c r="U1589" s="35"/>
      <x:c r="V1589" s="35"/>
      <x:c r="W1589" s="35"/>
      <x:c r="X1589" s="35"/>
      <x:c r="Y1589" s="35"/>
      <x:c r="Z1589" s="35"/>
      <x:c r="AA1589" s="35"/>
    </x:row>
    <x:row r="1590">
      <x:c r="A1590" s="136" t="str">
        <x:v>HarpersFerry | Contention | Valley</x:v>
      </x:c>
      <x:c r="B1590" s="136" t="str">
        <x:v>Artillery | CSA CQ4_Spawnpoint_CSA_Artillery_Forward [map-74/013]</x:v>
      </x:c>
      <x:c r="C1590" s="136" t="str">
        <x:v>battery</x:v>
      </x:c>
      <x:c r="D1590" s="136" t="str">
        <x:v>CSA</x:v>
      </x:c>
      <x:c r="E1590" s="136" t="str">
        <x:v>CQ4_Spawnpoint_CSA_Artillery_Forward</x:v>
      </x:c>
      <x:c r="F1590" s="137" t="n">
        <x:v>728.5020751953125</x:v>
      </x:c>
      <x:c r="G1590" s="137" t="n">
        <x:v>2130.97802734375</x:v>
      </x:c>
      <x:c r="H1590" s="137" t="n">
        <x:v>133.25546264648438</x:v>
      </x:c>
      <x:c r="I1590" s="137" t="n">
        <x:v>1075.984265078089</x:v>
      </x:c>
      <x:c r="J1590" s="137" t="n">
        <x:v>1032.7059272296033</x:v>
      </x:c>
      <x:c r="K1590" s="136" t="str">
        <x:v>map-74</x:v>
      </x:c>
      <x:c r="L1590" s="136" t="str">
        <x:v>HarpersFerry | Contention | Valley||Artillery | CSA CQ4_Spawnpoint_CSA_Artillery_Forward [map-74/013]</x:v>
      </x:c>
      <x:c r="M1590" s="35"/>
      <x:c r="N1590" s="35"/>
      <x:c r="O1590" s="35"/>
      <x:c r="P1590" s="35"/>
      <x:c r="Q1590" s="35"/>
      <x:c r="R1590" s="35"/>
      <x:c r="S1590" s="35"/>
      <x:c r="T1590" s="35"/>
      <x:c r="U1590" s="35"/>
      <x:c r="V1590" s="35"/>
      <x:c r="W1590" s="35"/>
      <x:c r="X1590" s="35"/>
      <x:c r="Y1590" s="35"/>
      <x:c r="Z1590" s="35"/>
      <x:c r="AA1590" s="35"/>
    </x:row>
    <x:row r="1591">
      <x:c r="A1591" s="136" t="str">
        <x:v>HarpersFerry | Contention | Valley</x:v>
      </x:c>
      <x:c r="B1591" s="136" t="str">
        <x:v>Gun | 3-inch Ordnance · Entity-1031 [map-74/014]</x:v>
      </x:c>
      <x:c r="C1591" s="136" t="str">
        <x:v>gun_spawn</x:v>
      </x:c>
      <x:c r="D1591" s="136" t="str"/>
      <x:c r="E1591" s="136" t="str">
        <x:v>3-inch Ordnance · Entity-1031</x:v>
      </x:c>
      <x:c r="F1591" s="137" t="n">
        <x:v>684.76708984375</x:v>
      </x:c>
      <x:c r="G1591" s="137" t="n">
        <x:v>2123.677490234375</x:v>
      </x:c>
      <x:c r="H1591" s="137" t="n">
        <x:v>127.42688751220703</x:v>
      </x:c>
      <x:c r="I1591" s="137" t="n">
        <x:v>1007.0759881536272</x:v>
      </x:c>
      <x:c r="J1591" s="137" t="n">
        <x:v>1044.215934923296</x:v>
      </x:c>
      <x:c r="K1591" s="136" t="str">
        <x:v>map-74</x:v>
      </x:c>
      <x:c r="L1591" s="136" t="str">
        <x:v>HarpersFerry | Contention | Valley||Gun | 3-inch Ordnance · Entity-1031 [map-74/014]</x:v>
      </x:c>
      <x:c r="M1591" s="35"/>
      <x:c r="N1591" s="35"/>
      <x:c r="O1591" s="35"/>
      <x:c r="P1591" s="35"/>
      <x:c r="Q1591" s="35"/>
      <x:c r="R1591" s="35"/>
      <x:c r="S1591" s="35"/>
      <x:c r="T1591" s="35"/>
      <x:c r="U1591" s="35"/>
      <x:c r="V1591" s="35"/>
      <x:c r="W1591" s="35"/>
      <x:c r="X1591" s="35"/>
      <x:c r="Y1591" s="35"/>
      <x:c r="Z1591" s="35"/>
      <x:c r="AA1591" s="35"/>
    </x:row>
    <x:row r="1592">
      <x:c r="A1592" s="136" t="str">
        <x:v>HarpersFerry | Contention | Valley</x:v>
      </x:c>
      <x:c r="B1592" s="136" t="str">
        <x:v>Gun | 3-inch Ordnance · Entity-1679 [map-74/015]</x:v>
      </x:c>
      <x:c r="C1592" s="136" t="str">
        <x:v>gun_spawn</x:v>
      </x:c>
      <x:c r="D1592" s="136" t="str"/>
      <x:c r="E1592" s="136" t="str">
        <x:v>3-inch Ordnance · Entity-1679</x:v>
      </x:c>
      <x:c r="F1592" s="137" t="n">
        <x:v>193.097412109375</x:v>
      </x:c>
      <x:c r="G1592" s="137" t="n">
        <x:v>1961.4383544921875</x:v>
      </x:c>
      <x:c r="H1592" s="137" t="n">
        <x:v>125.61221313476562</x:v>
      </x:c>
      <x:c r="I1592" s="137" t="n">
        <x:v>232.3103837953936</x:v>
      </x:c>
      <x:c r="J1592" s="137" t="n">
        <x:v>1300.001731589222</x:v>
      </x:c>
      <x:c r="K1592" s="136" t="str">
        <x:v>map-74</x:v>
      </x:c>
      <x:c r="L1592" s="136" t="str">
        <x:v>HarpersFerry | Contention | Valley||Gun | 3-inch Ordnance · Entity-1679 [map-74/015]</x:v>
      </x:c>
      <x:c r="M1592" s="35"/>
      <x:c r="N1592" s="35"/>
      <x:c r="O1592" s="35"/>
      <x:c r="P1592" s="35"/>
      <x:c r="Q1592" s="35"/>
      <x:c r="R1592" s="35"/>
      <x:c r="S1592" s="35"/>
      <x:c r="T1592" s="35"/>
      <x:c r="U1592" s="35"/>
      <x:c r="V1592" s="35"/>
      <x:c r="W1592" s="35"/>
      <x:c r="X1592" s="35"/>
      <x:c r="Y1592" s="35"/>
      <x:c r="Z1592" s="35"/>
      <x:c r="AA1592" s="35"/>
    </x:row>
    <x:row r="1593">
      <x:c r="A1593" s="136" t="str">
        <x:v>HarpersFerry | Contention | Valley</x:v>
      </x:c>
      <x:c r="B1593" s="136" t="str">
        <x:v>Gun | 3-inch Ordnance · Entity-1678 [map-74/016]</x:v>
      </x:c>
      <x:c r="C1593" s="136" t="str">
        <x:v>gun_spawn</x:v>
      </x:c>
      <x:c r="D1593" s="136" t="str"/>
      <x:c r="E1593" s="136" t="str">
        <x:v>3-inch Ordnance · Entity-1678</x:v>
      </x:c>
      <x:c r="F1593" s="137" t="n">
        <x:v>191.3513641357422</x:v>
      </x:c>
      <x:c r="G1593" s="137" t="n">
        <x:v>1968.5977783203125</x:v>
      </x:c>
      <x:c r="H1593" s="137" t="n">
        <x:v>124.75962829589844</x:v>
      </x:c>
      <x:c r="I1593" s="137" t="n">
        <x:v>229.56836939007417</x:v>
      </x:c>
      <x:c r="J1593" s="137" t="n">
        <x:v>1288.7142027253105</x:v>
      </x:c>
      <x:c r="K1593" s="136" t="str">
        <x:v>map-74</x:v>
      </x:c>
      <x:c r="L1593" s="136" t="str">
        <x:v>HarpersFerry | Contention | Valley||Gun | 3-inch Ordnance · Entity-1678 [map-74/016]</x:v>
      </x:c>
      <x:c r="M1593" s="35"/>
      <x:c r="N1593" s="35"/>
      <x:c r="O1593" s="35"/>
      <x:c r="P1593" s="35"/>
      <x:c r="Q1593" s="35"/>
      <x:c r="R1593" s="35"/>
      <x:c r="S1593" s="35"/>
      <x:c r="T1593" s="35"/>
      <x:c r="U1593" s="35"/>
      <x:c r="V1593" s="35"/>
      <x:c r="W1593" s="35"/>
      <x:c r="X1593" s="35"/>
      <x:c r="Y1593" s="35"/>
      <x:c r="Z1593" s="35"/>
      <x:c r="AA1593" s="35"/>
    </x:row>
    <x:row r="1594">
      <x:c r="A1594" s="136" t="str">
        <x:v>HarpersFerry | Contention | Valley</x:v>
      </x:c>
      <x:c r="B1594" s="136" t="str">
        <x:v>Gun | 12-pounder Napoleon (CSA) · Entity-1682 [map-74/017]</x:v>
      </x:c>
      <x:c r="C1594" s="136" t="str">
        <x:v>gun_spawn</x:v>
      </x:c>
      <x:c r="D1594" s="136" t="str"/>
      <x:c r="E1594" s="136" t="str">
        <x:v>12-pounder Napoleon (CSA) · Entity-1682</x:v>
      </x:c>
      <x:c r="F1594" s="137" t="n">
        <x:v>200.2221221923828</x:v>
      </x:c>
      <x:c r="G1594" s="137" t="n">
        <x:v>1939.651611328125</x:v>
      </x:c>
      <x:c r="H1594" s="137" t="n">
        <x:v>127.05806732177734</x:v>
      </x:c>
      <x:c r="I1594" s="137" t="n">
        <x:v>243.50812021489537</x:v>
      </x:c>
      <x:c r="J1594" s="137" t="n">
        <x:v>1334.3506538235663</x:v>
      </x:c>
      <x:c r="K1594" s="136" t="str">
        <x:v>map-74</x:v>
      </x:c>
      <x:c r="L1594" s="136" t="str">
        <x:v>HarpersFerry | Contention | Valley||Gun | 12-pounder Napoleon (CSA) · Entity-1682 [map-74/017]</x:v>
      </x:c>
      <x:c r="M1594" s="35"/>
      <x:c r="N1594" s="35"/>
      <x:c r="O1594" s="35"/>
      <x:c r="P1594" s="35"/>
      <x:c r="Q1594" s="35"/>
      <x:c r="R1594" s="35"/>
      <x:c r="S1594" s="35"/>
      <x:c r="T1594" s="35"/>
      <x:c r="U1594" s="35"/>
      <x:c r="V1594" s="35"/>
      <x:c r="W1594" s="35"/>
      <x:c r="X1594" s="35"/>
      <x:c r="Y1594" s="35"/>
      <x:c r="Z1594" s="35"/>
      <x:c r="AA1594" s="35"/>
    </x:row>
    <x:row r="1595">
      <x:c r="A1595" s="136" t="str">
        <x:v>HarpersFerry | Contention | Valley</x:v>
      </x:c>
      <x:c r="B1595" s="136" t="str">
        <x:v>Gun | 12-pounder Napoleon (CSA) · Entity-1683 [map-74/018]</x:v>
      </x:c>
      <x:c r="C1595" s="136" t="str">
        <x:v>gun_spawn</x:v>
      </x:c>
      <x:c r="D1595" s="136" t="str"/>
      <x:c r="E1595" s="136" t="str">
        <x:v>12-pounder Napoleon (CSA) · Entity-1683</x:v>
      </x:c>
      <x:c r="F1595" s="137" t="n">
        <x:v>203.1532440185547</x:v>
      </x:c>
      <x:c r="G1595" s="137" t="n">
        <x:v>1930.1702880859375</x:v>
      </x:c>
      <x:c r="H1595" s="137" t="n">
        <x:v>126.08130645751953</x:v>
      </x:c>
      <x:c r="I1595" s="137" t="n">
        <x:v>248.1142658135509</x:v>
      </x:c>
      <x:c r="J1595" s="137" t="n">
        <x:v>1349.2988832249107</x:v>
      </x:c>
      <x:c r="K1595" s="136" t="str">
        <x:v>map-74</x:v>
      </x:c>
      <x:c r="L1595" s="136" t="str">
        <x:v>HarpersFerry | Contention | Valley||Gun | 12-pounder Napoleon (CSA) · Entity-1683 [map-74/018]</x:v>
      </x:c>
      <x:c r="M1595" s="35"/>
      <x:c r="N1595" s="35"/>
      <x:c r="O1595" s="35"/>
      <x:c r="P1595" s="35"/>
      <x:c r="Q1595" s="35"/>
      <x:c r="R1595" s="35"/>
      <x:c r="S1595" s="35"/>
      <x:c r="T1595" s="35"/>
      <x:c r="U1595" s="35"/>
      <x:c r="V1595" s="35"/>
      <x:c r="W1595" s="35"/>
      <x:c r="X1595" s="35"/>
      <x:c r="Y1595" s="35"/>
      <x:c r="Z1595" s="35"/>
      <x:c r="AA1595" s="35"/>
    </x:row>
    <x:row r="1596">
      <x:c r="A1596" s="136" t="str">
        <x:v>HarpersFerry | Contention | Valley</x:v>
      </x:c>
      <x:c r="B1596" s="136" t="str">
        <x:v>Gun | 12-pounder Napoleon (USA) · Entity-1681 [map-74/019]</x:v>
      </x:c>
      <x:c r="C1596" s="136" t="str">
        <x:v>gun_spawn</x:v>
      </x:c>
      <x:c r="D1596" s="136" t="str"/>
      <x:c r="E1596" s="136" t="str">
        <x:v>12-pounder Napoleon (USA) · Entity-1681</x:v>
      </x:c>
      <x:c r="F1596" s="137" t="n">
        <x:v>197.7149200439453</x:v>
      </x:c>
      <x:c r="G1596" s="137" t="n">
        <x:v>1947.703857421875</x:v>
      </x:c>
      <x:c r="H1596" s="137" t="n">
        <x:v>127.06459045410156</x:v>
      </x:c>
      <x:c r="I1596" s="137" t="n">
        <x:v>239.56807801767275</x:v>
      </x:c>
      <x:c r="J1596" s="137" t="n">
        <x:v>1321.6555037130966</x:v>
      </x:c>
      <x:c r="K1596" s="136" t="str">
        <x:v>map-74</x:v>
      </x:c>
      <x:c r="L1596" s="136" t="str">
        <x:v>HarpersFerry | Contention | Valley||Gun | 12-pounder Napoleon (USA) · Entity-1681 [map-74/019]</x:v>
      </x:c>
      <x:c r="M1596" s="35"/>
      <x:c r="N1596" s="35"/>
      <x:c r="O1596" s="35"/>
      <x:c r="P1596" s="35"/>
      <x:c r="Q1596" s="35"/>
      <x:c r="R1596" s="35"/>
      <x:c r="S1596" s="35"/>
      <x:c r="T1596" s="35"/>
      <x:c r="U1596" s="35"/>
      <x:c r="V1596" s="35"/>
      <x:c r="W1596" s="35"/>
      <x:c r="X1596" s="35"/>
      <x:c r="Y1596" s="35"/>
      <x:c r="Z1596" s="35"/>
      <x:c r="AA1596" s="35"/>
    </x:row>
    <x:row r="1597">
      <x:c r="A1597" s="136" t="str">
        <x:v>HarpersFerry | Contention | Valley</x:v>
      </x:c>
      <x:c r="B1597" s="136" t="str">
        <x:v>Gun | 3-inch Ordnance · Entity-1032 [map-74/020]</x:v>
      </x:c>
      <x:c r="C1597" s="136" t="str">
        <x:v>gun_spawn</x:v>
      </x:c>
      <x:c r="D1597" s="136" t="str"/>
      <x:c r="E1597" s="136" t="str">
        <x:v>3-inch Ordnance · Entity-1032</x:v>
      </x:c>
      <x:c r="F1597" s="137" t="n">
        <x:v>689.2044067382812</x:v>
      </x:c>
      <x:c r="G1597" s="137" t="n">
        <x:v>2117.39794921875</x:v>
      </x:c>
      <x:c r="H1597" s="137" t="n">
        <x:v>128.62110900878906</x:v>
      </x:c>
      <x:c r="I1597" s="137" t="n">
        <x:v>1014.0588533052762</x:v>
      </x:c>
      <x:c r="J1597" s="137" t="n">
        <x:v>1054.11624284857</x:v>
      </x:c>
      <x:c r="K1597" s="136" t="str">
        <x:v>map-74</x:v>
      </x:c>
      <x:c r="L1597" s="136" t="str">
        <x:v>HarpersFerry | Contention | Valley||Gun | 3-inch Ordnance · Entity-1032 [map-74/020]</x:v>
      </x:c>
      <x:c r="M1597" s="35"/>
      <x:c r="N1597" s="35"/>
      <x:c r="O1597" s="35"/>
      <x:c r="P1597" s="35"/>
      <x:c r="Q1597" s="35"/>
      <x:c r="R1597" s="35"/>
      <x:c r="S1597" s="35"/>
      <x:c r="T1597" s="35"/>
      <x:c r="U1597" s="35"/>
      <x:c r="V1597" s="35"/>
      <x:c r="W1597" s="35"/>
      <x:c r="X1597" s="35"/>
      <x:c r="Y1597" s="35"/>
      <x:c r="Z1597" s="35"/>
      <x:c r="AA1597" s="35"/>
    </x:row>
    <x:row r="1598">
      <x:c r="A1598" s="136" t="str">
        <x:v>HarpersFerry | Contention | Valley</x:v>
      </x:c>
      <x:c r="B1598" s="136" t="str">
        <x:v>Gun | 3-inch Ordnance · Entity-1680 [map-74/021]</x:v>
      </x:c>
      <x:c r="C1598" s="136" t="str">
        <x:v>gun_spawn</x:v>
      </x:c>
      <x:c r="D1598" s="136" t="str"/>
      <x:c r="E1598" s="136" t="str">
        <x:v>3-inch Ordnance · Entity-1680</x:v>
      </x:c>
      <x:c r="F1598" s="137" t="n">
        <x:v>195.22763061523438</x:v>
      </x:c>
      <x:c r="G1598" s="137" t="n">
        <x:v>1954.05029296875</x:v>
      </x:c>
      <x:c r="H1598" s="137" t="n">
        <x:v>126.41114044189453</x:v>
      </x:c>
      <x:c r="I1598" s="137" t="n">
        <x:v>235.65733726270747</x:v>
      </x:c>
      <x:c r="J1598" s="137" t="n">
        <x:v>1311.6497300449848</x:v>
      </x:c>
      <x:c r="K1598" s="136" t="str">
        <x:v>map-74</x:v>
      </x:c>
      <x:c r="L1598" s="136" t="str">
        <x:v>HarpersFerry | Contention | Valley||Gun | 3-inch Ordnance · Entity-1680 [map-74/021]</x:v>
      </x:c>
      <x:c r="M1598" s="35"/>
      <x:c r="N1598" s="35"/>
      <x:c r="O1598" s="35"/>
      <x:c r="P1598" s="35"/>
      <x:c r="Q1598" s="35"/>
      <x:c r="R1598" s="35"/>
      <x:c r="S1598" s="35"/>
      <x:c r="T1598" s="35"/>
      <x:c r="U1598" s="35"/>
      <x:c r="V1598" s="35"/>
      <x:c r="W1598" s="35"/>
      <x:c r="X1598" s="35"/>
      <x:c r="Y1598" s="35"/>
      <x:c r="Z1598" s="35"/>
      <x:c r="AA1598" s="35"/>
    </x:row>
    <x:row r="1599">
      <x:c r="A1599" s="136" t="str">
        <x:v>HarpersFerry | Contention | Valley</x:v>
      </x:c>
      <x:c r="B1599" s="136" t="str">
        <x:v>Gun | 12-pounder Napoleon (USA) · Entity-1694 [map-74/022]</x:v>
      </x:c>
      <x:c r="C1599" s="136" t="str">
        <x:v>gun_spawn</x:v>
      </x:c>
      <x:c r="D1599" s="136" t="str"/>
      <x:c r="E1599" s="136" t="str">
        <x:v>12-pounder Napoleon (USA) · Entity-1694</x:v>
      </x:c>
      <x:c r="F1599" s="137" t="n">
        <x:v>702.320556640625</x:v>
      </x:c>
      <x:c r="G1599" s="137" t="n">
        <x:v>2097.5439453125</x:v>
      </x:c>
      <x:c r="H1599" s="137" t="n">
        <x:v>131.76622009277344</x:v>
      </x:c>
      <x:c r="I1599" s="137" t="n">
        <x:v>1034.6977558017732</x:v>
      </x:c>
      <x:c r="J1599" s="137" t="n">
        <x:v>1085.4180134289961</x:v>
      </x:c>
      <x:c r="K1599" s="136" t="str">
        <x:v>map-74</x:v>
      </x:c>
      <x:c r="L1599" s="136" t="str">
        <x:v>HarpersFerry | Contention | Valley||Gun | 12-pounder Napoleon (USA) · Entity-1694 [map-74/022]</x:v>
      </x:c>
      <x:c r="M1599" s="35"/>
      <x:c r="N1599" s="35"/>
      <x:c r="O1599" s="35"/>
      <x:c r="P1599" s="35"/>
      <x:c r="Q1599" s="35"/>
      <x:c r="R1599" s="35"/>
      <x:c r="S1599" s="35"/>
      <x:c r="T1599" s="35"/>
      <x:c r="U1599" s="35"/>
      <x:c r="V1599" s="35"/>
      <x:c r="W1599" s="35"/>
      <x:c r="X1599" s="35"/>
      <x:c r="Y1599" s="35"/>
      <x:c r="Z1599" s="35"/>
      <x:c r="AA1599" s="35"/>
    </x:row>
    <x:row r="1600">
      <x:c r="A1600" s="136" t="str">
        <x:v>HarpersFerry | Contention | Valley</x:v>
      </x:c>
      <x:c r="B1600" s="136" t="str">
        <x:v>Gun | 12-pounder Napoleon (USA) · Entity-1693 [map-74/023]</x:v>
      </x:c>
      <x:c r="C1600" s="136" t="str">
        <x:v>gun_spawn</x:v>
      </x:c>
      <x:c r="D1600" s="136" t="str"/>
      <x:c r="E1600" s="136" t="str">
        <x:v>12-pounder Napoleon (USA) · Entity-1693</x:v>
      </x:c>
      <x:c r="F1600" s="137" t="n">
        <x:v>707.626708984375</x:v>
      </x:c>
      <x:c r="G1600" s="137" t="n">
        <x:v>2089.652099609375</x:v>
      </x:c>
      <x:c r="H1600" s="137" t="n">
        <x:v>133.0569610595703</x:v>
      </x:c>
      <x:c r="I1600" s="137" t="n">
        <x:v>1043.0474156041546</x:v>
      </x:c>
      <x:c r="J1600" s="137" t="n">
        <x:v>1097.8602767035377</x:v>
      </x:c>
      <x:c r="K1600" s="136" t="str">
        <x:v>map-74</x:v>
      </x:c>
      <x:c r="L1600" s="136" t="str">
        <x:v>HarpersFerry | Contention | Valley||Gun | 12-pounder Napoleon (USA) · Entity-1693 [map-74/023]</x:v>
      </x:c>
      <x:c r="M1600" s="35"/>
      <x:c r="N1600" s="35"/>
      <x:c r="O1600" s="35"/>
      <x:c r="P1600" s="35"/>
      <x:c r="Q1600" s="35"/>
      <x:c r="R1600" s="35"/>
      <x:c r="S1600" s="35"/>
      <x:c r="T1600" s="35"/>
      <x:c r="U1600" s="35"/>
      <x:c r="V1600" s="35"/>
      <x:c r="W1600" s="35"/>
      <x:c r="X1600" s="35"/>
      <x:c r="Y1600" s="35"/>
      <x:c r="Z1600" s="35"/>
      <x:c r="AA1600" s="35"/>
    </x:row>
    <x:row r="1601">
      <x:c r="A1601" s="136" t="str">
        <x:v>HarpersFerry | Contention | Valley</x:v>
      </x:c>
      <x:c r="B1601" s="136" t="str">
        <x:v>Gun | 3-inch Ordnance · Entity-1033 [map-74/024]</x:v>
      </x:c>
      <x:c r="C1601" s="136" t="str">
        <x:v>gun_spawn</x:v>
      </x:c>
      <x:c r="D1601" s="136" t="str"/>
      <x:c r="E1601" s="136" t="str">
        <x:v>3-inch Ordnance · Entity-1033</x:v>
      </x:c>
      <x:c r="F1601" s="137" t="n">
        <x:v>693.2037963867188</x:v>
      </x:c>
      <x:c r="G1601" s="137" t="n">
        <x:v>2111.208251953125</x:v>
      </x:c>
      <x:c r="H1601" s="137" t="n">
        <x:v>129.63522338867188</x:v>
      </x:c>
      <x:c r="I1601" s="137" t="n">
        <x:v>1020.3519235702702</x:v>
      </x:c>
      <x:c r="J1601" s="137" t="n">
        <x:v>1063.8749033528068</x:v>
      </x:c>
      <x:c r="K1601" s="136" t="str">
        <x:v>map-74</x:v>
      </x:c>
      <x:c r="L1601" s="136" t="str">
        <x:v>HarpersFerry | Contention | Valley||Gun | 3-inch Ordnance · Entity-1033 [map-74/024]</x:v>
      </x:c>
      <x:c r="M1601" s="35"/>
      <x:c r="N1601" s="35"/>
      <x:c r="O1601" s="35"/>
      <x:c r="P1601" s="35"/>
      <x:c r="Q1601" s="35"/>
      <x:c r="R1601" s="35"/>
      <x:c r="S1601" s="35"/>
      <x:c r="T1601" s="35"/>
      <x:c r="U1601" s="35"/>
      <x:c r="V1601" s="35"/>
      <x:c r="W1601" s="35"/>
      <x:c r="X1601" s="35"/>
      <x:c r="Y1601" s="35"/>
      <x:c r="Z1601" s="35"/>
      <x:c r="AA1601" s="35"/>
    </x:row>
    <x:row r="1602">
      <x:c r="A1602" s="136" t="str">
        <x:v>HarpersFerry | Contention | Valley</x:v>
      </x:c>
      <x:c r="B1602" s="136" t="str">
        <x:v>Gun | 12-pounder Napoleon (USA) · Entity-1695 [map-74/025]</x:v>
      </x:c>
      <x:c r="C1602" s="136" t="str">
        <x:v>gun_spawn</x:v>
      </x:c>
      <x:c r="D1602" s="136" t="str"/>
      <x:c r="E1602" s="136" t="str">
        <x:v>12-pounder Napoleon (USA) · Entity-1695</x:v>
      </x:c>
      <x:c r="F1602" s="137" t="n">
        <x:v>697.1944580078125</x:v>
      </x:c>
      <x:c r="G1602" s="137" t="n">
        <x:v>2105.737060546875</x:v>
      </x:c>
      <x:c r="H1602" s="137" t="n">
        <x:v>130.48590087890625</x:v>
      </x:c>
      <x:c r="I1602" s="137" t="n">
        <x:v>1026.6321152151695</x:v>
      </x:c>
      <x:c r="J1602" s="137" t="n">
        <x:v>1072.5007694002152</x:v>
      </x:c>
      <x:c r="K1602" s="136" t="str">
        <x:v>map-74</x:v>
      </x:c>
      <x:c r="L1602" s="136" t="str">
        <x:v>HarpersFerry | Contention | Valley||Gun | 12-pounder Napoleon (USA) · Entity-1695 [map-74/025]</x:v>
      </x:c>
      <x:c r="M1602" s="35"/>
      <x:c r="N1602" s="35"/>
      <x:c r="O1602" s="35"/>
      <x:c r="P1602" s="35"/>
      <x:c r="Q1602" s="35"/>
      <x:c r="R1602" s="35"/>
      <x:c r="S1602" s="35"/>
      <x:c r="T1602" s="35"/>
      <x:c r="U1602" s="35"/>
      <x:c r="V1602" s="35"/>
      <x:c r="W1602" s="35"/>
      <x:c r="X1602" s="35"/>
      <x:c r="Y1602" s="35"/>
      <x:c r="Z1602" s="35"/>
      <x:c r="AA1602" s="35"/>
    </x:row>
    <x:row r="1603">
      <x:c r="A1603" s="136" t="str">
        <x:v>HarpersFerry | Onslaught | Harpers Ferry (Onslaught)</x:v>
      </x:c>
      <x:c r="B1603" s="136" t="str">
        <x:v>Objective | LTMOnslaught_2_CaptureArea [map-75/001]</x:v>
      </x:c>
      <x:c r="C1603" s="136" t="str">
        <x:v>objective</x:v>
      </x:c>
      <x:c r="D1603" s="136" t="str"/>
      <x:c r="E1603" s="136" t="str">
        <x:v>LTMOnslaught_2_CaptureArea</x:v>
      </x:c>
      <x:c r="F1603" s="137" t="n">
        <x:v>2331.9052734375</x:v>
      </x:c>
      <x:c r="G1603" s="137" t="n">
        <x:v>1932.5499267578125</x:v>
      </x:c>
      <x:c r="H1603" s="137" t="n">
        <x:v>135.0535888671875</x:v>
      </x:c>
      <x:c r="I1603" s="137" t="n">
        <x:v>1671.7126315789474</x:v>
      </x:c>
      <x:c r="J1603" s="137" t="n">
        <x:v>970.5903947368421</x:v>
      </x:c>
      <x:c r="K1603" s="136" t="str">
        <x:v>map-75</x:v>
      </x:c>
      <x:c r="L1603" s="136" t="str">
        <x:v>HarpersFerry | Onslaught | Harpers Ferry (Onslaught)||Objective | LTMOnslaught_2_CaptureArea [map-75/001]</x:v>
      </x:c>
      <x:c r="M1603" s="35"/>
      <x:c r="N1603" s="35"/>
      <x:c r="O1603" s="35"/>
      <x:c r="P1603" s="35"/>
      <x:c r="Q1603" s="35"/>
      <x:c r="R1603" s="35"/>
      <x:c r="S1603" s="35"/>
      <x:c r="T1603" s="35"/>
      <x:c r="U1603" s="35"/>
      <x:c r="V1603" s="35"/>
      <x:c r="W1603" s="35"/>
      <x:c r="X1603" s="35"/>
      <x:c r="Y1603" s="35"/>
      <x:c r="Z1603" s="35"/>
      <x:c r="AA1603" s="35"/>
    </x:row>
    <x:row r="1604">
      <x:c r="A1604" s="136" t="str">
        <x:v>HarpersFerry | Onslaught | Harpers Ferry (Onslaught)</x:v>
      </x:c>
      <x:c r="B1604" s="136" t="str">
        <x:v>Objective | LTMOnslaught_1_CaptureArea [map-75/002]</x:v>
      </x:c>
      <x:c r="C1604" s="136" t="str">
        <x:v>objective</x:v>
      </x:c>
      <x:c r="D1604" s="136" t="str"/>
      <x:c r="E1604" s="136" t="str">
        <x:v>LTMOnslaught_1_CaptureArea</x:v>
      </x:c>
      <x:c r="F1604" s="137" t="n">
        <x:v>2433.784423828125</x:v>
      </x:c>
      <x:c r="G1604" s="137" t="n">
        <x:v>1865.3076171875</x:v>
      </x:c>
      <x:c r="H1604" s="137" t="n">
        <x:v>115.18528747558594</x:v>
      </x:c>
      <x:c r="I1604" s="137" t="n">
        <x:v>1781.5276315789474</x:v>
      </x:c>
      <x:c r="J1604" s="137" t="n">
        <x:v>1043.0705263157895</x:v>
      </x:c>
      <x:c r="K1604" s="136" t="str">
        <x:v>map-75</x:v>
      </x:c>
      <x:c r="L1604" s="136" t="str">
        <x:v>HarpersFerry | Onslaught | Harpers Ferry (Onslaught)||Objective | LTMOnslaught_1_CaptureArea [map-75/002]</x:v>
      </x:c>
      <x:c r="M1604" s="35"/>
      <x:c r="N1604" s="35"/>
      <x:c r="O1604" s="35"/>
      <x:c r="P1604" s="35"/>
      <x:c r="Q1604" s="35"/>
      <x:c r="R1604" s="35"/>
      <x:c r="S1604" s="35"/>
      <x:c r="T1604" s="35"/>
      <x:c r="U1604" s="35"/>
      <x:c r="V1604" s="35"/>
      <x:c r="W1604" s="35"/>
      <x:c r="X1604" s="35"/>
      <x:c r="Y1604" s="35"/>
      <x:c r="Z1604" s="35"/>
      <x:c r="AA1604" s="35"/>
    </x:row>
    <x:row r="1605">
      <x:c r="A1605" s="136" t="str">
        <x:v>HarpersFerry | Onslaught | Harpers Ferry (Onslaught)</x:v>
      </x:c>
      <x:c r="B1605" s="136" t="str">
        <x:v>Objective | LTMOnslaught_6_CaptureArea [map-75/003]</x:v>
      </x:c>
      <x:c r="C1605" s="136" t="str">
        <x:v>objective</x:v>
      </x:c>
      <x:c r="D1605" s="136" t="str"/>
      <x:c r="E1605" s="136" t="str">
        <x:v>LTMOnslaught_6_CaptureArea</x:v>
      </x:c>
      <x:c r="F1605" s="137" t="n">
        <x:v>913.4713134765625</x:v>
      </x:c>
      <x:c r="G1605" s="137" t="n">
        <x:v>2072.7421875</x:v>
      </x:c>
      <x:c r="H1605" s="137" t="n">
        <x:v>153.20782470703125</x:v>
      </x:c>
      <x:c r="I1605" s="137" t="n">
        <x:v>142.79013157894738</x:v>
      </x:c>
      <x:c r="J1605" s="137" t="n">
        <x:v>819.4778947368421</x:v>
      </x:c>
      <x:c r="K1605" s="136" t="str">
        <x:v>map-75</x:v>
      </x:c>
      <x:c r="L1605" s="136" t="str">
        <x:v>HarpersFerry | Onslaught | Harpers Ferry (Onslaught)||Objective | LTMOnslaught_6_CaptureArea [map-75/003]</x:v>
      </x:c>
      <x:c r="M1605" s="35"/>
      <x:c r="N1605" s="35"/>
      <x:c r="O1605" s="35"/>
      <x:c r="P1605" s="35"/>
      <x:c r="Q1605" s="35"/>
      <x:c r="R1605" s="35"/>
      <x:c r="S1605" s="35"/>
      <x:c r="T1605" s="35"/>
      <x:c r="U1605" s="35"/>
      <x:c r="V1605" s="35"/>
      <x:c r="W1605" s="35"/>
      <x:c r="X1605" s="35"/>
      <x:c r="Y1605" s="35"/>
      <x:c r="Z1605" s="35"/>
      <x:c r="AA1605" s="35"/>
    </x:row>
    <x:row r="1606">
      <x:c r="A1606" s="136" t="str">
        <x:v>HarpersFerry | Onslaught | Harpers Ferry (Onslaught)</x:v>
      </x:c>
      <x:c r="B1606" s="136" t="str">
        <x:v>Objective | LTMOnslaught_5_CaptureArea [map-75/004]</x:v>
      </x:c>
      <x:c r="C1606" s="136" t="str">
        <x:v>objective</x:v>
      </x:c>
      <x:c r="D1606" s="136" t="str"/>
      <x:c r="E1606" s="136" t="str">
        <x:v>LTMOnslaught_5_CaptureArea</x:v>
      </x:c>
      <x:c r="F1606" s="137" t="n">
        <x:v>1437.48876953125</x:v>
      </x:c>
      <x:c r="G1606" s="137" t="n">
        <x:v>2151.111083984375</x:v>
      </x:c>
      <x:c r="H1606" s="137" t="n">
        <x:v>133.20765686035156</x:v>
      </x:c>
      <x:c r="I1606" s="137" t="n">
        <x:v>707.6257894736842</x:v>
      </x:c>
      <x:c r="J1606" s="137" t="n">
        <x:v>735.0044736842106</x:v>
      </x:c>
      <x:c r="K1606" s="136" t="str">
        <x:v>map-75</x:v>
      </x:c>
      <x:c r="L1606" s="136" t="str">
        <x:v>HarpersFerry | Onslaught | Harpers Ferry (Onslaught)||Objective | LTMOnslaught_5_CaptureArea [map-75/004]</x:v>
      </x:c>
      <x:c r="M1606" s="35"/>
      <x:c r="N1606" s="35"/>
      <x:c r="O1606" s="35"/>
      <x:c r="P1606" s="35"/>
      <x:c r="Q1606" s="35"/>
      <x:c r="R1606" s="35"/>
      <x:c r="S1606" s="35"/>
      <x:c r="T1606" s="35"/>
      <x:c r="U1606" s="35"/>
      <x:c r="V1606" s="35"/>
      <x:c r="W1606" s="35"/>
      <x:c r="X1606" s="35"/>
      <x:c r="Y1606" s="35"/>
      <x:c r="Z1606" s="35"/>
      <x:c r="AA1606" s="35"/>
    </x:row>
    <x:row r="1607">
      <x:c r="A1607" s="136" t="str">
        <x:v>HarpersFerry | Onslaught | Harpers Ferry (Onslaught)</x:v>
      </x:c>
      <x:c r="B1607" s="136" t="str">
        <x:v>Objective | LTMOnslaught_0_CaptureArea [map-75/005]</x:v>
      </x:c>
      <x:c r="C1607" s="136" t="str">
        <x:v>objective</x:v>
      </x:c>
      <x:c r="D1607" s="136" t="str"/>
      <x:c r="E1607" s="136" t="str">
        <x:v>LTMOnslaught_0_CaptureArea</x:v>
      </x:c>
      <x:c r="F1607" s="137" t="n">
        <x:v>2575.739501953125</x:v>
      </x:c>
      <x:c r="G1607" s="137" t="n">
        <x:v>1884.1551513671875</x:v>
      </x:c>
      <x:c r="H1607" s="137" t="n">
        <x:v>86.39888763427734</x:v>
      </x:c>
      <x:c r="I1607" s="137" t="n">
        <x:v>1934.5402631578947</x:v>
      </x:c>
      <x:c r="J1607" s="137" t="n">
        <x:v>1022.7548684210526</x:v>
      </x:c>
      <x:c r="K1607" s="136" t="str">
        <x:v>map-75</x:v>
      </x:c>
      <x:c r="L1607" s="136" t="str">
        <x:v>HarpersFerry | Onslaught | Harpers Ferry (Onslaught)||Objective | LTMOnslaught_0_CaptureArea [map-75/005]</x:v>
      </x:c>
      <x:c r="M1607" s="35"/>
      <x:c r="N1607" s="35"/>
      <x:c r="O1607" s="35"/>
      <x:c r="P1607" s="35"/>
      <x:c r="Q1607" s="35"/>
      <x:c r="R1607" s="35"/>
      <x:c r="S1607" s="35"/>
      <x:c r="T1607" s="35"/>
      <x:c r="U1607" s="35"/>
      <x:c r="V1607" s="35"/>
      <x:c r="W1607" s="35"/>
      <x:c r="X1607" s="35"/>
      <x:c r="Y1607" s="35"/>
      <x:c r="Z1607" s="35"/>
      <x:c r="AA1607" s="35"/>
    </x:row>
    <x:row r="1608">
      <x:c r="A1608" s="136" t="str">
        <x:v>HarpersFerry | Onslaught | Harpers Ferry (Onslaught)</x:v>
      </x:c>
      <x:c r="B1608" s="136" t="str">
        <x:v>Objective | LTMOnslaught_3_CaptureArea [map-75/006]</x:v>
      </x:c>
      <x:c r="C1608" s="136" t="str">
        <x:v>objective</x:v>
      </x:c>
      <x:c r="D1608" s="136" t="str"/>
      <x:c r="E1608" s="136" t="str">
        <x:v>LTMOnslaught_3_CaptureArea</x:v>
      </x:c>
      <x:c r="F1608" s="137" t="n">
        <x:v>2100.54638671875</x:v>
      </x:c>
      <x:c r="G1608" s="137" t="n">
        <x:v>2026.8428955078125</x:v>
      </x:c>
      <x:c r="H1608" s="137" t="n">
        <x:v>133.63304138183594</x:v>
      </x:c>
      <x:c r="I1608" s="137" t="n">
        <x:v>1422.332105263158</x:v>
      </x:c>
      <x:c r="J1608" s="137" t="n">
        <x:v>868.9525</x:v>
      </x:c>
      <x:c r="K1608" s="136" t="str">
        <x:v>map-75</x:v>
      </x:c>
      <x:c r="L1608" s="136" t="str">
        <x:v>HarpersFerry | Onslaught | Harpers Ferry (Onslaught)||Objective | LTMOnslaught_3_CaptureArea [map-75/006]</x:v>
      </x:c>
      <x:c r="M1608" s="35"/>
      <x:c r="N1608" s="35"/>
      <x:c r="O1608" s="35"/>
      <x:c r="P1608" s="35"/>
      <x:c r="Q1608" s="35"/>
      <x:c r="R1608" s="35"/>
      <x:c r="S1608" s="35"/>
      <x:c r="T1608" s="35"/>
      <x:c r="U1608" s="35"/>
      <x:c r="V1608" s="35"/>
      <x:c r="W1608" s="35"/>
      <x:c r="X1608" s="35"/>
      <x:c r="Y1608" s="35"/>
      <x:c r="Z1608" s="35"/>
      <x:c r="AA1608" s="35"/>
    </x:row>
    <x:row r="1609">
      <x:c r="A1609" s="136" t="str">
        <x:v>HarpersFerry | Onslaught | Harpers Ferry (Onslaught)</x:v>
      </x:c>
      <x:c r="B1609" s="136" t="str">
        <x:v>Objective | LTMOnslaught_4_CaptureArea [map-75/007]</x:v>
      </x:c>
      <x:c r="C1609" s="136" t="str">
        <x:v>objective</x:v>
      </x:c>
      <x:c r="D1609" s="136" t="str"/>
      <x:c r="E1609" s="136" t="str">
        <x:v>LTMOnslaught_4_CaptureArea</x:v>
      </x:c>
      <x:c r="F1609" s="137" t="n">
        <x:v>1739.2572021484375</x:v>
      </x:c>
      <x:c r="G1609" s="137" t="n">
        <x:v>2189.2197265625</x:v>
      </x:c>
      <x:c r="H1609" s="137" t="n">
        <x:v>124.19959259033203</x:v>
      </x:c>
      <x:c r="I1609" s="137" t="n">
        <x:v>1032.9003947368421</x:v>
      </x:c>
      <x:c r="J1609" s="137" t="n">
        <x:v>693.9273684210526</x:v>
      </x:c>
      <x:c r="K1609" s="136" t="str">
        <x:v>map-75</x:v>
      </x:c>
      <x:c r="L1609" s="136" t="str">
        <x:v>HarpersFerry | Onslaught | Harpers Ferry (Onslaught)||Objective | LTMOnslaught_4_CaptureArea [map-75/007]</x:v>
      </x:c>
      <x:c r="M1609" s="35"/>
      <x:c r="N1609" s="35"/>
      <x:c r="O1609" s="35"/>
      <x:c r="P1609" s="35"/>
      <x:c r="Q1609" s="35"/>
      <x:c r="R1609" s="35"/>
      <x:c r="S1609" s="35"/>
      <x:c r="T1609" s="35"/>
      <x:c r="U1609" s="35"/>
      <x:c r="V1609" s="35"/>
      <x:c r="W1609" s="35"/>
      <x:c r="X1609" s="35"/>
      <x:c r="Y1609" s="35"/>
      <x:c r="Z1609" s="35"/>
      <x:c r="AA1609" s="35"/>
    </x:row>
    <x:row r="1610">
      <x:c r="A1610" s="136" t="str">
        <x:v>HarpersFerry | Onslaught | Harpers Ferry (Onslaught)</x:v>
      </x:c>
      <x:c r="B1610" s="136" t="str">
        <x:v>Gun | 12-pounder Napoleon (CSA) · 3InchOrdnanceRifle-108 [map-75/008]</x:v>
      </x:c>
      <x:c r="C1610" s="136" t="str">
        <x:v>gun_spawn</x:v>
      </x:c>
      <x:c r="D1610" s="136" t="str"/>
      <x:c r="E1610" s="136" t="str">
        <x:v>12-pounder Napoleon (CSA) · 3InchOrdnanceRifle-108</x:v>
      </x:c>
      <x:c r="F1610" s="137" t="n">
        <x:v>2663.960205078125</x:v>
      </x:c>
      <x:c r="G1610" s="137" t="n">
        <x:v>1434.5704345703125</x:v>
      </x:c>
      <x:c r="H1610" s="137" t="n">
        <x:v>236.44692993164062</x:v>
      </x:c>
      <x:c r="I1610" s="137" t="n">
        <x:v>2029.6328947368422</x:v>
      </x:c>
      <x:c r="J1610" s="137" t="n">
        <x:v>1507.3598684210526</x:v>
      </x:c>
      <x:c r="K1610" s="136" t="str">
        <x:v>map-75</x:v>
      </x:c>
      <x:c r="L1610" s="136" t="str">
        <x:v>HarpersFerry | Onslaught | Harpers Ferry (Onslaught)||Gun | 12-pounder Napoleon (CSA) · 3InchOrdnanceRifle-108 [map-75/008]</x:v>
      </x:c>
      <x:c r="M1610" s="35"/>
      <x:c r="N1610" s="35"/>
      <x:c r="O1610" s="35"/>
      <x:c r="P1610" s="35"/>
      <x:c r="Q1610" s="35"/>
      <x:c r="R1610" s="35"/>
      <x:c r="S1610" s="35"/>
      <x:c r="T1610" s="35"/>
      <x:c r="U1610" s="35"/>
      <x:c r="V1610" s="35"/>
      <x:c r="W1610" s="35"/>
      <x:c r="X1610" s="35"/>
      <x:c r="Y1610" s="35"/>
      <x:c r="Z1610" s="35"/>
      <x:c r="AA1610" s="35"/>
    </x:row>
    <x:row r="1611">
      <x:c r="A1611" s="136" t="str">
        <x:v>HarpersFerry | Onslaught | Harpers Ferry (Onslaught)</x:v>
      </x:c>
      <x:c r="B1611" s="136" t="str">
        <x:v>Gun | 12-pounder Napoleon (USA) · 3InchOrdnanceRifle-107 [map-75/009]</x:v>
      </x:c>
      <x:c r="C1611" s="136" t="str">
        <x:v>gun_spawn</x:v>
      </x:c>
      <x:c r="D1611" s="136" t="str"/>
      <x:c r="E1611" s="136" t="str">
        <x:v>12-pounder Napoleon (USA) · 3InchOrdnanceRifle-107</x:v>
      </x:c>
      <x:c r="F1611" s="137" t="n">
        <x:v>2668.6904296875</x:v>
      </x:c>
      <x:c r="G1611" s="137" t="n">
        <x:v>1436.516845703125</x:v>
      </x:c>
      <x:c r="H1611" s="137" t="n">
        <x:v>236.45144653320312</x:v>
      </x:c>
      <x:c r="I1611" s="137" t="n">
        <x:v>2034.7315789473685</x:v>
      </x:c>
      <x:c r="J1611" s="137" t="n">
        <x:v>1505.2618421052632</x:v>
      </x:c>
      <x:c r="K1611" s="136" t="str">
        <x:v>map-75</x:v>
      </x:c>
      <x:c r="L1611" s="136" t="str">
        <x:v>HarpersFerry | Onslaught | Harpers Ferry (Onslaught)||Gun | 12-pounder Napoleon (USA) · 3InchOrdnanceRifle-107 [map-75/009]</x:v>
      </x:c>
      <x:c r="M1611" s="35"/>
      <x:c r="N1611" s="35"/>
      <x:c r="O1611" s="35"/>
      <x:c r="P1611" s="35"/>
      <x:c r="Q1611" s="35"/>
      <x:c r="R1611" s="35"/>
      <x:c r="S1611" s="35"/>
      <x:c r="T1611" s="35"/>
      <x:c r="U1611" s="35"/>
      <x:c r="V1611" s="35"/>
      <x:c r="W1611" s="35"/>
      <x:c r="X1611" s="35"/>
      <x:c r="Y1611" s="35"/>
      <x:c r="Z1611" s="35"/>
      <x:c r="AA1611" s="35"/>
    </x:row>
    <x:row r="1612">
      <x:c r="A1612" s="136" t="str">
        <x:v>HarpersFerry | Onslaught | Harpers Ferry (Onslaught)</x:v>
      </x:c>
      <x:c r="B1612" s="136" t="str">
        <x:v>Gun | 12-pounder Napoleon (CSA) · 3InchOrdnanceRifle-109 [map-75/010]</x:v>
      </x:c>
      <x:c r="C1612" s="136" t="str">
        <x:v>gun_spawn</x:v>
      </x:c>
      <x:c r="D1612" s="136" t="str"/>
      <x:c r="E1612" s="136" t="str">
        <x:v>12-pounder Napoleon (CSA) · 3InchOrdnanceRifle-109</x:v>
      </x:c>
      <x:c r="F1612" s="137" t="n">
        <x:v>2653.02099609375</x:v>
      </x:c>
      <x:c r="G1612" s="137" t="n">
        <x:v>1432.634765625</x:v>
      </x:c>
      <x:c r="H1612" s="137" t="n">
        <x:v>236.45379638671875</x:v>
      </x:c>
      <x:c r="I1612" s="137" t="n">
        <x:v>2017.8415789473684</x:v>
      </x:c>
      <x:c r="J1612" s="137" t="n">
        <x:v>1509.4463157894736</x:v>
      </x:c>
      <x:c r="K1612" s="136" t="str">
        <x:v>map-75</x:v>
      </x:c>
      <x:c r="L1612" s="136" t="str">
        <x:v>HarpersFerry | Onslaught | Harpers Ferry (Onslaught)||Gun | 12-pounder Napoleon (CSA) · 3InchOrdnanceRifle-109 [map-75/010]</x:v>
      </x:c>
      <x:c r="M1612" s="35"/>
      <x:c r="N1612" s="35"/>
      <x:c r="O1612" s="35"/>
      <x:c r="P1612" s="35"/>
      <x:c r="Q1612" s="35"/>
      <x:c r="R1612" s="35"/>
      <x:c r="S1612" s="35"/>
      <x:c r="T1612" s="35"/>
      <x:c r="U1612" s="35"/>
      <x:c r="V1612" s="35"/>
      <x:c r="W1612" s="35"/>
      <x:c r="X1612" s="35"/>
      <x:c r="Y1612" s="35"/>
      <x:c r="Z1612" s="35"/>
      <x:c r="AA1612" s="35"/>
    </x:row>
    <x:row r="1613">
      <x:c r="A1613" s="136" t="str">
        <x:v>HarpersFerry | Onslaught | Harpers Ferry (Onslaught)</x:v>
      </x:c>
      <x:c r="B1613" s="136" t="str">
        <x:v>Gun | 3-inch Ordnance · 3InchOrdnanceRifle-106 [map-75/011]</x:v>
      </x:c>
      <x:c r="C1613" s="136" t="str">
        <x:v>gun_spawn</x:v>
      </x:c>
      <x:c r="D1613" s="136" t="str"/>
      <x:c r="E1613" s="136" t="str">
        <x:v>3-inch Ordnance · 3InchOrdnanceRifle-106</x:v>
      </x:c>
      <x:c r="F1613" s="137" t="n">
        <x:v>2679.85546875</x:v>
      </x:c>
      <x:c r="G1613" s="137" t="n">
        <x:v>1438.1678466796875</x:v>
      </x:c>
      <x:c r="H1613" s="137" t="n">
        <x:v>236.45697021484375</x:v>
      </x:c>
      <x:c r="I1613" s="137" t="n">
        <x:v>2046.7663157894738</x:v>
      </x:c>
      <x:c r="J1613" s="137" t="n">
        <x:v>1503.4822368421053</x:v>
      </x:c>
      <x:c r="K1613" s="136" t="str">
        <x:v>map-75</x:v>
      </x:c>
      <x:c r="L1613" s="136" t="str">
        <x:v>HarpersFerry | Onslaught | Harpers Ferry (Onslaught)||Gun | 3-inch Ordnance · 3InchOrdnanceRifle-106 [map-75/011]</x:v>
      </x:c>
      <x:c r="M1613" s="35"/>
      <x:c r="N1613" s="35"/>
      <x:c r="O1613" s="35"/>
      <x:c r="P1613" s="35"/>
      <x:c r="Q1613" s="35"/>
      <x:c r="R1613" s="35"/>
      <x:c r="S1613" s="35"/>
      <x:c r="T1613" s="35"/>
      <x:c r="U1613" s="35"/>
      <x:c r="V1613" s="35"/>
      <x:c r="W1613" s="35"/>
      <x:c r="X1613" s="35"/>
      <x:c r="Y1613" s="35"/>
      <x:c r="Z1613" s="35"/>
      <x:c r="AA1613" s="35"/>
    </x:row>
    <x:row r="1614">
      <x:c r="A1614" s="136" t="str">
        <x:v>HarpersFerry | Skirmish | Maryland Heights</x:v>
      </x:c>
      <x:c r="B1614" s="136" t="str">
        <x:v>Objective | Victory_Maryland_Heights [map-76/001]</x:v>
      </x:c>
      <x:c r="C1614" s="136" t="str">
        <x:v>objective</x:v>
      </x:c>
      <x:c r="D1614" s="136" t="str"/>
      <x:c r="E1614" s="136" t="str">
        <x:v>Victory_Maryland_Heights</x:v>
      </x:c>
      <x:c r="F1614" s="137" t="n">
        <x:v>2684.705078125</x:v>
      </x:c>
      <x:c r="G1614" s="137" t="n">
        <x:v>2391.689453125</x:v>
      </x:c>
      <x:c r="H1614" s="137" t="n">
        <x:v>185.7969970703125</x:v>
      </x:c>
      <x:c r="I1614" s="137" t="n">
        <x:v>1147.111593244864</x:v>
      </x:c>
      <x:c r="J1614" s="137" t="n">
        <x:v>789.275</x:v>
      </x:c>
      <x:c r="K1614" s="136" t="str">
        <x:v>map-76</x:v>
      </x:c>
      <x:c r="L1614" s="136" t="str">
        <x:v>HarpersFerry | Skirmish | Maryland Heights||Objective | Victory_Maryland_Heights [map-76/001]</x:v>
      </x:c>
      <x:c r="M1614" s="35"/>
      <x:c r="N1614" s="35"/>
      <x:c r="O1614" s="35"/>
      <x:c r="P1614" s="35"/>
      <x:c r="Q1614" s="35"/>
      <x:c r="R1614" s="35"/>
      <x:c r="S1614" s="35"/>
      <x:c r="T1614" s="35"/>
      <x:c r="U1614" s="35"/>
      <x:c r="V1614" s="35"/>
      <x:c r="W1614" s="35"/>
      <x:c r="X1614" s="35"/>
      <x:c r="Y1614" s="35"/>
      <x:c r="Z1614" s="35"/>
      <x:c r="AA1614" s="35"/>
    </x:row>
    <x:row r="1615">
      <x:c r="A1615" s="136" t="str">
        <x:v>HarpersFerry | Skirmish | Maryland Heights</x:v>
      </x:c>
      <x:c r="B1615" s="136" t="str">
        <x:v>Spawn | USA Spawnpoint_MH_Defend_USA_126thNY [map-76/002]</x:v>
      </x:c>
      <x:c r="C1615" s="136" t="str">
        <x:v>spawn</x:v>
      </x:c>
      <x:c r="D1615" s="136" t="str">
        <x:v>USA</x:v>
      </x:c>
      <x:c r="E1615" s="136" t="str">
        <x:v>Spawnpoint_MH_Defend_USA_126thNY</x:v>
      </x:c>
      <x:c r="F1615" s="137" t="n">
        <x:v>2632.744384765625</x:v>
      </x:c>
      <x:c r="G1615" s="137" t="n">
        <x:v>2344.17578125</x:v>
      </x:c>
      <x:c r="H1615" s="137" t="n">
        <x:v>156.9658966064453</x:v>
      </x:c>
      <x:c r="I1615" s="137" t="n">
        <x:v>1014.2442619170176</x:v>
      </x:c>
      <x:c r="J1615" s="137" t="n">
        <x:v>910.91</x:v>
      </x:c>
      <x:c r="K1615" s="136" t="str">
        <x:v>map-76</x:v>
      </x:c>
      <x:c r="L1615" s="136" t="str">
        <x:v>HarpersFerry | Skirmish | Maryland Heights||Spawn | USA Spawnpoint_MH_Defend_USA_126thNY [map-76/002]</x:v>
      </x:c>
      <x:c r="M1615" s="35"/>
      <x:c r="N1615" s="35"/>
      <x:c r="O1615" s="35"/>
      <x:c r="P1615" s="35"/>
      <x:c r="Q1615" s="35"/>
      <x:c r="R1615" s="35"/>
      <x:c r="S1615" s="35"/>
      <x:c r="T1615" s="35"/>
      <x:c r="U1615" s="35"/>
      <x:c r="V1615" s="35"/>
      <x:c r="W1615" s="35"/>
      <x:c r="X1615" s="35"/>
      <x:c r="Y1615" s="35"/>
      <x:c r="Z1615" s="35"/>
      <x:c r="AA1615" s="35"/>
    </x:row>
    <x:row r="1616">
      <x:c r="A1616" s="136" t="str">
        <x:v>HarpersFerry | Skirmish | Maryland Heights</x:v>
      </x:c>
      <x:c r="B1616" s="136" t="str">
        <x:v>Spawn | USA Spawnpoint_MH_Base_USA_32ndOH [map-76/003]</x:v>
      </x:c>
      <x:c r="C1616" s="136" t="str">
        <x:v>spawn</x:v>
      </x:c>
      <x:c r="D1616" s="136" t="str">
        <x:v>USA</x:v>
      </x:c>
      <x:c r="E1616" s="136" t="str">
        <x:v>Spawnpoint_MH_Base_USA_32ndOH</x:v>
      </x:c>
      <x:c r="F1616" s="137" t="n">
        <x:v>2527.720703125</x:v>
      </x:c>
      <x:c r="G1616" s="137" t="n">
        <x:v>2272.679443359375</x:v>
      </x:c>
      <x:c r="H1616" s="137" t="n">
        <x:v>89.10079193115234</x:v>
      </x:c>
      <x:c r="I1616" s="137" t="n">
        <x:v>745.612425081128</x:v>
      </x:c>
      <x:c r="J1616" s="137" t="n">
        <x:v>1093.940625</x:v>
      </x:c>
      <x:c r="K1616" s="136" t="str">
        <x:v>map-76</x:v>
      </x:c>
      <x:c r="L1616" s="136" t="str">
        <x:v>HarpersFerry | Skirmish | Maryland Heights||Spawn | USA Spawnpoint_MH_Base_USA_32ndOH [map-76/003]</x:v>
      </x:c>
      <x:c r="M1616" s="35"/>
      <x:c r="N1616" s="35"/>
      <x:c r="O1616" s="35"/>
      <x:c r="P1616" s="35"/>
      <x:c r="Q1616" s="35"/>
      <x:c r="R1616" s="35"/>
      <x:c r="S1616" s="35"/>
      <x:c r="T1616" s="35"/>
      <x:c r="U1616" s="35"/>
      <x:c r="V1616" s="35"/>
      <x:c r="W1616" s="35"/>
      <x:c r="X1616" s="35"/>
      <x:c r="Y1616" s="35"/>
      <x:c r="Z1616" s="35"/>
      <x:c r="AA1616" s="35"/>
    </x:row>
    <x:row r="1617">
      <x:c r="A1617" s="136" t="str">
        <x:v>HarpersFerry | Skirmish | Maryland Heights</x:v>
      </x:c>
      <x:c r="B1617" s="136" t="str">
        <x:v>Spawn | USA Spawnpoint_MH_Base_USA_126thNY [map-76/004]</x:v>
      </x:c>
      <x:c r="C1617" s="136" t="str">
        <x:v>spawn</x:v>
      </x:c>
      <x:c r="D1617" s="136" t="str">
        <x:v>USA</x:v>
      </x:c>
      <x:c r="E1617" s="136" t="str">
        <x:v>Spawnpoint_MH_Base_USA_126thNY</x:v>
      </x:c>
      <x:c r="F1617" s="137" t="n">
        <x:v>2553.509765625</x:v>
      </x:c>
      <x:c r="G1617" s="137" t="n">
        <x:v>2247.92041015625</x:v>
      </x:c>
      <x:c r="H1617" s="137" t="n">
        <x:v>88.82402038574219</x:v>
      </x:c>
      <x:c r="I1617" s="137" t="n">
        <x:v>811.7116539468128</x:v>
      </x:c>
      <x:c r="J1617" s="137" t="n">
        <x:v>1157.32375</x:v>
      </x:c>
      <x:c r="K1617" s="136" t="str">
        <x:v>map-76</x:v>
      </x:c>
      <x:c r="L1617" s="136" t="str">
        <x:v>HarpersFerry | Skirmish | Maryland Heights||Spawn | USA Spawnpoint_MH_Base_USA_126thNY [map-76/004]</x:v>
      </x:c>
      <x:c r="M1617" s="35"/>
      <x:c r="N1617" s="35"/>
      <x:c r="O1617" s="35"/>
      <x:c r="P1617" s="35"/>
      <x:c r="Q1617" s="35"/>
      <x:c r="R1617" s="35"/>
      <x:c r="S1617" s="35"/>
      <x:c r="T1617" s="35"/>
      <x:c r="U1617" s="35"/>
      <x:c r="V1617" s="35"/>
      <x:c r="W1617" s="35"/>
      <x:c r="X1617" s="35"/>
      <x:c r="Y1617" s="35"/>
      <x:c r="Z1617" s="35"/>
      <x:c r="AA1617" s="35"/>
    </x:row>
    <x:row r="1618">
      <x:c r="A1618" s="136" t="str">
        <x:v>HarpersFerry | Skirmish | Maryland Heights</x:v>
      </x:c>
      <x:c r="B1618" s="136" t="str">
        <x:v>Spawn | CSA Spawnpoint_MH_Base_CSA_3rdSC-2 [map-76/005]</x:v>
      </x:c>
      <x:c r="C1618" s="136" t="str">
        <x:v>spawn</x:v>
      </x:c>
      <x:c r="D1618" s="136" t="str">
        <x:v>CSA</x:v>
      </x:c>
      <x:c r="E1618" s="136" t="str">
        <x:v>Spawnpoint_MH_Base_CSA_3rdSC-2</x:v>
      </x:c>
      <x:c r="F1618" s="137" t="n">
        <x:v>2597.234619140625</x:v>
      </x:c>
      <x:c r="G1618" s="137" t="n">
        <x:v>2629.343017578125</x:v>
      </x:c>
      <x:c r="H1618" s="137" t="n">
        <x:v>159.0331573486328</x:v>
      </x:c>
      <x:c r="I1618" s="137" t="n">
        <x:v>922.4267272279857</x:v>
      </x:c>
      <x:c r="J1618" s="137" t="n">
        <x:v>180.881875</x:v>
      </x:c>
      <x:c r="K1618" s="136" t="str">
        <x:v>map-76</x:v>
      </x:c>
      <x:c r="L1618" s="136" t="str">
        <x:v>HarpersFerry | Skirmish | Maryland Heights||Spawn | CSA Spawnpoint_MH_Base_CSA_3rdSC-2 [map-76/005]</x:v>
      </x:c>
      <x:c r="M1618" s="35"/>
      <x:c r="N1618" s="35"/>
      <x:c r="O1618" s="35"/>
      <x:c r="P1618" s="35"/>
      <x:c r="Q1618" s="35"/>
      <x:c r="R1618" s="35"/>
      <x:c r="S1618" s="35"/>
      <x:c r="T1618" s="35"/>
      <x:c r="U1618" s="35"/>
      <x:c r="V1618" s="35"/>
      <x:c r="W1618" s="35"/>
      <x:c r="X1618" s="35"/>
      <x:c r="Y1618" s="35"/>
      <x:c r="Z1618" s="35"/>
      <x:c r="AA1618" s="35"/>
    </x:row>
    <x:row r="1619">
      <x:c r="A1619" s="136" t="str">
        <x:v>HarpersFerry | Skirmish | Maryland Heights</x:v>
      </x:c>
      <x:c r="B1619" s="136" t="str">
        <x:v>Spawn | USA Spawnpoint_MH_Defend_USA_32ndOH [map-76/006]</x:v>
      </x:c>
      <x:c r="C1619" s="136" t="str">
        <x:v>spawn</x:v>
      </x:c>
      <x:c r="D1619" s="136" t="str">
        <x:v>USA</x:v>
      </x:c>
      <x:c r="E1619" s="136" t="str">
        <x:v>Spawnpoint_MH_Defend_USA_32ndOH</x:v>
      </x:c>
      <x:c r="F1619" s="137" t="n">
        <x:v>2601.132080078125</x:v>
      </x:c>
      <x:c r="G1619" s="137" t="n">
        <x:v>2364.231201171875</x:v>
      </x:c>
      <x:c r="H1619" s="137" t="n">
        <x:v>155.76705932617188</x:v>
      </x:c>
      <x:c r="I1619" s="137" t="n">
        <x:v>933.2525846061263</x:v>
      </x:c>
      <x:c r="J1619" s="137" t="n">
        <x:v>859.568125</x:v>
      </x:c>
      <x:c r="K1619" s="136" t="str">
        <x:v>map-76</x:v>
      </x:c>
      <x:c r="L1619" s="136" t="str">
        <x:v>HarpersFerry | Skirmish | Maryland Heights||Spawn | USA Spawnpoint_MH_Defend_USA_32ndOH [map-76/006]</x:v>
      </x:c>
      <x:c r="M1619" s="35"/>
      <x:c r="N1619" s="35"/>
      <x:c r="O1619" s="35"/>
      <x:c r="P1619" s="35"/>
      <x:c r="Q1619" s="35"/>
      <x:c r="R1619" s="35"/>
      <x:c r="S1619" s="35"/>
      <x:c r="T1619" s="35"/>
      <x:c r="U1619" s="35"/>
      <x:c r="V1619" s="35"/>
      <x:c r="W1619" s="35"/>
      <x:c r="X1619" s="35"/>
      <x:c r="Y1619" s="35"/>
      <x:c r="Z1619" s="35"/>
      <x:c r="AA1619" s="35"/>
    </x:row>
    <x:row r="1620">
      <x:c r="A1620" s="136" t="str">
        <x:v>HarpersFerry | Skirmish | Maryland Heights</x:v>
      </x:c>
      <x:c r="B1620" s="136" t="str">
        <x:v>Spawn | CSA Spawnpoint_MH_Base_CSA_3rdSC [map-76/007]</x:v>
      </x:c>
      <x:c r="C1620" s="136" t="str">
        <x:v>spawn</x:v>
      </x:c>
      <x:c r="D1620" s="136" t="str">
        <x:v>CSA</x:v>
      </x:c>
      <x:c r="E1620" s="136" t="str">
        <x:v>Spawnpoint_MH_Base_CSA_3rdSC</x:v>
      </x:c>
      <x:c r="F1620" s="137" t="n">
        <x:v>2605.05224609375</x:v>
      </x:c>
      <x:c r="G1620" s="137" t="n">
        <x:v>2645.38330078125</x:v>
      </x:c>
      <x:c r="H1620" s="137" t="n">
        <x:v>157.77810668945312</x:v>
      </x:c>
      <x:c r="I1620" s="137" t="n">
        <x:v>942.388523348016</x:v>
      </x:c>
      <x:c r="J1620" s="137" t="n">
        <x:v>139.81875</x:v>
      </x:c>
      <x:c r="K1620" s="136" t="str">
        <x:v>map-76</x:v>
      </x:c>
      <x:c r="L1620" s="136" t="str">
        <x:v>HarpersFerry | Skirmish | Maryland Heights||Spawn | CSA Spawnpoint_MH_Base_CSA_3rdSC [map-76/007]</x:v>
      </x:c>
      <x:c r="M1620" s="35"/>
      <x:c r="N1620" s="35"/>
      <x:c r="O1620" s="35"/>
      <x:c r="P1620" s="35"/>
      <x:c r="Q1620" s="35"/>
      <x:c r="R1620" s="35"/>
      <x:c r="S1620" s="35"/>
      <x:c r="T1620" s="35"/>
      <x:c r="U1620" s="35"/>
      <x:c r="V1620" s="35"/>
      <x:c r="W1620" s="35"/>
      <x:c r="X1620" s="35"/>
      <x:c r="Y1620" s="35"/>
      <x:c r="Z1620" s="35"/>
      <x:c r="AA1620" s="35"/>
    </x:row>
    <x:row r="1621">
      <x:c r="A1621" s="136" t="str">
        <x:v>HarpersFerry | Skirmish | Maryland Heights</x:v>
      </x:c>
      <x:c r="B1621" s="136" t="str">
        <x:v>Spawn | USA Spawnpoint_MH_Base_USA_32ndOH-2 [map-76/008]</x:v>
      </x:c>
      <x:c r="C1621" s="136" t="str">
        <x:v>spawn</x:v>
      </x:c>
      <x:c r="D1621" s="136" t="str">
        <x:v>USA</x:v>
      </x:c>
      <x:c r="E1621" s="136" t="str">
        <x:v>Spawnpoint_MH_Base_USA_32ndOH-2</x:v>
      </x:c>
      <x:c r="F1621" s="137" t="n">
        <x:v>2540.619873046875</x:v>
      </x:c>
      <x:c r="G1621" s="137" t="n">
        <x:v>2260.9638671875</x:v>
      </x:c>
      <x:c r="H1621" s="137" t="n">
        <x:v>88.93241882324219</x:v>
      </x:c>
      <x:c r="I1621" s="137" t="n">
        <x:v>778.6717899056832</x:v>
      </x:c>
      <x:c r="J1621" s="137" t="n">
        <x:v>1123.9325</x:v>
      </x:c>
      <x:c r="K1621" s="136" t="str">
        <x:v>map-76</x:v>
      </x:c>
      <x:c r="L1621" s="136" t="str">
        <x:v>HarpersFerry | Skirmish | Maryland Heights||Spawn | USA Spawnpoint_MH_Base_USA_32ndOH-2 [map-76/008]</x:v>
      </x:c>
      <x:c r="M1621" s="35"/>
      <x:c r="N1621" s="35"/>
      <x:c r="O1621" s="35"/>
      <x:c r="P1621" s="35"/>
      <x:c r="Q1621" s="35"/>
      <x:c r="R1621" s="35"/>
      <x:c r="S1621" s="35"/>
      <x:c r="T1621" s="35"/>
      <x:c r="U1621" s="35"/>
      <x:c r="V1621" s="35"/>
      <x:c r="W1621" s="35"/>
      <x:c r="X1621" s="35"/>
      <x:c r="Y1621" s="35"/>
      <x:c r="Z1621" s="35"/>
      <x:c r="AA1621" s="35"/>
    </x:row>
    <x:row r="1622">
      <x:c r="A1622" s="136" t="str">
        <x:v>HarpersFerry | Skirmish | Maryland Heights</x:v>
      </x:c>
      <x:c r="B1622" s="136" t="str">
        <x:v>Spawn | USA Spawnpoint_MH_Base_USA_126thNY-2 [map-76/009]</x:v>
      </x:c>
      <x:c r="C1622" s="136" t="str">
        <x:v>spawn</x:v>
      </x:c>
      <x:c r="D1622" s="136" t="str">
        <x:v>USA</x:v>
      </x:c>
      <x:c r="E1622" s="136" t="str">
        <x:v>Spawnpoint_MH_Base_USA_126thNY-2</x:v>
      </x:c>
      <x:c r="F1622" s="137" t="n">
        <x:v>2565.783935546875</x:v>
      </x:c>
      <x:c r="G1622" s="137" t="n">
        <x:v>2234.864501953125</x:v>
      </x:c>
      <x:c r="H1622" s="137" t="n">
        <x:v>88.74655151367188</x:v>
      </x:c>
      <x:c r="I1622" s="137" t="n">
        <x:v>843.1753078316721</x:v>
      </x:c>
      <x:c r="J1622" s="137" t="n">
        <x:v>1190.746875</x:v>
      </x:c>
      <x:c r="K1622" s="136" t="str">
        <x:v>map-76</x:v>
      </x:c>
      <x:c r="L1622" s="136" t="str">
        <x:v>HarpersFerry | Skirmish | Maryland Heights||Spawn | USA Spawnpoint_MH_Base_USA_126thNY-2 [map-76/009]</x:v>
      </x:c>
      <x:c r="M1622" s="35"/>
      <x:c r="N1622" s="35"/>
      <x:c r="O1622" s="35"/>
      <x:c r="P1622" s="35"/>
      <x:c r="Q1622" s="35"/>
      <x:c r="R1622" s="35"/>
      <x:c r="S1622" s="35"/>
      <x:c r="T1622" s="35"/>
      <x:c r="U1622" s="35"/>
      <x:c r="V1622" s="35"/>
      <x:c r="W1622" s="35"/>
      <x:c r="X1622" s="35"/>
      <x:c r="Y1622" s="35"/>
      <x:c r="Z1622" s="35"/>
      <x:c r="AA1622" s="35"/>
    </x:row>
    <x:row r="1623">
      <x:c r="A1623" s="136" t="str">
        <x:v>HarpersFerry | Skirmish | Maryland Heights</x:v>
      </x:c>
      <x:c r="B1623" s="136" t="str">
        <x:v>Spawn | CSA Spawnpoint_MH_Base_CSA_18thMS-2 [map-76/010]</x:v>
      </x:c>
      <x:c r="C1623" s="136" t="str">
        <x:v>spawn</x:v>
      </x:c>
      <x:c r="D1623" s="136" t="str">
        <x:v>CSA</x:v>
      </x:c>
      <x:c r="E1623" s="136" t="str">
        <x:v>Spawnpoint_MH_Base_CSA_18thMS-2</x:v>
      </x:c>
      <x:c r="F1623" s="137" t="n">
        <x:v>2582.86767578125</x:v>
      </x:c>
      <x:c r="G1623" s="137" t="n">
        <x:v>2597.97998046875</x:v>
      </x:c>
      <x:c r="H1623" s="137" t="n">
        <x:v>160.39443969726562</x:v>
      </x:c>
      <x:c r="I1623" s="137" t="n">
        <x:v>885.7477138953503</x:v>
      </x:c>
      <x:c r="J1623" s="137" t="n">
        <x:v>261.17125</x:v>
      </x:c>
      <x:c r="K1623" s="136" t="str">
        <x:v>map-76</x:v>
      </x:c>
      <x:c r="L1623" s="136" t="str">
        <x:v>HarpersFerry | Skirmish | Maryland Heights||Spawn | CSA Spawnpoint_MH_Base_CSA_18thMS-2 [map-76/010]</x:v>
      </x:c>
      <x:c r="M1623" s="35"/>
      <x:c r="N1623" s="35"/>
      <x:c r="O1623" s="35"/>
      <x:c r="P1623" s="35"/>
      <x:c r="Q1623" s="35"/>
      <x:c r="R1623" s="35"/>
      <x:c r="S1623" s="35"/>
      <x:c r="T1623" s="35"/>
      <x:c r="U1623" s="35"/>
      <x:c r="V1623" s="35"/>
      <x:c r="W1623" s="35"/>
      <x:c r="X1623" s="35"/>
      <x:c r="Y1623" s="35"/>
      <x:c r="Z1623" s="35"/>
      <x:c r="AA1623" s="35"/>
    </x:row>
    <x:row r="1624">
      <x:c r="A1624" s="136" t="str">
        <x:v>HarpersFerry | Skirmish | Maryland Heights</x:v>
      </x:c>
      <x:c r="B1624" s="136" t="str">
        <x:v>Spawn | USA Spawnpoint_MH_Defend_USA_126thNY-2 [map-76/011]</x:v>
      </x:c>
      <x:c r="C1624" s="136" t="str">
        <x:v>spawn</x:v>
      </x:c>
      <x:c r="D1624" s="136" t="str">
        <x:v>USA</x:v>
      </x:c>
      <x:c r="E1624" s="136" t="str">
        <x:v>Spawnpoint_MH_Defend_USA_126thNY-2</x:v>
      </x:c>
      <x:c r="F1624" s="137" t="n">
        <x:v>2621.4677734375</x:v>
      </x:c>
      <x:c r="G1624" s="137" t="n">
        <x:v>2350.772216796875</x:v>
      </x:c>
      <x:c r="H1624" s="137" t="n">
        <x:v>156.01695251464844</x:v>
      </x:c>
      <x:c r="I1624" s="137" t="n">
        <x:v>985.3550283340752</x:v>
      </x:c>
      <x:c r="J1624" s="137" t="n">
        <x:v>894.023125</x:v>
      </x:c>
      <x:c r="K1624" s="136" t="str">
        <x:v>map-76</x:v>
      </x:c>
      <x:c r="L1624" s="136" t="str">
        <x:v>HarpersFerry | Skirmish | Maryland Heights||Spawn | USA Spawnpoint_MH_Defend_USA_126thNY-2 [map-76/011]</x:v>
      </x:c>
      <x:c r="M1624" s="35"/>
      <x:c r="N1624" s="35"/>
      <x:c r="O1624" s="35"/>
      <x:c r="P1624" s="35"/>
      <x:c r="Q1624" s="35"/>
      <x:c r="R1624" s="35"/>
      <x:c r="S1624" s="35"/>
      <x:c r="T1624" s="35"/>
      <x:c r="U1624" s="35"/>
      <x:c r="V1624" s="35"/>
      <x:c r="W1624" s="35"/>
      <x:c r="X1624" s="35"/>
      <x:c r="Y1624" s="35"/>
      <x:c r="Z1624" s="35"/>
      <x:c r="AA1624" s="35"/>
    </x:row>
    <x:row r="1625">
      <x:c r="A1625" s="136" t="str">
        <x:v>HarpersFerry | Skirmish | Maryland Heights</x:v>
      </x:c>
      <x:c r="B1625" s="136" t="str">
        <x:v>Spawn | USA Spawnpoint_MH_Defend_USA_32ndOH-2 [map-76/012]</x:v>
      </x:c>
      <x:c r="C1625" s="136" t="str">
        <x:v>spawn</x:v>
      </x:c>
      <x:c r="D1625" s="136" t="str">
        <x:v>USA</x:v>
      </x:c>
      <x:c r="E1625" s="136" t="str">
        <x:v>Spawnpoint_MH_Defend_USA_32ndOH-2</x:v>
      </x:c>
      <x:c r="F1625" s="137" t="n">
        <x:v>2588.25634765625</x:v>
      </x:c>
      <x:c r="G1625" s="137" t="n">
        <x:v>2368.45703125</x:v>
      </x:c>
      <x:c r="H1625" s="137" t="n">
        <x:v>154.6982879638672</x:v>
      </x:c>
      <x:c r="I1625" s="137" t="n">
        <x:v>900.2771869567999</x:v>
      </x:c>
      <x:c r="J1625" s="137" t="n">
        <x:v>848.75</x:v>
      </x:c>
      <x:c r="K1625" s="136" t="str">
        <x:v>map-76</x:v>
      </x:c>
      <x:c r="L1625" s="136" t="str">
        <x:v>HarpersFerry | Skirmish | Maryland Heights||Spawn | USA Spawnpoint_MH_Defend_USA_32ndOH-2 [map-76/012]</x:v>
      </x:c>
      <x:c r="M1625" s="35"/>
      <x:c r="N1625" s="35"/>
      <x:c r="O1625" s="35"/>
      <x:c r="P1625" s="35"/>
      <x:c r="Q1625" s="35"/>
      <x:c r="R1625" s="35"/>
      <x:c r="S1625" s="35"/>
      <x:c r="T1625" s="35"/>
      <x:c r="U1625" s="35"/>
      <x:c r="V1625" s="35"/>
      <x:c r="W1625" s="35"/>
      <x:c r="X1625" s="35"/>
      <x:c r="Y1625" s="35"/>
      <x:c r="Z1625" s="35"/>
      <x:c r="AA1625" s="35"/>
    </x:row>
    <x:row r="1626">
      <x:c r="A1626" s="136" t="str">
        <x:v>HarpersFerry | Skirmish | Maryland Heights</x:v>
      </x:c>
      <x:c r="B1626" s="136" t="str">
        <x:v>Spawn | CSA Spawnpoint_MH_Base_CSA_18thMS [map-76/013]</x:v>
      </x:c>
      <x:c r="C1626" s="136" t="str">
        <x:v>spawn</x:v>
      </x:c>
      <x:c r="D1626" s="136" t="str">
        <x:v>CSA</x:v>
      </x:c>
      <x:c r="E1626" s="136" t="str">
        <x:v>Spawnpoint_MH_Base_CSA_18thMS</x:v>
      </x:c>
      <x:c r="F1626" s="137" t="n">
        <x:v>2589.61669921875</x:v>
      </x:c>
      <x:c r="G1626" s="137" t="n">
        <x:v>2613.263427734375</x:v>
      </x:c>
      <x:c r="H1626" s="137" t="n">
        <x:v>160.47059631347656</x:v>
      </x:c>
      <x:c r="I1626" s="137" t="n">
        <x:v>902.9763068891408</x:v>
      </x:c>
      <x:c r="J1626" s="137" t="n">
        <x:v>222.045625</x:v>
      </x:c>
      <x:c r="K1626" s="136" t="str">
        <x:v>map-76</x:v>
      </x:c>
      <x:c r="L1626" s="136" t="str">
        <x:v>HarpersFerry | Skirmish | Maryland Heights||Spawn | CSA Spawnpoint_MH_Base_CSA_18thMS [map-76/013]</x:v>
      </x:c>
      <x:c r="M1626" s="35"/>
      <x:c r="N1626" s="35"/>
      <x:c r="O1626" s="35"/>
      <x:c r="P1626" s="35"/>
      <x:c r="Q1626" s="35"/>
      <x:c r="R1626" s="35"/>
      <x:c r="S1626" s="35"/>
      <x:c r="T1626" s="35"/>
      <x:c r="U1626" s="35"/>
      <x:c r="V1626" s="35"/>
      <x:c r="W1626" s="35"/>
      <x:c r="X1626" s="35"/>
      <x:c r="Y1626" s="35"/>
      <x:c r="Z1626" s="35"/>
      <x:c r="AA1626" s="35"/>
    </x:row>
    <x:row r="1627">
      <x:c r="A1627" s="136" t="str">
        <x:v>HarpersFerry | Skirmish | River Crossing</x:v>
      </x:c>
      <x:c r="B1627" s="136" t="str">
        <x:v>Artillery | CSA Spawnpoint_RC_CSA_Arty_Manly_Forward-4 [map-77/001]</x:v>
      </x:c>
      <x:c r="C1627" s="136" t="str">
        <x:v>battery</x:v>
      </x:c>
      <x:c r="D1627" s="136" t="str">
        <x:v>CSA</x:v>
      </x:c>
      <x:c r="E1627" s="136" t="str">
        <x:v>Spawnpoint_RC_CSA_Arty_Manly_Forward-4</x:v>
      </x:c>
      <x:c r="F1627" s="137" t="n">
        <x:v>2623.9306640625</x:v>
      </x:c>
      <x:c r="G1627" s="137" t="n">
        <x:v>2349.100830078125</x:v>
      </x:c>
      <x:c r="H1627" s="137" t="n">
        <x:v>156.50650024414062</x:v>
      </x:c>
      <x:c r="I1627" s="137" t="n">
        <x:v>855.0137362637362</x:v>
      </x:c>
      <x:c r="J1627" s="137" t="n">
        <x:v>93.98417796454119</x:v>
      </x:c>
      <x:c r="K1627" s="136" t="str">
        <x:v>map-77</x:v>
      </x:c>
      <x:c r="L1627" s="136" t="str">
        <x:v>HarpersFerry | Skirmish | River Crossing||Artillery | CSA Spawnpoint_RC_CSA_Arty_Manly_Forward-4 [map-77/001]</x:v>
      </x:c>
      <x:c r="M1627" s="35"/>
      <x:c r="N1627" s="35"/>
      <x:c r="O1627" s="35"/>
      <x:c r="P1627" s="35"/>
      <x:c r="Q1627" s="35"/>
      <x:c r="R1627" s="35"/>
      <x:c r="S1627" s="35"/>
      <x:c r="T1627" s="35"/>
      <x:c r="U1627" s="35"/>
      <x:c r="V1627" s="35"/>
      <x:c r="W1627" s="35"/>
      <x:c r="X1627" s="35"/>
      <x:c r="Y1627" s="35"/>
      <x:c r="Z1627" s="35"/>
      <x:c r="AA1627" s="35"/>
    </x:row>
    <x:row r="1628">
      <x:c r="A1628" s="136" t="str">
        <x:v>HarpersFerry | Skirmish | River Crossing</x:v>
      </x:c>
      <x:c r="B1628" s="136" t="str">
        <x:v>Artillery | CSA Spawnpoint_RC_CSA_Arty_Manly_Forward-3 [map-77/002]</x:v>
      </x:c>
      <x:c r="C1628" s="136" t="str">
        <x:v>battery</x:v>
      </x:c>
      <x:c r="D1628" s="136" t="str">
        <x:v>CSA</x:v>
      </x:c>
      <x:c r="E1628" s="136" t="str">
        <x:v>Spawnpoint_RC_CSA_Arty_Manly_Forward-3</x:v>
      </x:c>
      <x:c r="F1628" s="137" t="n">
        <x:v>2624.106201171875</x:v>
      </x:c>
      <x:c r="G1628" s="137" t="n">
        <x:v>2348.983154296875</x:v>
      </x:c>
      <x:c r="H1628" s="137" t="n">
        <x:v>156.51939392089844</x:v>
      </x:c>
      <x:c r="I1628" s="137" t="n">
        <x:v>855.5075549450548</x:v>
      </x:c>
      <x:c r="J1628" s="137" t="n">
        <x:v>94.31681407760986</x:v>
      </x:c>
      <x:c r="K1628" s="136" t="str">
        <x:v>map-77</x:v>
      </x:c>
      <x:c r="L1628" s="136" t="str">
        <x:v>HarpersFerry | Skirmish | River Crossing||Artillery | CSA Spawnpoint_RC_CSA_Arty_Manly_Forward-3 [map-77/002]</x:v>
      </x:c>
      <x:c r="M1628" s="35"/>
      <x:c r="N1628" s="35"/>
      <x:c r="O1628" s="35"/>
      <x:c r="P1628" s="35"/>
      <x:c r="Q1628" s="35"/>
      <x:c r="R1628" s="35"/>
      <x:c r="S1628" s="35"/>
      <x:c r="T1628" s="35"/>
      <x:c r="U1628" s="35"/>
      <x:c r="V1628" s="35"/>
      <x:c r="W1628" s="35"/>
      <x:c r="X1628" s="35"/>
      <x:c r="Y1628" s="35"/>
      <x:c r="Z1628" s="35"/>
      <x:c r="AA1628" s="35"/>
    </x:row>
    <x:row r="1629">
      <x:c r="A1629" s="136" t="str">
        <x:v>HarpersFerry | Skirmish | River Crossing</x:v>
      </x:c>
      <x:c r="B1629" s="136" t="str">
        <x:v>Artillery | CSA Spawnpoint_RC_CSA_Arty_Manly_Forward-6 [map-77/003]</x:v>
      </x:c>
      <x:c r="C1629" s="136" t="str">
        <x:v>battery</x:v>
      </x:c>
      <x:c r="D1629" s="136" t="str">
        <x:v>CSA</x:v>
      </x:c>
      <x:c r="E1629" s="136" t="str">
        <x:v>Spawnpoint_RC_CSA_Arty_Manly_Forward-6</x:v>
      </x:c>
      <x:c r="F1629" s="137" t="n">
        <x:v>2624.45068359375</x:v>
      </x:c>
      <x:c r="G1629" s="137" t="n">
        <x:v>2348.752197265625</x:v>
      </x:c>
      <x:c r="H1629" s="137" t="n">
        <x:v>156.54473876953125</x:v>
      </x:c>
      <x:c r="I1629" s="137" t="n">
        <x:v>856.4766483516482</x:v>
      </x:c>
      <x:c r="J1629" s="137" t="n">
        <x:v>94.96966406692377</x:v>
      </x:c>
      <x:c r="K1629" s="136" t="str">
        <x:v>map-77</x:v>
      </x:c>
      <x:c r="L1629" s="136" t="str">
        <x:v>HarpersFerry | Skirmish | River Crossing||Artillery | CSA Spawnpoint_RC_CSA_Arty_Manly_Forward-6 [map-77/003]</x:v>
      </x:c>
      <x:c r="M1629" s="35"/>
      <x:c r="N1629" s="35"/>
      <x:c r="O1629" s="35"/>
      <x:c r="P1629" s="35"/>
      <x:c r="Q1629" s="35"/>
      <x:c r="R1629" s="35"/>
      <x:c r="S1629" s="35"/>
      <x:c r="T1629" s="35"/>
      <x:c r="U1629" s="35"/>
      <x:c r="V1629" s="35"/>
      <x:c r="W1629" s="35"/>
      <x:c r="X1629" s="35"/>
      <x:c r="Y1629" s="35"/>
      <x:c r="Z1629" s="35"/>
      <x:c r="AA1629" s="35"/>
    </x:row>
    <x:row r="1630">
      <x:c r="A1630" s="136" t="str">
        <x:v>HarpersFerry | Skirmish | River Crossing</x:v>
      </x:c>
      <x:c r="B1630" s="136" t="str">
        <x:v>Spawn | USA Spawnpoint_RC_Defend_USA_1stMD [map-77/004]</x:v>
      </x:c>
      <x:c r="C1630" s="136" t="str">
        <x:v>spawn</x:v>
      </x:c>
      <x:c r="D1630" s="136" t="str">
        <x:v>USA</x:v>
      </x:c>
      <x:c r="E1630" s="136" t="str">
        <x:v>Spawnpoint_RC_Defend_USA_1stMD</x:v>
      </x:c>
      <x:c r="F1630" s="137" t="n">
        <x:v>2561.961669921875</x:v>
      </x:c>
      <x:c r="G1630" s="137" t="n">
        <x:v>1883.8096923828125</x:v>
      </x:c>
      <x:c r="H1630" s="137" t="n">
        <x:v>87.66268157958984</x:v>
      </x:c>
      <x:c r="I1630" s="137" t="n">
        <x:v>680.6833791208791</x:v>
      </x:c>
      <x:c r="J1630" s="137" t="n">
        <x:v>1406.3008699594475</x:v>
      </x:c>
      <x:c r="K1630" s="136" t="str">
        <x:v>map-77</x:v>
      </x:c>
      <x:c r="L1630" s="136" t="str">
        <x:v>HarpersFerry | Skirmish | River Crossing||Spawn | USA Spawnpoint_RC_Defend_USA_1stMD [map-77/004]</x:v>
      </x:c>
      <x:c r="M1630" s="35"/>
      <x:c r="N1630" s="35"/>
      <x:c r="O1630" s="35"/>
      <x:c r="P1630" s="35"/>
      <x:c r="Q1630" s="35"/>
      <x:c r="R1630" s="35"/>
      <x:c r="S1630" s="35"/>
      <x:c r="T1630" s="35"/>
      <x:c r="U1630" s="35"/>
      <x:c r="V1630" s="35"/>
      <x:c r="W1630" s="35"/>
      <x:c r="X1630" s="35"/>
      <x:c r="Y1630" s="35"/>
      <x:c r="Z1630" s="35"/>
      <x:c r="AA1630" s="35"/>
    </x:row>
    <x:row r="1631">
      <x:c r="A1631" s="136" t="str">
        <x:v>HarpersFerry | Skirmish | River Crossing</x:v>
      </x:c>
      <x:c r="B1631" s="136" t="str">
        <x:v>Spawn | USA Spawnpoint_RC_Base_USA_1stMD [map-77/005]</x:v>
      </x:c>
      <x:c r="C1631" s="136" t="str">
        <x:v>spawn</x:v>
      </x:c>
      <x:c r="D1631" s="136" t="str">
        <x:v>USA</x:v>
      </x:c>
      <x:c r="E1631" s="136" t="str">
        <x:v>Spawnpoint_RC_Base_USA_1stMD</x:v>
      </x:c>
      <x:c r="F1631" s="137" t="n">
        <x:v>2394.84765625</x:v>
      </x:c>
      <x:c r="G1631" s="137" t="n">
        <x:v>1884.5697021484375</x:v>
      </x:c>
      <x:c r="H1631" s="137" t="n">
        <x:v>122.64573669433594</x:v>
      </x:c>
      <x:c r="I1631" s="137" t="n">
        <x:v>210.56043956043953</x:v>
      </x:c>
      <x:c r="J1631" s="137" t="n">
        <x:v>1403.5093786426444</x:v>
      </x:c>
      <x:c r="K1631" s="136" t="str">
        <x:v>map-77</x:v>
      </x:c>
      <x:c r="L1631" s="136" t="str">
        <x:v>HarpersFerry | Skirmish | River Crossing||Spawn | USA Spawnpoint_RC_Base_USA_1stMD [map-77/005]</x:v>
      </x:c>
      <x:c r="M1631" s="35"/>
      <x:c r="N1631" s="35"/>
      <x:c r="O1631" s="35"/>
      <x:c r="P1631" s="35"/>
      <x:c r="Q1631" s="35"/>
      <x:c r="R1631" s="35"/>
      <x:c r="S1631" s="35"/>
      <x:c r="T1631" s="35"/>
      <x:c r="U1631" s="35"/>
      <x:c r="V1631" s="35"/>
      <x:c r="W1631" s="35"/>
      <x:c r="X1631" s="35"/>
      <x:c r="Y1631" s="35"/>
      <x:c r="Z1631" s="35"/>
      <x:c r="AA1631" s="35"/>
    </x:row>
    <x:row r="1632">
      <x:c r="A1632" s="136" t="str">
        <x:v>HarpersFerry | Skirmish | River Crossing</x:v>
      </x:c>
      <x:c r="B1632" s="136" t="str">
        <x:v>Artillery | CSA Spawnpoint_RC_CSA_Arty_Base [map-77/006]</x:v>
      </x:c>
      <x:c r="C1632" s="136" t="str">
        <x:v>battery</x:v>
      </x:c>
      <x:c r="D1632" s="136" t="str">
        <x:v>CSA</x:v>
      </x:c>
      <x:c r="E1632" s="136" t="str">
        <x:v>Spawnpoint_RC_CSA_Arty_Base</x:v>
      </x:c>
      <x:c r="F1632" s="137" t="n">
        <x:v>3044.429931640625</x:v>
      </x:c>
      <x:c r="G1632" s="137" t="n">
        <x:v>1934.4737548828125</x:v>
      </x:c>
      <x:c r="H1632" s="137" t="n">
        <x:v>91.4260025024414</x:v>
      </x:c>
      <x:c r="I1632" s="137" t="n">
        <x:v>2037.9567307692307</x:v>
      </x:c>
      <x:c r="J1632" s="137" t="n">
        <x:v>1265.2502815312935</x:v>
      </x:c>
      <x:c r="K1632" s="136" t="str">
        <x:v>map-77</x:v>
      </x:c>
      <x:c r="L1632" s="136" t="str">
        <x:v>HarpersFerry | Skirmish | River Crossing||Artillery | CSA Spawnpoint_RC_CSA_Arty_Base [map-77/006]</x:v>
      </x:c>
      <x:c r="M1632" s="35"/>
      <x:c r="N1632" s="35"/>
      <x:c r="O1632" s="35"/>
      <x:c r="P1632" s="35"/>
      <x:c r="Q1632" s="35"/>
      <x:c r="R1632" s="35"/>
      <x:c r="S1632" s="35"/>
      <x:c r="T1632" s="35"/>
      <x:c r="U1632" s="35"/>
      <x:c r="V1632" s="35"/>
      <x:c r="W1632" s="35"/>
      <x:c r="X1632" s="35"/>
      <x:c r="Y1632" s="35"/>
      <x:c r="Z1632" s="35"/>
      <x:c r="AA1632" s="35"/>
    </x:row>
    <x:row r="1633">
      <x:c r="A1633" s="136" t="str">
        <x:v>HarpersFerry | Skirmish | River Crossing</x:v>
      </x:c>
      <x:c r="B1633" s="136" t="str">
        <x:v>Spawn | CSA Spawnpoint_RC_Base_CSA_14thTN-2 [map-77/007]</x:v>
      </x:c>
      <x:c r="C1633" s="136" t="str">
        <x:v>spawn</x:v>
      </x:c>
      <x:c r="D1633" s="136" t="str">
        <x:v>CSA</x:v>
      </x:c>
      <x:c r="E1633" s="136" t="str">
        <x:v>Spawnpoint_RC_Base_CSA_14thTN-2</x:v>
      </x:c>
      <x:c r="F1633" s="137" t="n">
        <x:v>3006.45556640625</x:v>
      </x:c>
      <x:c r="G1633" s="137" t="n">
        <x:v>1929.0023193359375</x:v>
      </x:c>
      <x:c r="H1633" s="137" t="n">
        <x:v>91.8239517211914</x:v>
      </x:c>
      <x:c r="I1633" s="137" t="n">
        <x:v>1931.1277472527472</x:v>
      </x:c>
      <x:c r="J1633" s="137" t="n">
        <x:v>1280.5377072276096</x:v>
      </x:c>
      <x:c r="K1633" s="136" t="str">
        <x:v>map-77</x:v>
      </x:c>
      <x:c r="L1633" s="136" t="str">
        <x:v>HarpersFerry | Skirmish | River Crossing||Spawn | CSA Spawnpoint_RC_Base_CSA_14thTN-2 [map-77/007]</x:v>
      </x:c>
      <x:c r="M1633" s="35"/>
      <x:c r="N1633" s="35"/>
      <x:c r="O1633" s="35"/>
      <x:c r="P1633" s="35"/>
      <x:c r="Q1633" s="35"/>
      <x:c r="R1633" s="35"/>
      <x:c r="S1633" s="35"/>
      <x:c r="T1633" s="35"/>
      <x:c r="U1633" s="35"/>
      <x:c r="V1633" s="35"/>
      <x:c r="W1633" s="35"/>
      <x:c r="X1633" s="35"/>
      <x:c r="Y1633" s="35"/>
      <x:c r="Z1633" s="35"/>
      <x:c r="AA1633" s="35"/>
    </x:row>
    <x:row r="1634">
      <x:c r="A1634" s="136" t="str">
        <x:v>HarpersFerry | Skirmish | River Crossing</x:v>
      </x:c>
      <x:c r="B1634" s="136" t="str">
        <x:v>Spawn | CSA Spawnpoint_RC_Base_CSA_18thNC [map-77/008]</x:v>
      </x:c>
      <x:c r="C1634" s="136" t="str">
        <x:v>spawn</x:v>
      </x:c>
      <x:c r="D1634" s="136" t="str">
        <x:v>CSA</x:v>
      </x:c>
      <x:c r="E1634" s="136" t="str">
        <x:v>Spawnpoint_RC_Base_CSA_18thNC</x:v>
      </x:c>
      <x:c r="F1634" s="137" t="n">
        <x:v>2608.302734375</x:v>
      </x:c>
      <x:c r="G1634" s="137" t="n">
        <x:v>2190.483154296875</x:v>
      </x:c>
      <x:c r="H1634" s="137" t="n">
        <x:v>88.76221466064453</x:v>
      </x:c>
      <x:c r="I1634" s="137" t="n">
        <x:v>811.0494505494504</x:v>
      </x:c>
      <x:c r="J1634" s="137" t="n">
        <x:v>541.3740337202826</x:v>
      </x:c>
      <x:c r="K1634" s="136" t="str">
        <x:v>map-77</x:v>
      </x:c>
      <x:c r="L1634" s="136" t="str">
        <x:v>HarpersFerry | Skirmish | River Crossing||Spawn | CSA Spawnpoint_RC_Base_CSA_18thNC [map-77/008]</x:v>
      </x:c>
      <x:c r="M1634" s="35"/>
      <x:c r="N1634" s="35"/>
      <x:c r="O1634" s="35"/>
      <x:c r="P1634" s="35"/>
      <x:c r="Q1634" s="35"/>
      <x:c r="R1634" s="35"/>
      <x:c r="S1634" s="35"/>
      <x:c r="T1634" s="35"/>
      <x:c r="U1634" s="35"/>
      <x:c r="V1634" s="35"/>
      <x:c r="W1634" s="35"/>
      <x:c r="X1634" s="35"/>
      <x:c r="Y1634" s="35"/>
      <x:c r="Z1634" s="35"/>
      <x:c r="AA1634" s="35"/>
    </x:row>
    <x:row r="1635">
      <x:c r="A1635" s="136" t="str">
        <x:v>HarpersFerry | Skirmish | River Crossing</x:v>
      </x:c>
      <x:c r="B1635" s="136" t="str">
        <x:v>Spawn | CSA Spawnpoint_RC_Base_CSA_14thTN [map-77/009]</x:v>
      </x:c>
      <x:c r="C1635" s="136" t="str">
        <x:v>spawn</x:v>
      </x:c>
      <x:c r="D1635" s="136" t="str">
        <x:v>CSA</x:v>
      </x:c>
      <x:c r="E1635" s="136" t="str">
        <x:v>Spawnpoint_RC_Base_CSA_14thTN</x:v>
      </x:c>
      <x:c r="F1635" s="137" t="n">
        <x:v>3024.706298828125</x:v>
      </x:c>
      <x:c r="G1635" s="137" t="n">
        <x:v>1931.119873046875</x:v>
      </x:c>
      <x:c r="H1635" s="137" t="n">
        <x:v>91.8239517211914</x:v>
      </x:c>
      <x:c r="I1635" s="137" t="n">
        <x:v>1982.4704670329668</x:v>
      </x:c>
      <x:c r="J1635" s="137" t="n">
        <x:v>1274.6349423509391</x:v>
      </x:c>
      <x:c r="K1635" s="136" t="str">
        <x:v>map-77</x:v>
      </x:c>
      <x:c r="L1635" s="136" t="str">
        <x:v>HarpersFerry | Skirmish | River Crossing||Spawn | CSA Spawnpoint_RC_Base_CSA_14thTN [map-77/009]</x:v>
      </x:c>
      <x:c r="M1635" s="35"/>
      <x:c r="N1635" s="35"/>
      <x:c r="O1635" s="35"/>
      <x:c r="P1635" s="35"/>
      <x:c r="Q1635" s="35"/>
      <x:c r="R1635" s="35"/>
      <x:c r="S1635" s="35"/>
      <x:c r="T1635" s="35"/>
      <x:c r="U1635" s="35"/>
      <x:c r="V1635" s="35"/>
      <x:c r="W1635" s="35"/>
      <x:c r="X1635" s="35"/>
      <x:c r="Y1635" s="35"/>
      <x:c r="Z1635" s="35"/>
      <x:c r="AA1635" s="35"/>
    </x:row>
    <x:row r="1636">
      <x:c r="A1636" s="136" t="str">
        <x:v>HarpersFerry | Skirmish | River Crossing</x:v>
      </x:c>
      <x:c r="B1636" s="136" t="str">
        <x:v>Spawn | CSA Spawnpoint_RC_Base_CSA_18thNC-2 [map-77/010]</x:v>
      </x:c>
      <x:c r="C1636" s="136" t="str">
        <x:v>spawn</x:v>
      </x:c>
      <x:c r="D1636" s="136" t="str">
        <x:v>CSA</x:v>
      </x:c>
      <x:c r="E1636" s="136" t="str">
        <x:v>Spawnpoint_RC_Base_CSA_18thNC-2</x:v>
      </x:c>
      <x:c r="F1636" s="137" t="n">
        <x:v>2618.848388671875</x:v>
      </x:c>
      <x:c r="G1636" s="137" t="n">
        <x:v>2180.05029296875</x:v>
      </x:c>
      <x:c r="H1636" s="137" t="n">
        <x:v>88.89127349853516</x:v>
      </x:c>
      <x:c r="I1636" s="137" t="n">
        <x:v>840.7163461538461</x:v>
      </x:c>
      <x:c r="J1636" s="137" t="n">
        <x:v>570.84533792171</x:v>
      </x:c>
      <x:c r="K1636" s="136" t="str">
        <x:v>map-77</x:v>
      </x:c>
      <x:c r="L1636" s="136" t="str">
        <x:v>HarpersFerry | Skirmish | River Crossing||Spawn | CSA Spawnpoint_RC_Base_CSA_18thNC-2 [map-77/010]</x:v>
      </x:c>
      <x:c r="M1636" s="35"/>
      <x:c r="N1636" s="35"/>
      <x:c r="O1636" s="35"/>
      <x:c r="P1636" s="35"/>
      <x:c r="Q1636" s="35"/>
      <x:c r="R1636" s="35"/>
      <x:c r="S1636" s="35"/>
      <x:c r="T1636" s="35"/>
      <x:c r="U1636" s="35"/>
      <x:c r="V1636" s="35"/>
      <x:c r="W1636" s="35"/>
      <x:c r="X1636" s="35"/>
      <x:c r="Y1636" s="35"/>
      <x:c r="Z1636" s="35"/>
      <x:c r="AA1636" s="35"/>
    </x:row>
    <x:row r="1637">
      <x:c r="A1637" s="136" t="str">
        <x:v>HarpersFerry | Skirmish | River Crossing</x:v>
      </x:c>
      <x:c r="B1637" s="136" t="str">
        <x:v>Spawn | USA Spawnpoint_RC_Base_USA_12thNyMi-2 [map-77/011]</x:v>
      </x:c>
      <x:c r="C1637" s="136" t="str">
        <x:v>spawn</x:v>
      </x:c>
      <x:c r="D1637" s="136" t="str">
        <x:v>USA</x:v>
      </x:c>
      <x:c r="E1637" s="136" t="str">
        <x:v>Spawnpoint_RC_Base_USA_12thNyMi-2</x:v>
      </x:c>
      <x:c r="F1637" s="137" t="n">
        <x:v>2395.308837890625</x:v>
      </x:c>
      <x:c r="G1637" s="137" t="n">
        <x:v>1982.0264892578125</x:v>
      </x:c>
      <x:c r="H1637" s="137" t="n">
        <x:v>108.25112915039062</x:v>
      </x:c>
      <x:c r="I1637" s="137" t="n">
        <x:v>211.85782967032964</x:v>
      </x:c>
      <x:c r="J1637" s="137" t="n">
        <x:v>1128.5917445806076</x:v>
      </x:c>
      <x:c r="K1637" s="136" t="str">
        <x:v>map-77</x:v>
      </x:c>
      <x:c r="L1637" s="136" t="str">
        <x:v>HarpersFerry | Skirmish | River Crossing||Spawn | USA Spawnpoint_RC_Base_USA_12thNyMi-2 [map-77/011]</x:v>
      </x:c>
      <x:c r="M1637" s="35"/>
      <x:c r="N1637" s="35"/>
      <x:c r="O1637" s="35"/>
      <x:c r="P1637" s="35"/>
      <x:c r="Q1637" s="35"/>
      <x:c r="R1637" s="35"/>
      <x:c r="S1637" s="35"/>
      <x:c r="T1637" s="35"/>
      <x:c r="U1637" s="35"/>
      <x:c r="V1637" s="35"/>
      <x:c r="W1637" s="35"/>
      <x:c r="X1637" s="35"/>
      <x:c r="Y1637" s="35"/>
      <x:c r="Z1637" s="35"/>
      <x:c r="AA1637" s="35"/>
    </x:row>
    <x:row r="1638">
      <x:c r="A1638" s="136" t="str">
        <x:v>HarpersFerry | Skirmish | River Crossing</x:v>
      </x:c>
      <x:c r="B1638" s="136" t="str">
        <x:v>Spawn | USA Spawnpoint_RC_Defend_USA_12thNYMi-2 [map-77/012]</x:v>
      </x:c>
      <x:c r="C1638" s="136" t="str">
        <x:v>spawn</x:v>
      </x:c>
      <x:c r="D1638" s="136" t="str">
        <x:v>USA</x:v>
      </x:c>
      <x:c r="E1638" s="136" t="str">
        <x:v>Spawnpoint_RC_Defend_USA_12thNYMi-2</x:v>
      </x:c>
      <x:c r="F1638" s="137" t="n">
        <x:v>2583.193115234375</x:v>
      </x:c>
      <x:c r="G1638" s="137" t="n">
        <x:v>1904.7659912109375</x:v>
      </x:c>
      <x:c r="H1638" s="137" t="n">
        <x:v>87.9306869506836</x:v>
      </x:c>
      <x:c r="I1638" s="137" t="n">
        <x:v>740.411401098901</x:v>
      </x:c>
      <x:c r="J1638" s="137" t="n">
        <x:v>1347.2667488187426</x:v>
      </x:c>
      <x:c r="K1638" s="136" t="str">
        <x:v>map-77</x:v>
      </x:c>
      <x:c r="L1638" s="136" t="str">
        <x:v>HarpersFerry | Skirmish | River Crossing||Spawn | USA Spawnpoint_RC_Defend_USA_12thNYMi-2 [map-77/012]</x:v>
      </x:c>
      <x:c r="M1638" s="35"/>
      <x:c r="N1638" s="35"/>
      <x:c r="O1638" s="35"/>
      <x:c r="P1638" s="35"/>
      <x:c r="Q1638" s="35"/>
      <x:c r="R1638" s="35"/>
      <x:c r="S1638" s="35"/>
      <x:c r="T1638" s="35"/>
      <x:c r="U1638" s="35"/>
      <x:c r="V1638" s="35"/>
      <x:c r="W1638" s="35"/>
      <x:c r="X1638" s="35"/>
      <x:c r="Y1638" s="35"/>
      <x:c r="Z1638" s="35"/>
      <x:c r="AA1638" s="35"/>
    </x:row>
    <x:row r="1639">
      <x:c r="A1639" s="136" t="str">
        <x:v>HarpersFerry | Skirmish | River Crossing</x:v>
      </x:c>
      <x:c r="B1639" s="136" t="str">
        <x:v>Artillery | CSA Spawnpoint_RC_CSA_Arty_Carlton_Forward [map-77/013]</x:v>
      </x:c>
      <x:c r="C1639" s="136" t="str">
        <x:v>battery</x:v>
      </x:c>
      <x:c r="D1639" s="136" t="str">
        <x:v>CSA</x:v>
      </x:c>
      <x:c r="E1639" s="136" t="str">
        <x:v>Spawnpoint_RC_CSA_Arty_Carlton_Forward</x:v>
      </x:c>
      <x:c r="F1639" s="137" t="n">
        <x:v>2686.998291015625</x:v>
      </x:c>
      <x:c r="G1639" s="137" t="n">
        <x:v>2137.517578125</x:v>
      </x:c>
      <x:c r="H1639" s="137" t="n">
        <x:v>91.72354888916016</x:v>
      </x:c>
      <x:c r="I1639" s="137" t="n">
        <x:v>1032.4347527472526</x:v>
      </x:c>
      <x:c r="J1639" s="137" t="n">
        <x:v>691.0915062210233</x:v>
      </x:c>
      <x:c r="K1639" s="136" t="str">
        <x:v>map-77</x:v>
      </x:c>
      <x:c r="L1639" s="136" t="str">
        <x:v>HarpersFerry | Skirmish | River Crossing||Artillery | CSA Spawnpoint_RC_CSA_Arty_Carlton_Forward [map-77/013]</x:v>
      </x:c>
      <x:c r="M1639" s="35"/>
      <x:c r="N1639" s="35"/>
      <x:c r="O1639" s="35"/>
      <x:c r="P1639" s="35"/>
      <x:c r="Q1639" s="35"/>
      <x:c r="R1639" s="35"/>
      <x:c r="S1639" s="35"/>
      <x:c r="T1639" s="35"/>
      <x:c r="U1639" s="35"/>
      <x:c r="V1639" s="35"/>
      <x:c r="W1639" s="35"/>
      <x:c r="X1639" s="35"/>
      <x:c r="Y1639" s="35"/>
      <x:c r="Z1639" s="35"/>
      <x:c r="AA1639" s="35"/>
    </x:row>
    <x:row r="1640">
      <x:c r="A1640" s="136" t="str">
        <x:v>HarpersFerry | Skirmish | River Crossing</x:v>
      </x:c>
      <x:c r="B1640" s="136" t="str">
        <x:v>Spawn | USA Spawnpoint_RC_Defend_USA_1stMD-2 [map-77/014]</x:v>
      </x:c>
      <x:c r="C1640" s="136" t="str">
        <x:v>spawn</x:v>
      </x:c>
      <x:c r="D1640" s="136" t="str">
        <x:v>USA</x:v>
      </x:c>
      <x:c r="E1640" s="136" t="str">
        <x:v>Spawnpoint_RC_Defend_USA_1stMD-2</x:v>
      </x:c>
      <x:c r="F1640" s="137" t="n">
        <x:v>2574.02197265625</x:v>
      </x:c>
      <x:c r="G1640" s="137" t="n">
        <x:v>1895.060302734375</x:v>
      </x:c>
      <x:c r="H1640" s="137" t="n">
        <x:v>87.73564147949219</x:v>
      </x:c>
      <x:c r="I1640" s="137" t="n">
        <x:v>714.6112637362636</x:v>
      </x:c>
      <x:c r="J1640" s="137" t="n">
        <x:v>1374.610343650488</x:v>
      </x:c>
      <x:c r="K1640" s="136" t="str">
        <x:v>map-77</x:v>
      </x:c>
      <x:c r="L1640" s="136" t="str">
        <x:v>HarpersFerry | Skirmish | River Crossing||Spawn | USA Spawnpoint_RC_Defend_USA_1stMD-2 [map-77/014]</x:v>
      </x:c>
      <x:c r="M1640" s="35"/>
      <x:c r="N1640" s="35"/>
      <x:c r="O1640" s="35"/>
      <x:c r="P1640" s="35"/>
      <x:c r="Q1640" s="35"/>
      <x:c r="R1640" s="35"/>
      <x:c r="S1640" s="35"/>
      <x:c r="T1640" s="35"/>
      <x:c r="U1640" s="35"/>
      <x:c r="V1640" s="35"/>
      <x:c r="W1640" s="35"/>
      <x:c r="X1640" s="35"/>
      <x:c r="Y1640" s="35"/>
      <x:c r="Z1640" s="35"/>
      <x:c r="AA1640" s="35"/>
    </x:row>
    <x:row r="1641">
      <x:c r="A1641" s="136" t="str">
        <x:v>HarpersFerry | Skirmish | River Crossing</x:v>
      </x:c>
      <x:c r="B1641" s="136" t="str">
        <x:v>Artillery | CSA Spawnpoint_RC_CSA_Arty_Manly_Forward [map-77/015]</x:v>
      </x:c>
      <x:c r="C1641" s="136" t="str">
        <x:v>battery</x:v>
      </x:c>
      <x:c r="D1641" s="136" t="str">
        <x:v>CSA</x:v>
      </x:c>
      <x:c r="E1641" s="136" t="str">
        <x:v>Spawnpoint_RC_CSA_Arty_Manly_Forward</x:v>
      </x:c>
      <x:c r="F1641" s="137" t="n">
        <x:v>2624.17724609375</x:v>
      </x:c>
      <x:c r="G1641" s="137" t="n">
        <x:v>2348.935546875</x:v>
      </x:c>
      <x:c r="H1641" s="137" t="n">
        <x:v>156.52464294433594</x:v>
      </x:c>
      <x:c r="I1641" s="137" t="n">
        <x:v>855.7074175824175</x:v>
      </x:c>
      <x:c r="J1641" s="137" t="n">
        <x:v>94.45138689082918</x:v>
      </x:c>
      <x:c r="K1641" s="136" t="str">
        <x:v>map-77</x:v>
      </x:c>
      <x:c r="L1641" s="136" t="str">
        <x:v>HarpersFerry | Skirmish | River Crossing||Artillery | CSA Spawnpoint_RC_CSA_Arty_Manly_Forward [map-77/015]</x:v>
      </x:c>
      <x:c r="M1641" s="35"/>
      <x:c r="N1641" s="35"/>
      <x:c r="O1641" s="35"/>
      <x:c r="P1641" s="35"/>
      <x:c r="Q1641" s="35"/>
      <x:c r="R1641" s="35"/>
      <x:c r="S1641" s="35"/>
      <x:c r="T1641" s="35"/>
      <x:c r="U1641" s="35"/>
      <x:c r="V1641" s="35"/>
      <x:c r="W1641" s="35"/>
      <x:c r="X1641" s="35"/>
      <x:c r="Y1641" s="35"/>
      <x:c r="Z1641" s="35"/>
      <x:c r="AA1641" s="35"/>
    </x:row>
    <x:row r="1642">
      <x:c r="A1642" s="136" t="str">
        <x:v>HarpersFerry | Skirmish | River Crossing</x:v>
      </x:c>
      <x:c r="B1642" s="136" t="str">
        <x:v>Objective | Victory_River_Crossing [map-77/016]</x:v>
      </x:c>
      <x:c r="C1642" s="136" t="str">
        <x:v>objective</x:v>
      </x:c>
      <x:c r="D1642" s="136" t="str"/>
      <x:c r="E1642" s="136" t="str">
        <x:v>Victory_River_Crossing</x:v>
      </x:c>
      <x:c r="F1642" s="137" t="n">
        <x:v>2613.754150390625</x:v>
      </x:c>
      <x:c r="G1642" s="137" t="n">
        <x:v>1877.0906982421875</x:v>
      </x:c>
      <x:c r="H1642" s="137" t="n">
        <x:v>91.50422668457031</x:v>
      </x:c>
      <x:c r="I1642" s="137" t="n">
        <x:v>826.3853021978022</x:v>
      </x:c>
      <x:c r="J1642" s="137" t="n">
        <x:v>1425.4554179330883</x:v>
      </x:c>
      <x:c r="K1642" s="136" t="str">
        <x:v>map-77</x:v>
      </x:c>
      <x:c r="L1642" s="136" t="str">
        <x:v>HarpersFerry | Skirmish | River Crossing||Objective | Victory_River_Crossing [map-77/016]</x:v>
      </x:c>
      <x:c r="M1642" s="35"/>
      <x:c r="N1642" s="35"/>
      <x:c r="O1642" s="35"/>
      <x:c r="P1642" s="35"/>
      <x:c r="Q1642" s="35"/>
      <x:c r="R1642" s="35"/>
      <x:c r="S1642" s="35"/>
      <x:c r="T1642" s="35"/>
      <x:c r="U1642" s="35"/>
      <x:c r="V1642" s="35"/>
      <x:c r="W1642" s="35"/>
      <x:c r="X1642" s="35"/>
      <x:c r="Y1642" s="35"/>
      <x:c r="Z1642" s="35"/>
      <x:c r="AA1642" s="35"/>
    </x:row>
    <x:row r="1643">
      <x:c r="A1643" s="136" t="str">
        <x:v>HarpersFerry | Skirmish | River Crossing</x:v>
      </x:c>
      <x:c r="B1643" s="136" t="str">
        <x:v>Spawn | USA Spawnpoint_RC_Base_USA_1stMD-2 [map-77/017]</x:v>
      </x:c>
      <x:c r="C1643" s="136" t="str">
        <x:v>spawn</x:v>
      </x:c>
      <x:c r="D1643" s="136" t="str">
        <x:v>USA</x:v>
      </x:c>
      <x:c r="E1643" s="136" t="str">
        <x:v>Spawnpoint_RC_Base_USA_1stMD-2</x:v>
      </x:c>
      <x:c r="F1643" s="137" t="n">
        <x:v>2377.48681640625</x:v>
      </x:c>
      <x:c r="G1643" s="137" t="n">
        <x:v>1885.3341064453125</x:v>
      </x:c>
      <x:c r="H1643" s="137" t="n">
        <x:v>125.0208511352539</x:v>
      </x:c>
      <x:c r="I1643" s="137" t="n">
        <x:v>161.72115384615384</x:v>
      </x:c>
      <x:c r="J1643" s="137" t="n">
        <x:v>1401.2857708486615</x:v>
      </x:c>
      <x:c r="K1643" s="136" t="str">
        <x:v>map-77</x:v>
      </x:c>
      <x:c r="L1643" s="136" t="str">
        <x:v>HarpersFerry | Skirmish | River Crossing||Spawn | USA Spawnpoint_RC_Base_USA_1stMD-2 [map-77/017]</x:v>
      </x:c>
      <x:c r="M1643" s="35"/>
      <x:c r="N1643" s="35"/>
      <x:c r="O1643" s="35"/>
      <x:c r="P1643" s="35"/>
      <x:c r="Q1643" s="35"/>
      <x:c r="R1643" s="35"/>
      <x:c r="S1643" s="35"/>
      <x:c r="T1643" s="35"/>
      <x:c r="U1643" s="35"/>
      <x:c r="V1643" s="35"/>
      <x:c r="W1643" s="35"/>
      <x:c r="X1643" s="35"/>
      <x:c r="Y1643" s="35"/>
      <x:c r="Z1643" s="35"/>
      <x:c r="AA1643" s="35"/>
    </x:row>
    <x:row r="1644">
      <x:c r="A1644" s="136" t="str">
        <x:v>HarpersFerry | Skirmish | River Crossing</x:v>
      </x:c>
      <x:c r="B1644" s="136" t="str">
        <x:v>Artillery | CSA Spawnpoint_RC_CSA_Arty_Read_Forward [map-77/018]</x:v>
      </x:c>
      <x:c r="C1644" s="136" t="str">
        <x:v>battery</x:v>
      </x:c>
      <x:c r="D1644" s="136" t="str">
        <x:v>CSA</x:v>
      </x:c>
      <x:c r="E1644" s="136" t="str">
        <x:v>Spawnpoint_RC_CSA_Arty_Read_Forward</x:v>
      </x:c>
      <x:c r="F1644" s="137" t="n">
        <x:v>2967.9404296875</x:v>
      </x:c>
      <x:c r="G1644" s="137" t="n">
        <x:v>1923.9918212890625</x:v>
      </x:c>
      <x:c r="H1644" s="137" t="n">
        <x:v>91.95284271240234</x:v>
      </x:c>
      <x:c r="I1644" s="137" t="n">
        <x:v>1822.7774725274724</x:v>
      </x:c>
      <x:c r="J1644" s="137" t="n">
        <x:v>1294.5227620023059</x:v>
      </x:c>
      <x:c r="K1644" s="136" t="str">
        <x:v>map-77</x:v>
      </x:c>
      <x:c r="L1644" s="136" t="str">
        <x:v>HarpersFerry | Skirmish | River Crossing||Artillery | CSA Spawnpoint_RC_CSA_Arty_Read_Forward [map-77/018]</x:v>
      </x:c>
      <x:c r="M1644" s="35"/>
      <x:c r="N1644" s="35"/>
      <x:c r="O1644" s="35"/>
      <x:c r="P1644" s="35"/>
      <x:c r="Q1644" s="35"/>
      <x:c r="R1644" s="35"/>
      <x:c r="S1644" s="35"/>
      <x:c r="T1644" s="35"/>
      <x:c r="U1644" s="35"/>
      <x:c r="V1644" s="35"/>
      <x:c r="W1644" s="35"/>
      <x:c r="X1644" s="35"/>
      <x:c r="Y1644" s="35"/>
      <x:c r="Z1644" s="35"/>
      <x:c r="AA1644" s="35"/>
    </x:row>
    <x:row r="1645">
      <x:c r="A1645" s="136" t="str">
        <x:v>HarpersFerry | Skirmish | River Crossing</x:v>
      </x:c>
      <x:c r="B1645" s="136" t="str">
        <x:v>Spawn | USA Spawnpoint_RC_Base_USA_12thNyMi [map-77/019]</x:v>
      </x:c>
      <x:c r="C1645" s="136" t="str">
        <x:v>spawn</x:v>
      </x:c>
      <x:c r="D1645" s="136" t="str">
        <x:v>USA</x:v>
      </x:c>
      <x:c r="E1645" s="136" t="str">
        <x:v>Spawnpoint_RC_Base_USA_12thNyMi</x:v>
      </x:c>
      <x:c r="F1645" s="137" t="n">
        <x:v>2375.778076171875</x:v>
      </x:c>
      <x:c r="G1645" s="137" t="n">
        <x:v>1991.9423828125</x:v>
      </x:c>
      <x:c r="H1645" s="137" t="n">
        <x:v>110.92875671386719</x:v>
      </x:c>
      <x:c r="I1645" s="137" t="n">
        <x:v>156.91414835164832</x:v>
      </x:c>
      <x:c r="J1645" s="137" t="n">
        <x:v>1100.5439572190835</x:v>
      </x:c>
      <x:c r="K1645" s="136" t="str">
        <x:v>map-77</x:v>
      </x:c>
      <x:c r="L1645" s="136" t="str">
        <x:v>HarpersFerry | Skirmish | River Crossing||Spawn | USA Spawnpoint_RC_Base_USA_12thNyMi [map-77/019]</x:v>
      </x:c>
      <x:c r="M1645" s="35"/>
      <x:c r="N1645" s="35"/>
      <x:c r="O1645" s="35"/>
      <x:c r="P1645" s="35"/>
      <x:c r="Q1645" s="35"/>
      <x:c r="R1645" s="35"/>
      <x:c r="S1645" s="35"/>
      <x:c r="T1645" s="35"/>
      <x:c r="U1645" s="35"/>
      <x:c r="V1645" s="35"/>
      <x:c r="W1645" s="35"/>
      <x:c r="X1645" s="35"/>
      <x:c r="Y1645" s="35"/>
      <x:c r="Z1645" s="35"/>
      <x:c r="AA1645" s="35"/>
    </x:row>
    <x:row r="1646">
      <x:c r="A1646" s="136" t="str">
        <x:v>HarpersFerry | Skirmish | River Crossing</x:v>
      </x:c>
      <x:c r="B1646" s="136" t="str">
        <x:v>Spawn | USA Spawnpoint_RC_Defend_USA_12thNYMi [map-77/020]</x:v>
      </x:c>
      <x:c r="C1646" s="136" t="str">
        <x:v>spawn</x:v>
      </x:c>
      <x:c r="D1646" s="136" t="str">
        <x:v>USA</x:v>
      </x:c>
      <x:c r="E1646" s="136" t="str">
        <x:v>Spawnpoint_RC_Defend_USA_12thNYMi</x:v>
      </x:c>
      <x:c r="F1646" s="137" t="n">
        <x:v>2592.260009765625</x:v>
      </x:c>
      <x:c r="G1646" s="137" t="n">
        <x:v>1893.9237060546875</x:v>
      </x:c>
      <x:c r="H1646" s="137" t="n">
        <x:v>88.53755187988281</x:v>
      </x:c>
      <x:c r="I1646" s="137" t="n">
        <x:v>765.9182692307692</x:v>
      </x:c>
      <x:c r="J1646" s="137" t="n">
        <x:v>1377.8872816337796</x:v>
      </x:c>
      <x:c r="K1646" s="136" t="str">
        <x:v>map-77</x:v>
      </x:c>
      <x:c r="L1646" s="136" t="str">
        <x:v>HarpersFerry | Skirmish | River Crossing||Spawn | USA Spawnpoint_RC_Defend_USA_12thNYMi [map-77/020]</x:v>
      </x:c>
      <x:c r="M1646" s="35"/>
      <x:c r="N1646" s="35"/>
      <x:c r="O1646" s="35"/>
      <x:c r="P1646" s="35"/>
      <x:c r="Q1646" s="35"/>
      <x:c r="R1646" s="35"/>
      <x:c r="S1646" s="35"/>
      <x:c r="T1646" s="35"/>
      <x:c r="U1646" s="35"/>
      <x:c r="V1646" s="35"/>
      <x:c r="W1646" s="35"/>
      <x:c r="X1646" s="35"/>
      <x:c r="Y1646" s="35"/>
      <x:c r="Z1646" s="35"/>
      <x:c r="AA1646" s="35"/>
    </x:row>
    <x:row r="1647">
      <x:c r="A1647" s="136" t="str">
        <x:v>HarpersFerry | Skirmish | River Crossing</x:v>
      </x:c>
      <x:c r="B1647" s="136" t="str">
        <x:v>Artillery | CSA Spawnpoint_RC_CSA_Arty_Manly_Forward-2 [map-77/021]</x:v>
      </x:c>
      <x:c r="C1647" s="136" t="str">
        <x:v>battery</x:v>
      </x:c>
      <x:c r="D1647" s="136" t="str">
        <x:v>CSA</x:v>
      </x:c>
      <x:c r="E1647" s="136" t="str">
        <x:v>Spawnpoint_RC_CSA_Arty_Manly_Forward-2</x:v>
      </x:c>
      <x:c r="F1647" s="137" t="n">
        <x:v>2624.21435546875</x:v>
      </x:c>
      <x:c r="G1647" s="137" t="n">
        <x:v>2348.91064453125</x:v>
      </x:c>
      <x:c r="H1647" s="137" t="n">
        <x:v>156.52735900878906</x:v>
      </x:c>
      <x:c r="I1647" s="137" t="n">
        <x:v>855.8118131868131</x:v>
      </x:c>
      <x:c r="J1647" s="137" t="n">
        <x:v>94.52177862013893</x:v>
      </x:c>
      <x:c r="K1647" s="136" t="str">
        <x:v>map-77</x:v>
      </x:c>
      <x:c r="L1647" s="136" t="str">
        <x:v>HarpersFerry | Skirmish | River Crossing||Artillery | CSA Spawnpoint_RC_CSA_Arty_Manly_Forward-2 [map-77/021]</x:v>
      </x:c>
      <x:c r="M1647" s="35"/>
      <x:c r="N1647" s="35"/>
      <x:c r="O1647" s="35"/>
      <x:c r="P1647" s="35"/>
      <x:c r="Q1647" s="35"/>
      <x:c r="R1647" s="35"/>
      <x:c r="S1647" s="35"/>
      <x:c r="T1647" s="35"/>
      <x:c r="U1647" s="35"/>
      <x:c r="V1647" s="35"/>
      <x:c r="W1647" s="35"/>
      <x:c r="X1647" s="35"/>
      <x:c r="Y1647" s="35"/>
      <x:c r="Z1647" s="35"/>
      <x:c r="AA1647" s="35"/>
    </x:row>
    <x:row r="1648">
      <x:c r="A1648" s="136" t="str">
        <x:v>HarpersFerry | Skirmish | River Crossing</x:v>
      </x:c>
      <x:c r="B1648" s="136" t="str">
        <x:v>Gun | 12-pounder Napoleon (USA) · 3InchOrdnanceRifle-121 [map-77/022]</x:v>
      </x:c>
      <x:c r="C1648" s="136" t="str">
        <x:v>gun_spawn</x:v>
      </x:c>
      <x:c r="D1648" s="136" t="str"/>
      <x:c r="E1648" s="136" t="str">
        <x:v>12-pounder Napoleon (USA) · 3InchOrdnanceRifle-121</x:v>
      </x:c>
      <x:c r="F1648" s="137" t="n">
        <x:v>2597.595703125</x:v>
      </x:c>
      <x:c r="G1648" s="137" t="n">
        <x:v>2340.624755859375</x:v>
      </x:c>
      <x:c r="H1648" s="137" t="n">
        <x:v>155.88555908203125</x:v>
      </x:c>
      <x:c r="I1648" s="137" t="n">
        <x:v>780.9285714285713</x:v>
      </x:c>
      <x:c r="J1648" s="137" t="n">
        <x:v>117.79260062117564</x:v>
      </x:c>
      <x:c r="K1648" s="136" t="str">
        <x:v>map-77</x:v>
      </x:c>
      <x:c r="L1648" s="136" t="str">
        <x:v>HarpersFerry | Skirmish | River Crossing||Gun | 12-pounder Napoleon (USA) · 3InchOrdnanceRifle-121 [map-77/022]</x:v>
      </x:c>
      <x:c r="M1648" s="35"/>
      <x:c r="N1648" s="35"/>
      <x:c r="O1648" s="35"/>
      <x:c r="P1648" s="35"/>
      <x:c r="Q1648" s="35"/>
      <x:c r="R1648" s="35"/>
      <x:c r="S1648" s="35"/>
      <x:c r="T1648" s="35"/>
      <x:c r="U1648" s="35"/>
      <x:c r="V1648" s="35"/>
      <x:c r="W1648" s="35"/>
      <x:c r="X1648" s="35"/>
      <x:c r="Y1648" s="35"/>
      <x:c r="Z1648" s="35"/>
      <x:c r="AA1648" s="35"/>
    </x:row>
    <x:row r="1649">
      <x:c r="A1649" s="136" t="str">
        <x:v>HarpersFerry | Skirmish | River Crossing</x:v>
      </x:c>
      <x:c r="B1649" s="136" t="str">
        <x:v>Gun | 3-inch Ordnance · 3InchOrdnanceRifle-94 [map-77/023]</x:v>
      </x:c>
      <x:c r="C1649" s="136" t="str">
        <x:v>gun_spawn</x:v>
      </x:c>
      <x:c r="D1649" s="136" t="str"/>
      <x:c r="E1649" s="136" t="str">
        <x:v>3-inch Ordnance · 3InchOrdnanceRifle-94</x:v>
      </x:c>
      <x:c r="F1649" s="137" t="n">
        <x:v>2697.647216796875</x:v>
      </x:c>
      <x:c r="G1649" s="137" t="n">
        <x:v>2112.475341796875</x:v>
      </x:c>
      <x:c r="H1649" s="137" t="n">
        <x:v>91.66291809082031</x:v>
      </x:c>
      <x:c r="I1649" s="137" t="n">
        <x:v>1062.3921703296703</x:v>
      </x:c>
      <x:c r="J1649" s="137" t="n">
        <x:v>761.775331744252</x:v>
      </x:c>
      <x:c r="K1649" s="136" t="str">
        <x:v>map-77</x:v>
      </x:c>
      <x:c r="L1649" s="136" t="str">
        <x:v>HarpersFerry | Skirmish | River Crossing||Gun | 3-inch Ordnance · 3InchOrdnanceRifle-94 [map-77/023]</x:v>
      </x:c>
      <x:c r="M1649" s="35"/>
      <x:c r="N1649" s="35"/>
      <x:c r="O1649" s="35"/>
      <x:c r="P1649" s="35"/>
      <x:c r="Q1649" s="35"/>
      <x:c r="R1649" s="35"/>
      <x:c r="S1649" s="35"/>
      <x:c r="T1649" s="35"/>
      <x:c r="U1649" s="35"/>
      <x:c r="V1649" s="35"/>
      <x:c r="W1649" s="35"/>
      <x:c r="X1649" s="35"/>
      <x:c r="Y1649" s="35"/>
      <x:c r="Z1649" s="35"/>
      <x:c r="AA1649" s="35"/>
    </x:row>
    <x:row r="1650">
      <x:c r="A1650" s="136" t="str">
        <x:v>HarpersFerry | Skirmish | River Crossing</x:v>
      </x:c>
      <x:c r="B1650" s="136" t="str">
        <x:v>Gun | 12-pounder Napoleon (USA) · 3InchOrdnanceRifle-125 [map-77/024]</x:v>
      </x:c>
      <x:c r="C1650" s="136" t="str">
        <x:v>gun_spawn</x:v>
      </x:c>
      <x:c r="D1650" s="136" t="str"/>
      <x:c r="E1650" s="136" t="str">
        <x:v>12-pounder Napoleon (USA) · 3InchOrdnanceRifle-125</x:v>
      </x:c>
      <x:c r="F1650" s="137" t="n">
        <x:v>2606.15380859375</x:v>
      </x:c>
      <x:c r="G1650" s="137" t="n">
        <x:v>2338.313720703125</x:v>
      </x:c>
      <x:c r="H1650" s="137" t="n">
        <x:v>155.79354858398438</x:v>
      </x:c>
      <x:c r="I1650" s="137" t="n">
        <x:v>805.0041208791208</x:v>
      </x:c>
      <x:c r="J1650" s="137" t="n">
        <x:v>124.34504625535493</x:v>
      </x:c>
      <x:c r="K1650" s="136" t="str">
        <x:v>map-77</x:v>
      </x:c>
      <x:c r="L1650" s="136" t="str">
        <x:v>HarpersFerry | Skirmish | River Crossing||Gun | 12-pounder Napoleon (USA) · 3InchOrdnanceRifle-125 [map-77/024]</x:v>
      </x:c>
      <x:c r="M1650" s="35"/>
      <x:c r="N1650" s="35"/>
      <x:c r="O1650" s="35"/>
      <x:c r="P1650" s="35"/>
      <x:c r="Q1650" s="35"/>
      <x:c r="R1650" s="35"/>
      <x:c r="S1650" s="35"/>
      <x:c r="T1650" s="35"/>
      <x:c r="U1650" s="35"/>
      <x:c r="V1650" s="35"/>
      <x:c r="W1650" s="35"/>
      <x:c r="X1650" s="35"/>
      <x:c r="Y1650" s="35"/>
      <x:c r="Z1650" s="35"/>
      <x:c r="AA1650" s="35"/>
    </x:row>
    <x:row r="1651">
      <x:c r="A1651" s="136" t="str">
        <x:v>HarpersFerry | Skirmish | River Crossing</x:v>
      </x:c>
      <x:c r="B1651" s="136" t="str">
        <x:v>Gun | 12-pounder Napoleon (USA) · 3InchOrdnanceRifle-92 [map-77/025]</x:v>
      </x:c>
      <x:c r="C1651" s="136" t="str">
        <x:v>gun_spawn</x:v>
      </x:c>
      <x:c r="D1651" s="136" t="str"/>
      <x:c r="E1651" s="136" t="str">
        <x:v>12-pounder Napoleon (USA) · 3InchOrdnanceRifle-92</x:v>
      </x:c>
      <x:c r="F1651" s="137" t="n">
        <x:v>2939.125244140625</x:v>
      </x:c>
      <x:c r="G1651" s="137" t="n">
        <x:v>1919.2593994140625</x:v>
      </x:c>
      <x:c r="H1651" s="137" t="n">
        <x:v>91.72657775878906</x:v>
      </x:c>
      <x:c r="I1651" s="137" t="n">
        <x:v>1741.7149725274724</x:v>
      </x:c>
      <x:c r="J1651" s="137" t="n">
        <x:v>1307.7609679636669</x:v>
      </x:c>
      <x:c r="K1651" s="136" t="str">
        <x:v>map-77</x:v>
      </x:c>
      <x:c r="L1651" s="136" t="str">
        <x:v>HarpersFerry | Skirmish | River Crossing||Gun | 12-pounder Napoleon (USA) · 3InchOrdnanceRifle-92 [map-77/025]</x:v>
      </x:c>
      <x:c r="M1651" s="35"/>
      <x:c r="N1651" s="35"/>
      <x:c r="O1651" s="35"/>
      <x:c r="P1651" s="35"/>
      <x:c r="Q1651" s="35"/>
      <x:c r="R1651" s="35"/>
      <x:c r="S1651" s="35"/>
      <x:c r="T1651" s="35"/>
      <x:c r="U1651" s="35"/>
      <x:c r="V1651" s="35"/>
      <x:c r="W1651" s="35"/>
      <x:c r="X1651" s="35"/>
      <x:c r="Y1651" s="35"/>
      <x:c r="Z1651" s="35"/>
      <x:c r="AA1651" s="35"/>
    </x:row>
    <x:row r="1652">
      <x:c r="A1652" s="136" t="str">
        <x:v>HarpersFerry | Skirmish | River Crossing</x:v>
      </x:c>
      <x:c r="B1652" s="136" t="str">
        <x:v>Gun | 10-pounder Parrott · 3InchOrdnanceRifle-122 [map-77/026]</x:v>
      </x:c>
      <x:c r="C1652" s="136" t="str">
        <x:v>gun_spawn</x:v>
      </x:c>
      <x:c r="D1652" s="136" t="str"/>
      <x:c r="E1652" s="136" t="str">
        <x:v>10-pounder Parrott · 3InchOrdnanceRifle-122</x:v>
      </x:c>
      <x:c r="F1652" s="137" t="n">
        <x:v>2594.3017578125</x:v>
      </x:c>
      <x:c r="G1652" s="137" t="n">
        <x:v>2343.64599609375</x:v>
      </x:c>
      <x:c r="H1652" s="137" t="n">
        <x:v>155.8097381591797</x:v>
      </x:c>
      <x:c r="I1652" s="137" t="n">
        <x:v>771.6620879120878</x:v>
      </x:c>
      <x:c r="J1652" s="137" t="n">
        <x:v>109.25710961562234</x:v>
      </x:c>
      <x:c r="K1652" s="136" t="str">
        <x:v>map-77</x:v>
      </x:c>
      <x:c r="L1652" s="136" t="str">
        <x:v>HarpersFerry | Skirmish | River Crossing||Gun | 10-pounder Parrott · 3InchOrdnanceRifle-122 [map-77/026]</x:v>
      </x:c>
      <x:c r="M1652" s="35"/>
      <x:c r="N1652" s="35"/>
      <x:c r="O1652" s="35"/>
      <x:c r="P1652" s="35"/>
      <x:c r="Q1652" s="35"/>
      <x:c r="R1652" s="35"/>
      <x:c r="S1652" s="35"/>
      <x:c r="T1652" s="35"/>
      <x:c r="U1652" s="35"/>
      <x:c r="V1652" s="35"/>
      <x:c r="W1652" s="35"/>
      <x:c r="X1652" s="35"/>
      <x:c r="Y1652" s="35"/>
      <x:c r="Z1652" s="35"/>
      <x:c r="AA1652" s="35"/>
    </x:row>
    <x:row r="1653">
      <x:c r="A1653" s="136" t="str">
        <x:v>HarpersFerry | Skirmish | River Crossing</x:v>
      </x:c>
      <x:c r="B1653" s="136" t="str">
        <x:v>Gun | 10-pounder Parrott · 3InchOrdnanceRifle-124 [map-77/027]</x:v>
      </x:c>
      <x:c r="C1653" s="136" t="str">
        <x:v>gun_spawn</x:v>
      </x:c>
      <x:c r="D1653" s="136" t="str"/>
      <x:c r="E1653" s="136" t="str">
        <x:v>10-pounder Parrott · 3InchOrdnanceRifle-124</x:v>
      </x:c>
      <x:c r="F1653" s="137" t="n">
        <x:v>2593.7109375</x:v>
      </x:c>
      <x:c r="G1653" s="137" t="n">
        <x:v>2358.080810546875</x:v>
      </x:c>
      <x:c r="H1653" s="137" t="n">
        <x:v>155.8597412109375</x:v>
      </x:c>
      <x:c r="I1653" s="137" t="n">
        <x:v>769.9999999999999</x:v>
      </x:c>
      <x:c r="J1653" s="137" t="n">
        <x:v>68.53512332724522</x:v>
      </x:c>
      <x:c r="K1653" s="136" t="str">
        <x:v>map-77</x:v>
      </x:c>
      <x:c r="L1653" s="136" t="str">
        <x:v>HarpersFerry | Skirmish | River Crossing||Gun | 10-pounder Parrott · 3InchOrdnanceRifle-124 [map-77/027]</x:v>
      </x:c>
      <x:c r="M1653" s="35"/>
      <x:c r="N1653" s="35"/>
      <x:c r="O1653" s="35"/>
      <x:c r="P1653" s="35"/>
      <x:c r="Q1653" s="35"/>
      <x:c r="R1653" s="35"/>
      <x:c r="S1653" s="35"/>
      <x:c r="T1653" s="35"/>
      <x:c r="U1653" s="35"/>
      <x:c r="V1653" s="35"/>
      <x:c r="W1653" s="35"/>
      <x:c r="X1653" s="35"/>
      <x:c r="Y1653" s="35"/>
      <x:c r="Z1653" s="35"/>
      <x:c r="AA1653" s="35"/>
    </x:row>
    <x:row r="1654">
      <x:c r="A1654" s="136" t="str">
        <x:v>HarpersFerry | Skirmish | River Crossing</x:v>
      </x:c>
      <x:c r="B1654" s="136" t="str">
        <x:v>Gun | 12-pounder Napoleon (CSA) · 3InchOrdnanceRifle-91 [map-77/028]</x:v>
      </x:c>
      <x:c r="C1654" s="136" t="str">
        <x:v>gun_spawn</x:v>
      </x:c>
      <x:c r="D1654" s="136" t="str"/>
      <x:c r="E1654" s="136" t="str">
        <x:v>12-pounder Napoleon (CSA) · 3InchOrdnanceRifle-91</x:v>
      </x:c>
      <x:c r="F1654" s="137" t="n">
        <x:v>2939.320068359375</x:v>
      </x:c>
      <x:c r="G1654" s="137" t="n">
        <x:v>1913.763671875</x:v>
      </x:c>
      <x:c r="H1654" s="137" t="n">
        <x:v>91.66059112548828</x:v>
      </x:c>
      <x:c r="I1654" s="137" t="n">
        <x:v>1742.2630494505493</x:v>
      </x:c>
      <x:c r="J1654" s="137" t="n">
        <x:v>1323.2648220418575</x:v>
      </x:c>
      <x:c r="K1654" s="136" t="str">
        <x:v>map-77</x:v>
      </x:c>
      <x:c r="L1654" s="136" t="str">
        <x:v>HarpersFerry | Skirmish | River Crossing||Gun | 12-pounder Napoleon (CSA) · 3InchOrdnanceRifle-91 [map-77/028]</x:v>
      </x:c>
      <x:c r="M1654" s="35"/>
      <x:c r="N1654" s="35"/>
      <x:c r="O1654" s="35"/>
      <x:c r="P1654" s="35"/>
      <x:c r="Q1654" s="35"/>
      <x:c r="R1654" s="35"/>
      <x:c r="S1654" s="35"/>
      <x:c r="T1654" s="35"/>
      <x:c r="U1654" s="35"/>
      <x:c r="V1654" s="35"/>
      <x:c r="W1654" s="35"/>
      <x:c r="X1654" s="35"/>
      <x:c r="Y1654" s="35"/>
      <x:c r="Z1654" s="35"/>
      <x:c r="AA1654" s="35"/>
    </x:row>
    <x:row r="1655">
      <x:c r="A1655" s="136" t="str">
        <x:v>HarpersFerry | Skirmish | River Crossing</x:v>
      </x:c>
      <x:c r="B1655" s="136" t="str">
        <x:v>Gun | 3-inch Ordnance · 3InchOrdnanceRifle-93 [map-77/029]</x:v>
      </x:c>
      <x:c r="C1655" s="136" t="str">
        <x:v>gun_spawn</x:v>
      </x:c>
      <x:c r="D1655" s="136" t="str"/>
      <x:c r="E1655" s="136" t="str">
        <x:v>3-inch Ordnance · 3InchOrdnanceRifle-93</x:v>
      </x:c>
      <x:c r="F1655" s="137" t="n">
        <x:v>2692.7685546875</x:v>
      </x:c>
      <x:c r="G1655" s="137" t="n">
        <x:v>2115.7265625</x:v>
      </x:c>
      <x:c r="H1655" s="137" t="n">
        <x:v>91.68915557861328</x:v>
      </x:c>
      <x:c r="I1655" s="137" t="n">
        <x:v>1048.6675824175825</x:v>
      </x:c>
      <x:c r="J1655" s="137" t="n">
        <x:v>752.5849397725244</x:v>
      </x:c>
      <x:c r="K1655" s="136" t="str">
        <x:v>map-77</x:v>
      </x:c>
      <x:c r="L1655" s="136" t="str">
        <x:v>HarpersFerry | Skirmish | River Crossing||Gun | 3-inch Ordnance · 3InchOrdnanceRifle-93 [map-77/029]</x:v>
      </x:c>
      <x:c r="M1655" s="35"/>
      <x:c r="N1655" s="35"/>
      <x:c r="O1655" s="35"/>
      <x:c r="P1655" s="35"/>
      <x:c r="Q1655" s="35"/>
      <x:c r="R1655" s="35"/>
      <x:c r="S1655" s="35"/>
      <x:c r="T1655" s="35"/>
      <x:c r="U1655" s="35"/>
      <x:c r="V1655" s="35"/>
      <x:c r="W1655" s="35"/>
      <x:c r="X1655" s="35"/>
      <x:c r="Y1655" s="35"/>
      <x:c r="Z1655" s="35"/>
      <x:c r="AA1655" s="35"/>
    </x:row>
    <x:row r="1656">
      <x:c r="A1656" s="136" t="str">
        <x:v>HarpersFerry | Skirmish | River Crossing</x:v>
      </x:c>
      <x:c r="B1656" s="136" t="str">
        <x:v>Gun | 12-pounder Napoleon (USA) · 3InchOrdnanceRifle-120 [map-77/030]</x:v>
      </x:c>
      <x:c r="C1656" s="136" t="str">
        <x:v>gun_spawn</x:v>
      </x:c>
      <x:c r="D1656" s="136" t="str"/>
      <x:c r="E1656" s="136" t="str">
        <x:v>12-pounder Napoleon (USA) · 3InchOrdnanceRifle-120</x:v>
      </x:c>
      <x:c r="F1656" s="137" t="n">
        <x:v>2601.174560546875</x:v>
      </x:c>
      <x:c r="G1656" s="137" t="n">
        <x:v>2337.801025390625</x:v>
      </x:c>
      <x:c r="H1656" s="137" t="n">
        <x:v>155.95655822753906</x:v>
      </x:c>
      <x:c r="I1656" s="137" t="n">
        <x:v>790.9965659340659</x:v>
      </x:c>
      <x:c r="J1656" s="137" t="n">
        <x:v>125.77203310213947</x:v>
      </x:c>
      <x:c r="K1656" s="136" t="str">
        <x:v>map-77</x:v>
      </x:c>
      <x:c r="L1656" s="136" t="str">
        <x:v>HarpersFerry | Skirmish | River Crossing||Gun | 12-pounder Napoleon (USA) · 3InchOrdnanceRifle-120 [map-77/030]</x:v>
      </x:c>
      <x:c r="M1656" s="35"/>
      <x:c r="N1656" s="35"/>
      <x:c r="O1656" s="35"/>
      <x:c r="P1656" s="35"/>
      <x:c r="Q1656" s="35"/>
      <x:c r="R1656" s="35"/>
      <x:c r="S1656" s="35"/>
      <x:c r="T1656" s="35"/>
      <x:c r="U1656" s="35"/>
      <x:c r="V1656" s="35"/>
      <x:c r="W1656" s="35"/>
      <x:c r="X1656" s="35"/>
      <x:c r="Y1656" s="35"/>
      <x:c r="Z1656" s="35"/>
      <x:c r="AA1656" s="35"/>
    </x:row>
    <x:row r="1657">
      <x:c r="A1657" s="136" t="str">
        <x:v>HarpersFerry | Skirmish | River Crossing</x:v>
      </x:c>
      <x:c r="B1657" s="136" t="str">
        <x:v>Gun | 10-pounder Parrott · 3InchOrdnanceRifle-123 [map-77/031]</x:v>
      </x:c>
      <x:c r="C1657" s="136" t="str">
        <x:v>gun_spawn</x:v>
      </x:c>
      <x:c r="D1657" s="136" t="str"/>
      <x:c r="E1657" s="136" t="str">
        <x:v>10-pounder Parrott · 3InchOrdnanceRifle-123</x:v>
      </x:c>
      <x:c r="F1657" s="137" t="n">
        <x:v>2592.11474609375</x:v>
      </x:c>
      <x:c r="G1657" s="137" t="n">
        <x:v>2348.026611328125</x:v>
      </x:c>
      <x:c r="H1657" s="137" t="n">
        <x:v>155.8597412109375</x:v>
      </x:c>
      <x:c r="I1657" s="137" t="n">
        <x:v>765.5096153846152</x:v>
      </x:c>
      <x:c r="J1657" s="137" t="n">
        <x:v>96.89119714080869</x:v>
      </x:c>
      <x:c r="K1657" s="136" t="str">
        <x:v>map-77</x:v>
      </x:c>
      <x:c r="L1657" s="136" t="str">
        <x:v>HarpersFerry | Skirmish | River Crossing||Gun | 10-pounder Parrott · 3InchOrdnanceRifle-123 [map-77/031]</x:v>
      </x:c>
      <x:c r="M1657" s="35"/>
      <x:c r="N1657" s="35"/>
      <x:c r="O1657" s="35"/>
      <x:c r="P1657" s="35"/>
      <x:c r="Q1657" s="35"/>
      <x:c r="R1657" s="35"/>
      <x:c r="S1657" s="35"/>
      <x:c r="T1657" s="35"/>
      <x:c r="U1657" s="35"/>
      <x:c r="V1657" s="35"/>
      <x:c r="W1657" s="35"/>
      <x:c r="X1657" s="35"/>
      <x:c r="Y1657" s="35"/>
      <x:c r="Z1657" s="35"/>
      <x:c r="AA1657" s="35"/>
    </x:row>
    <x:row r="1658">
      <x:c r="A1658" s="136" t="str">
        <x:v>HarpersFerry | Skirmish | Downtown</x:v>
      </x:c>
      <x:c r="B1658" s="136" t="str">
        <x:v>Objective | Victory_Downtown [map-78/001]</x:v>
      </x:c>
      <x:c r="C1658" s="136" t="str">
        <x:v>objective</x:v>
      </x:c>
      <x:c r="D1658" s="136" t="str"/>
      <x:c r="E1658" s="136" t="str">
        <x:v>Victory_Downtown</x:v>
      </x:c>
      <x:c r="F1658" s="137" t="n">
        <x:v>2542.081787109375</x:v>
      </x:c>
      <x:c r="G1658" s="137" t="n">
        <x:v>1867.5966796875</x:v>
      </x:c>
      <x:c r="H1658" s="137" t="n">
        <x:v>87.60770416259766</x:v>
      </x:c>
      <x:c r="I1658" s="137" t="n">
        <x:v>1227.9848506017784</x:v>
      </x:c>
      <x:c r="J1658" s="137" t="n">
        <x:v>1258.86</x:v>
      </x:c>
      <x:c r="K1658" s="136" t="str">
        <x:v>map-78</x:v>
      </x:c>
      <x:c r="L1658" s="136" t="str">
        <x:v>HarpersFerry | Skirmish | Downtown||Objective | Victory_Downtown [map-78/001]</x:v>
      </x:c>
      <x:c r="M1658" s="35"/>
      <x:c r="N1658" s="35"/>
      <x:c r="O1658" s="35"/>
      <x:c r="P1658" s="35"/>
      <x:c r="Q1658" s="35"/>
      <x:c r="R1658" s="35"/>
      <x:c r="S1658" s="35"/>
      <x:c r="T1658" s="35"/>
      <x:c r="U1658" s="35"/>
      <x:c r="V1658" s="35"/>
      <x:c r="W1658" s="35"/>
      <x:c r="X1658" s="35"/>
      <x:c r="Y1658" s="35"/>
      <x:c r="Z1658" s="35"/>
      <x:c r="AA1658" s="35"/>
    </x:row>
    <x:row r="1659">
      <x:c r="A1659" s="136" t="str">
        <x:v>HarpersFerry | Skirmish | Downtown</x:v>
      </x:c>
      <x:c r="B1659" s="136" t="str">
        <x:v>Spawn | USA Spawnpoint_D_Defend_USA_9thVT [map-78/002]</x:v>
      </x:c>
      <x:c r="C1659" s="136" t="str">
        <x:v>spawn</x:v>
      </x:c>
      <x:c r="D1659" s="136" t="str">
        <x:v>USA</x:v>
      </x:c>
      <x:c r="E1659" s="136" t="str">
        <x:v>Spawnpoint_D_Defend_USA_9thVT</x:v>
      </x:c>
      <x:c r="F1659" s="137" t="n">
        <x:v>2540.174560546875</x:v>
      </x:c>
      <x:c r="G1659" s="137" t="n">
        <x:v>1862.268310546875</x:v>
      </x:c>
      <x:c r="H1659" s="137" t="n">
        <x:v>87.65462493896484</x:v>
      </x:c>
      <x:c r="I1659" s="137" t="n">
        <x:v>1214.8333354275912</x:v>
      </x:c>
      <x:c r="J1659" s="137" t="n">
        <x:v>1295.235</x:v>
      </x:c>
      <x:c r="K1659" s="136" t="str">
        <x:v>map-78</x:v>
      </x:c>
      <x:c r="L1659" s="136" t="str">
        <x:v>HarpersFerry | Skirmish | Downtown||Spawn | USA Spawnpoint_D_Defend_USA_9thVT [map-78/002]</x:v>
      </x:c>
      <x:c r="M1659" s="35"/>
      <x:c r="N1659" s="35"/>
      <x:c r="O1659" s="35"/>
      <x:c r="P1659" s="35"/>
      <x:c r="Q1659" s="35"/>
      <x:c r="R1659" s="35"/>
      <x:c r="S1659" s="35"/>
      <x:c r="T1659" s="35"/>
      <x:c r="U1659" s="35"/>
      <x:c r="V1659" s="35"/>
      <x:c r="W1659" s="35"/>
      <x:c r="X1659" s="35"/>
      <x:c r="Y1659" s="35"/>
      <x:c r="Z1659" s="35"/>
      <x:c r="AA1659" s="35"/>
    </x:row>
    <x:row r="1660">
      <x:c r="A1660" s="136" t="str">
        <x:v>HarpersFerry | Skirmish | Downtown</x:v>
      </x:c>
      <x:c r="B1660" s="136" t="str">
        <x:v>Spawn | USA Spawnpoint_D_Defend_USA_12thNyMi-2 [map-78/003]</x:v>
      </x:c>
      <x:c r="C1660" s="136" t="str">
        <x:v>spawn</x:v>
      </x:c>
      <x:c r="D1660" s="136" t="str">
        <x:v>USA</x:v>
      </x:c>
      <x:c r="E1660" s="136" t="str">
        <x:v>Spawnpoint_D_Defend_USA_12thNyMi-2</x:v>
      </x:c>
      <x:c r="F1660" s="137" t="n">
        <x:v>2550.61083984375</x:v>
      </x:c>
      <x:c r="G1660" s="137" t="n">
        <x:v>1840.329833984375</x:v>
      </x:c>
      <x:c r="H1660" s="137" t="n">
        <x:v>87.8500747680664</x:v>
      </x:c>
      <x:c r="I1660" s="137" t="n">
        <x:v>1286.797982016298</x:v>
      </x:c>
      <x:c r="J1660" s="137" t="n">
        <x:v>1445.0016666666666</x:v>
      </x:c>
      <x:c r="K1660" s="136" t="str">
        <x:v>map-78</x:v>
      </x:c>
      <x:c r="L1660" s="136" t="str">
        <x:v>HarpersFerry | Skirmish | Downtown||Spawn | USA Spawnpoint_D_Defend_USA_12thNyMi-2 [map-78/003]</x:v>
      </x:c>
      <x:c r="M1660" s="35"/>
      <x:c r="N1660" s="35"/>
      <x:c r="O1660" s="35"/>
      <x:c r="P1660" s="35"/>
      <x:c r="Q1660" s="35"/>
      <x:c r="R1660" s="35"/>
      <x:c r="S1660" s="35"/>
      <x:c r="T1660" s="35"/>
      <x:c r="U1660" s="35"/>
      <x:c r="V1660" s="35"/>
      <x:c r="W1660" s="35"/>
      <x:c r="X1660" s="35"/>
      <x:c r="Y1660" s="35"/>
      <x:c r="Z1660" s="35"/>
      <x:c r="AA1660" s="35"/>
    </x:row>
    <x:row r="1661">
      <x:c r="A1661" s="136" t="str">
        <x:v>HarpersFerry | Skirmish | Downtown</x:v>
      </x:c>
      <x:c r="B1661" s="136" t="str">
        <x:v>Spawn | USA Spawnpoint_D_Base_USA_9thVT [map-78/004]</x:v>
      </x:c>
      <x:c r="C1661" s="136" t="str">
        <x:v>spawn</x:v>
      </x:c>
      <x:c r="D1661" s="136" t="str">
        <x:v>USA</x:v>
      </x:c>
      <x:c r="E1661" s="136" t="str">
        <x:v>Spawnpoint_D_Base_USA_9thVT</x:v>
      </x:c>
      <x:c r="F1661" s="137" t="n">
        <x:v>2433.667724609375</x:v>
      </x:c>
      <x:c r="G1661" s="137" t="n">
        <x:v>1806.568603515625</x:v>
      </x:c>
      <x:c r="H1661" s="137" t="n">
        <x:v>87.5228271484375</x:v>
      </x:c>
      <x:c r="I1661" s="137" t="n">
        <x:v>480.40235773052524</x:v>
      </x:c>
      <x:c r="J1661" s="137" t="n">
        <x:v>1675.4783333333335</x:v>
      </x:c>
      <x:c r="K1661" s="136" t="str">
        <x:v>map-78</x:v>
      </x:c>
      <x:c r="L1661" s="136" t="str">
        <x:v>HarpersFerry | Skirmish | Downtown||Spawn | USA Spawnpoint_D_Base_USA_9thVT [map-78/004]</x:v>
      </x:c>
      <x:c r="M1661" s="35"/>
      <x:c r="N1661" s="35"/>
      <x:c r="O1661" s="35"/>
      <x:c r="P1661" s="35"/>
      <x:c r="Q1661" s="35"/>
      <x:c r="R1661" s="35"/>
      <x:c r="S1661" s="35"/>
      <x:c r="T1661" s="35"/>
      <x:c r="U1661" s="35"/>
      <x:c r="V1661" s="35"/>
      <x:c r="W1661" s="35"/>
      <x:c r="X1661" s="35"/>
      <x:c r="Y1661" s="35"/>
      <x:c r="Z1661" s="35"/>
      <x:c r="AA1661" s="35"/>
    </x:row>
    <x:row r="1662">
      <x:c r="A1662" s="136" t="str">
        <x:v>HarpersFerry | Skirmish | Downtown</x:v>
      </x:c>
      <x:c r="B1662" s="136" t="str">
        <x:v>Spawn | USA Spawnpoint_D_Defend_USA_12thNyMi [map-78/005]</x:v>
      </x:c>
      <x:c r="C1662" s="136" t="str">
        <x:v>spawn</x:v>
      </x:c>
      <x:c r="D1662" s="136" t="str">
        <x:v>USA</x:v>
      </x:c>
      <x:c r="E1662" s="136" t="str">
        <x:v>Spawnpoint_D_Defend_USA_12thNyMi</x:v>
      </x:c>
      <x:c r="F1662" s="137" t="n">
        <x:v>2541.521484375</x:v>
      </x:c>
      <x:c r="G1662" s="137" t="n">
        <x:v>1850.9981689453125</x:v>
      </x:c>
      <x:c r="H1662" s="137" t="n">
        <x:v>87.92999267578125</x:v>
      </x:c>
      <x:c r="I1662" s="137" t="n">
        <x:v>1224.1212142314816</x:v>
      </x:c>
      <x:c r="J1662" s="137" t="n">
        <x:v>1372.1725</x:v>
      </x:c>
      <x:c r="K1662" s="136" t="str">
        <x:v>map-78</x:v>
      </x:c>
      <x:c r="L1662" s="136" t="str">
        <x:v>HarpersFerry | Skirmish | Downtown||Spawn | USA Spawnpoint_D_Defend_USA_12thNyMi [map-78/005]</x:v>
      </x:c>
      <x:c r="M1662" s="35"/>
      <x:c r="N1662" s="35"/>
      <x:c r="O1662" s="35"/>
      <x:c r="P1662" s="35"/>
      <x:c r="Q1662" s="35"/>
      <x:c r="R1662" s="35"/>
      <x:c r="S1662" s="35"/>
      <x:c r="T1662" s="35"/>
      <x:c r="U1662" s="35"/>
      <x:c r="V1662" s="35"/>
      <x:c r="W1662" s="35"/>
      <x:c r="X1662" s="35"/>
      <x:c r="Y1662" s="35"/>
      <x:c r="Z1662" s="35"/>
      <x:c r="AA1662" s="35"/>
    </x:row>
    <x:row r="1663">
      <x:c r="A1663" s="136" t="str">
        <x:v>HarpersFerry | Skirmish | Downtown</x:v>
      </x:c>
      <x:c r="B1663" s="136" t="str">
        <x:v>Spawn | CSA Spawnpoint_D_Base_CSA_2ndSC-2 [map-78/006]</x:v>
      </x:c>
      <x:c r="C1663" s="136" t="str">
        <x:v>spawn</x:v>
      </x:c>
      <x:c r="D1663" s="136" t="str">
        <x:v>CSA</x:v>
      </x:c>
      <x:c r="E1663" s="136" t="str">
        <x:v>Spawnpoint_D_Base_CSA_2ndSC-2</x:v>
      </x:c>
      <x:c r="F1663" s="137" t="n">
        <x:v>2425.23095703125</x:v>
      </x:c>
      <x:c r="G1663" s="137" t="n">
        <x:v>1993.6026611328125</x:v>
      </x:c>
      <x:c r="H1663" s="137" t="n">
        <x:v>91.90552520751953</x:v>
      </x:c>
      <x:c r="I1663" s="137" t="n">
        <x:v>422.2255899534663</x:v>
      </x:c>
      <x:c r="J1663" s="137" t="n">
        <x:v>398.65916666666664</x:v>
      </x:c>
      <x:c r="K1663" s="136" t="str">
        <x:v>map-78</x:v>
      </x:c>
      <x:c r="L1663" s="136" t="str">
        <x:v>HarpersFerry | Skirmish | Downtown||Spawn | CSA Spawnpoint_D_Base_CSA_2ndSC-2 [map-78/006]</x:v>
      </x:c>
      <x:c r="M1663" s="35"/>
      <x:c r="N1663" s="35"/>
      <x:c r="O1663" s="35"/>
      <x:c r="P1663" s="35"/>
      <x:c r="Q1663" s="35"/>
      <x:c r="R1663" s="35"/>
      <x:c r="S1663" s="35"/>
      <x:c r="T1663" s="35"/>
      <x:c r="U1663" s="35"/>
      <x:c r="V1663" s="35"/>
      <x:c r="W1663" s="35"/>
      <x:c r="X1663" s="35"/>
      <x:c r="Y1663" s="35"/>
      <x:c r="Z1663" s="35"/>
      <x:c r="AA1663" s="35"/>
    </x:row>
    <x:row r="1664">
      <x:c r="A1664" s="136" t="str">
        <x:v>HarpersFerry | Skirmish | Downtown</x:v>
      </x:c>
      <x:c r="B1664" s="136" t="str">
        <x:v>Spawn | USA Spawnpoint_D_Base_USA_9thVT-2 [map-78/007]</x:v>
      </x:c>
      <x:c r="C1664" s="136" t="str">
        <x:v>spawn</x:v>
      </x:c>
      <x:c r="D1664" s="136" t="str">
        <x:v>USA</x:v>
      </x:c>
      <x:c r="E1664" s="136" t="str">
        <x:v>Spawnpoint_D_Base_USA_9thVT-2</x:v>
      </x:c>
      <x:c r="F1664" s="137" t="n">
        <x:v>2423.00439453125</x:v>
      </x:c>
      <x:c r="G1664" s="137" t="n">
        <x:v>1809.831298828125</x:v>
      </x:c>
      <x:c r="H1664" s="137" t="n">
        <x:v>87.44535827636719</x:v>
      </x:c>
      <x:c r="I1664" s="137" t="n">
        <x:v>406.8720545734629</x:v>
      </x:c>
      <x:c r="J1664" s="137" t="n">
        <x:v>1653.2050000000002</x:v>
      </x:c>
      <x:c r="K1664" s="136" t="str">
        <x:v>map-78</x:v>
      </x:c>
      <x:c r="L1664" s="136" t="str">
        <x:v>HarpersFerry | Skirmish | Downtown||Spawn | USA Spawnpoint_D_Base_USA_9thVT-2 [map-78/007]</x:v>
      </x:c>
      <x:c r="M1664" s="35"/>
      <x:c r="N1664" s="35"/>
      <x:c r="O1664" s="35"/>
      <x:c r="P1664" s="35"/>
      <x:c r="Q1664" s="35"/>
      <x:c r="R1664" s="35"/>
      <x:c r="S1664" s="35"/>
      <x:c r="T1664" s="35"/>
      <x:c r="U1664" s="35"/>
      <x:c r="V1664" s="35"/>
      <x:c r="W1664" s="35"/>
      <x:c r="X1664" s="35"/>
      <x:c r="Y1664" s="35"/>
      <x:c r="Z1664" s="35"/>
      <x:c r="AA1664" s="35"/>
    </x:row>
    <x:row r="1665">
      <x:c r="A1665" s="136" t="str">
        <x:v>HarpersFerry | Skirmish | Downtown</x:v>
      </x:c>
      <x:c r="B1665" s="136" t="str">
        <x:v>Spawn | USA Spawnpoint_D_Defend_USA_9thVT-2 [map-78/008]</x:v>
      </x:c>
      <x:c r="C1665" s="136" t="str">
        <x:v>spawn</x:v>
      </x:c>
      <x:c r="D1665" s="136" t="str">
        <x:v>USA</x:v>
      </x:c>
      <x:c r="E1665" s="136" t="str">
        <x:v>Spawnpoint_D_Defend_USA_9thVT-2</x:v>
      </x:c>
      <x:c r="F1665" s="137" t="n">
        <x:v>2549.813232421875</x:v>
      </x:c>
      <x:c r="G1665" s="137" t="n">
        <x:v>1870.2598876953125</x:v>
      </x:c>
      <x:c r="H1665" s="137" t="n">
        <x:v>87.75657653808594</x:v>
      </x:c>
      <x:c r="I1665" s="137" t="n">
        <x:v>1281.2979820068165</x:v>
      </x:c>
      <x:c r="J1665" s="137" t="n">
        <x:v>1240.6791666666666</x:v>
      </x:c>
      <x:c r="K1665" s="136" t="str">
        <x:v>map-78</x:v>
      </x:c>
      <x:c r="L1665" s="136" t="str">
        <x:v>HarpersFerry | Skirmish | Downtown||Spawn | USA Spawnpoint_D_Defend_USA_9thVT-2 [map-78/008]</x:v>
      </x:c>
      <x:c r="M1665" s="35"/>
      <x:c r="N1665" s="35"/>
      <x:c r="O1665" s="35"/>
      <x:c r="P1665" s="35"/>
      <x:c r="Q1665" s="35"/>
      <x:c r="R1665" s="35"/>
      <x:c r="S1665" s="35"/>
      <x:c r="T1665" s="35"/>
      <x:c r="U1665" s="35"/>
      <x:c r="V1665" s="35"/>
      <x:c r="W1665" s="35"/>
      <x:c r="X1665" s="35"/>
      <x:c r="Y1665" s="35"/>
      <x:c r="Z1665" s="35"/>
      <x:c r="AA1665" s="35"/>
    </x:row>
    <x:row r="1666">
      <x:c r="A1666" s="136" t="str">
        <x:v>HarpersFerry | Skirmish | Downtown</x:v>
      </x:c>
      <x:c r="B1666" s="136" t="str">
        <x:v>Spawn | CSA Spawnpoint_D_Base_CSA_2ndSC [map-78/009]</x:v>
      </x:c>
      <x:c r="C1666" s="136" t="str">
        <x:v>spawn</x:v>
      </x:c>
      <x:c r="D1666" s="136" t="str">
        <x:v>CSA</x:v>
      </x:c>
      <x:c r="E1666" s="136" t="str">
        <x:v>Spawnpoint_D_Base_CSA_2ndSC</x:v>
      </x:c>
      <x:c r="F1666" s="137" t="n">
        <x:v>2411.966552734375</x:v>
      </x:c>
      <x:c r="G1666" s="137" t="n">
        <x:v>2003.841552734375</x:v>
      </x:c>
      <x:c r="H1666" s="137" t="n">
        <x:v>92.57438659667969</x:v>
      </x:c>
      <x:c r="I1666" s="137" t="n">
        <x:v>330.759259829457</x:v>
      </x:c>
      <x:c r="J1666" s="137" t="n">
        <x:v>328.76166666666666</x:v>
      </x:c>
      <x:c r="K1666" s="136" t="str">
        <x:v>map-78</x:v>
      </x:c>
      <x:c r="L1666" s="136" t="str">
        <x:v>HarpersFerry | Skirmish | Downtown||Spawn | CSA Spawnpoint_D_Base_CSA_2ndSC [map-78/009]</x:v>
      </x:c>
      <x:c r="M1666" s="35"/>
      <x:c r="N1666" s="35"/>
      <x:c r="O1666" s="35"/>
      <x:c r="P1666" s="35"/>
      <x:c r="Q1666" s="35"/>
      <x:c r="R1666" s="35"/>
      <x:c r="S1666" s="35"/>
      <x:c r="T1666" s="35"/>
      <x:c r="U1666" s="35"/>
      <x:c r="V1666" s="35"/>
      <x:c r="W1666" s="35"/>
      <x:c r="X1666" s="35"/>
      <x:c r="Y1666" s="35"/>
      <x:c r="Z1666" s="35"/>
      <x:c r="AA1666" s="35"/>
    </x:row>
    <x:row r="1667">
      <x:c r="A1667" s="136" t="str">
        <x:v>HarpersFerry | Skirmish | Downtown</x:v>
      </x:c>
      <x:c r="B1667" s="136" t="str">
        <x:v>Spawn | USA Spawnpoint_D_Base_USA_12thNyMi [map-78/010]</x:v>
      </x:c>
      <x:c r="C1667" s="136" t="str">
        <x:v>spawn</x:v>
      </x:c>
      <x:c r="D1667" s="136" t="str">
        <x:v>USA</x:v>
      </x:c>
      <x:c r="E1667" s="136" t="str">
        <x:v>Spawnpoint_D_Base_USA_12thNyMi</x:v>
      </x:c>
      <x:c r="F1667" s="137" t="n">
        <x:v>2454.603271484375</x:v>
      </x:c>
      <x:c r="G1667" s="137" t="n">
        <x:v>1805.961181640625</x:v>
      </x:c>
      <x:c r="H1667" s="137" t="n">
        <x:v>87.41844177246094</x:v>
      </x:c>
      <x:c r="I1667" s="137" t="n">
        <x:v>624.7659943430309</x:v>
      </x:c>
      <x:c r="J1667" s="137" t="n">
        <x:v>1679.625</x:v>
      </x:c>
      <x:c r="K1667" s="136" t="str">
        <x:v>map-78</x:v>
      </x:c>
      <x:c r="L1667" s="136" t="str">
        <x:v>HarpersFerry | Skirmish | Downtown||Spawn | USA Spawnpoint_D_Base_USA_12thNyMi [map-78/010]</x:v>
      </x:c>
      <x:c r="M1667" s="35"/>
      <x:c r="N1667" s="35"/>
      <x:c r="O1667" s="35"/>
      <x:c r="P1667" s="35"/>
      <x:c r="Q1667" s="35"/>
      <x:c r="R1667" s="35"/>
      <x:c r="S1667" s="35"/>
      <x:c r="T1667" s="35"/>
      <x:c r="U1667" s="35"/>
      <x:c r="V1667" s="35"/>
      <x:c r="W1667" s="35"/>
      <x:c r="X1667" s="35"/>
      <x:c r="Y1667" s="35"/>
      <x:c r="Z1667" s="35"/>
      <x:c r="AA1667" s="35"/>
    </x:row>
    <x:row r="1668">
      <x:c r="A1668" s="136" t="str">
        <x:v>HarpersFerry | Skirmish | Downtown</x:v>
      </x:c>
      <x:c r="B1668" s="136" t="str">
        <x:v>Spawn | CSA Spawnpoint_D_Base_CSA_5thAL-2 [map-78/011]</x:v>
      </x:c>
      <x:c r="C1668" s="136" t="str">
        <x:v>spawn</x:v>
      </x:c>
      <x:c r="D1668" s="136" t="str">
        <x:v>CSA</x:v>
      </x:c>
      <x:c r="E1668" s="136" t="str">
        <x:v>Spawnpoint_D_Base_CSA_5thAL-2</x:v>
      </x:c>
      <x:c r="F1668" s="137" t="n">
        <x:v>2452.04248046875</x:v>
      </x:c>
      <x:c r="G1668" s="137" t="n">
        <x:v>1972.346923828125</x:v>
      </x:c>
      <x:c r="H1668" s="137" t="n">
        <x:v>91.56334686279297</x:v>
      </x:c>
      <x:c r="I1668" s="137" t="n">
        <x:v>607.1077451543406</x:v>
      </x:c>
      <x:c r="J1668" s="137" t="n">
        <x:v>543.765</x:v>
      </x:c>
      <x:c r="K1668" s="136" t="str">
        <x:v>map-78</x:v>
      </x:c>
      <x:c r="L1668" s="136" t="str">
        <x:v>HarpersFerry | Skirmish | Downtown||Spawn | CSA Spawnpoint_D_Base_CSA_5thAL-2 [map-78/011]</x:v>
      </x:c>
      <x:c r="M1668" s="35"/>
      <x:c r="N1668" s="35"/>
      <x:c r="O1668" s="35"/>
      <x:c r="P1668" s="35"/>
      <x:c r="Q1668" s="35"/>
      <x:c r="R1668" s="35"/>
      <x:c r="S1668" s="35"/>
      <x:c r="T1668" s="35"/>
      <x:c r="U1668" s="35"/>
      <x:c r="V1668" s="35"/>
      <x:c r="W1668" s="35"/>
      <x:c r="X1668" s="35"/>
      <x:c r="Y1668" s="35"/>
      <x:c r="Z1668" s="35"/>
      <x:c r="AA1668" s="35"/>
    </x:row>
    <x:row r="1669">
      <x:c r="A1669" s="136" t="str">
        <x:v>HarpersFerry | Skirmish | Downtown</x:v>
      </x:c>
      <x:c r="B1669" s="136" t="str">
        <x:v>Spawn | CSA Spawnpoint_D_Base_CSA_5thAL [map-78/012]</x:v>
      </x:c>
      <x:c r="C1669" s="136" t="str">
        <x:v>spawn</x:v>
      </x:c>
      <x:c r="D1669" s="136" t="str">
        <x:v>CSA</x:v>
      </x:c>
      <x:c r="E1669" s="136" t="str">
        <x:v>Spawnpoint_D_Base_CSA_5thAL</x:v>
      </x:c>
      <x:c r="F1669" s="137" t="n">
        <x:v>2438.108642578125</x:v>
      </x:c>
      <x:c r="G1669" s="137" t="n">
        <x:v>1983.10302734375</x:v>
      </x:c>
      <x:c r="H1669" s="137" t="n">
        <x:v>92.050537109375</x:v>
      </x:c>
      <x:c r="I1669" s="137" t="n">
        <x:v>511.02525340621185</x:v>
      </x:c>
      <x:c r="J1669" s="137" t="n">
        <x:v>470.3366666666666</x:v>
      </x:c>
      <x:c r="K1669" s="136" t="str">
        <x:v>map-78</x:v>
      </x:c>
      <x:c r="L1669" s="136" t="str">
        <x:v>HarpersFerry | Skirmish | Downtown||Spawn | CSA Spawnpoint_D_Base_CSA_5thAL [map-78/012]</x:v>
      </x:c>
      <x:c r="M1669" s="35"/>
      <x:c r="N1669" s="35"/>
      <x:c r="O1669" s="35"/>
      <x:c r="P1669" s="35"/>
      <x:c r="Q1669" s="35"/>
      <x:c r="R1669" s="35"/>
      <x:c r="S1669" s="35"/>
      <x:c r="T1669" s="35"/>
      <x:c r="U1669" s="35"/>
      <x:c r="V1669" s="35"/>
      <x:c r="W1669" s="35"/>
      <x:c r="X1669" s="35"/>
      <x:c r="Y1669" s="35"/>
      <x:c r="Z1669" s="35"/>
      <x:c r="AA1669" s="35"/>
    </x:row>
    <x:row r="1670">
      <x:c r="A1670" s="136" t="str">
        <x:v>HarpersFerry | Skirmish | Downtown</x:v>
      </x:c>
      <x:c r="B1670" s="136" t="str">
        <x:v>Spawn | USA Spawnpoint_D_Base_USA_12thNyMi-2 [map-78/013]</x:v>
      </x:c>
      <x:c r="C1670" s="136" t="str">
        <x:v>spawn</x:v>
      </x:c>
      <x:c r="D1670" s="136" t="str">
        <x:v>USA</x:v>
      </x:c>
      <x:c r="E1670" s="136" t="str">
        <x:v>Spawnpoint_D_Base_USA_12thNyMi-2</x:v>
      </x:c>
      <x:c r="F1670" s="137" t="n">
        <x:v>2457.004150390625</x:v>
      </x:c>
      <x:c r="G1670" s="137" t="n">
        <x:v>1793.5245361328125</x:v>
      </x:c>
      <x:c r="H1670" s="137" t="n">
        <x:v>87.48974609375</x:v>
      </x:c>
      <x:c r="I1670" s="137" t="n">
        <x:v>641.3215499271266</x:v>
      </x:c>
      <x:c r="J1670" s="137" t="n">
        <x:v>1764.5258333333331</x:v>
      </x:c>
      <x:c r="K1670" s="136" t="str">
        <x:v>map-78</x:v>
      </x:c>
      <x:c r="L1670" s="136" t="str">
        <x:v>HarpersFerry | Skirmish | Downtown||Spawn | USA Spawnpoint_D_Base_USA_12thNyMi-2 [map-78/013]</x:v>
      </x:c>
      <x:c r="M1670" s="35"/>
      <x:c r="N1670" s="35"/>
      <x:c r="O1670" s="35"/>
      <x:c r="P1670" s="35"/>
      <x:c r="Q1670" s="35"/>
      <x:c r="R1670" s="35"/>
      <x:c r="S1670" s="35"/>
      <x:c r="T1670" s="35"/>
      <x:c r="U1670" s="35"/>
      <x:c r="V1670" s="35"/>
      <x:c r="W1670" s="35"/>
      <x:c r="X1670" s="35"/>
      <x:c r="Y1670" s="35"/>
      <x:c r="Z1670" s="35"/>
      <x:c r="AA1670" s="35"/>
    </x:row>
    <x:row r="1671">
      <x:c r="A1671" s="136" t="str">
        <x:v>HarpersFerry | Skirmish | School House Ridge</x:v>
      </x:c>
      <x:c r="B1671" s="136" t="str">
        <x:v>Spawn | CSA Spawnpoint_SHR_Base_CSA_6thLA [map-79/001]</x:v>
      </x:c>
      <x:c r="C1671" s="136" t="str">
        <x:v>spawn</x:v>
      </x:c>
      <x:c r="D1671" s="136" t="str">
        <x:v>CSA</x:v>
      </x:c>
      <x:c r="E1671" s="136" t="str">
        <x:v>Spawnpoint_SHR_Base_CSA_6thLA</x:v>
      </x:c>
      <x:c r="F1671" s="137" t="n">
        <x:v>289.890380859375</x:v>
      </x:c>
      <x:c r="G1671" s="137" t="n">
        <x:v>2270.861328125</x:v>
      </x:c>
      <x:c r="H1671" s="137" t="n">
        <x:v>120.78526306152344</x:v>
      </x:c>
      <x:c r="I1671" s="137" t="n">
        <x:v>397.4710497026601</x:v>
      </x:c>
      <x:c r="J1671" s="137" t="n">
        <x:v>711.8311222731695</x:v>
      </x:c>
      <x:c r="K1671" s="136" t="str">
        <x:v>map-79</x:v>
      </x:c>
      <x:c r="L1671" s="136" t="str">
        <x:v>HarpersFerry | Skirmish | School House Ridge||Spawn | CSA Spawnpoint_SHR_Base_CSA_6thLA [map-79/001]</x:v>
      </x:c>
      <x:c r="M1671" s="35"/>
      <x:c r="N1671" s="35"/>
      <x:c r="O1671" s="35"/>
      <x:c r="P1671" s="35"/>
      <x:c r="Q1671" s="35"/>
      <x:c r="R1671" s="35"/>
      <x:c r="S1671" s="35"/>
      <x:c r="T1671" s="35"/>
      <x:c r="U1671" s="35"/>
      <x:c r="V1671" s="35"/>
      <x:c r="W1671" s="35"/>
      <x:c r="X1671" s="35"/>
      <x:c r="Y1671" s="35"/>
      <x:c r="Z1671" s="35"/>
      <x:c r="AA1671" s="35"/>
    </x:row>
    <x:row r="1672">
      <x:c r="A1672" s="136" t="str">
        <x:v>HarpersFerry | Skirmish | School House Ridge</x:v>
      </x:c>
      <x:c r="B1672" s="136" t="str">
        <x:v>Spawn | USA Spawnpoint_SHR_Base_USA_126thNY [map-79/002]</x:v>
      </x:c>
      <x:c r="C1672" s="136" t="str">
        <x:v>spawn</x:v>
      </x:c>
      <x:c r="D1672" s="136" t="str">
        <x:v>USA</x:v>
      </x:c>
      <x:c r="E1672" s="136" t="str">
        <x:v>Spawnpoint_SHR_Base_USA_126thNY</x:v>
      </x:c>
      <x:c r="F1672" s="137" t="n">
        <x:v>828.1539306640625</x:v>
      </x:c>
      <x:c r="G1672" s="137" t="n">
        <x:v>2064.0537109375</x:v>
      </x:c>
      <x:c r="H1672" s="137" t="n">
        <x:v>164.70156860351562</x:v>
      </x:c>
      <x:c r="I1672" s="137" t="n">
        <x:v>1727.2222567965475</x:v>
      </x:c>
      <x:c r="J1672" s="137" t="n">
        <x:v>1222.7382395971556</x:v>
      </x:c>
      <x:c r="K1672" s="136" t="str">
        <x:v>map-79</x:v>
      </x:c>
      <x:c r="L1672" s="136" t="str">
        <x:v>HarpersFerry | Skirmish | School House Ridge||Spawn | USA Spawnpoint_SHR_Base_USA_126thNY [map-79/002]</x:v>
      </x:c>
      <x:c r="M1672" s="35"/>
      <x:c r="N1672" s="35"/>
      <x:c r="O1672" s="35"/>
      <x:c r="P1672" s="35"/>
      <x:c r="Q1672" s="35"/>
      <x:c r="R1672" s="35"/>
      <x:c r="S1672" s="35"/>
      <x:c r="T1672" s="35"/>
      <x:c r="U1672" s="35"/>
      <x:c r="V1672" s="35"/>
      <x:c r="W1672" s="35"/>
      <x:c r="X1672" s="35"/>
      <x:c r="Y1672" s="35"/>
      <x:c r="Z1672" s="35"/>
      <x:c r="AA1672" s="35"/>
    </x:row>
    <x:row r="1673">
      <x:c r="A1673" s="136" t="str">
        <x:v>HarpersFerry | Skirmish | School House Ridge</x:v>
      </x:c>
      <x:c r="B1673" s="136" t="str">
        <x:v>Spawn | USA Spawnpoint_SHR_Base_USA_32ndOH-2 [map-79/003]</x:v>
      </x:c>
      <x:c r="C1673" s="136" t="str">
        <x:v>spawn</x:v>
      </x:c>
      <x:c r="D1673" s="136" t="str">
        <x:v>USA</x:v>
      </x:c>
      <x:c r="E1673" s="136" t="str">
        <x:v>Spawnpoint_SHR_Base_USA_32ndOH-2</x:v>
      </x:c>
      <x:c r="F1673" s="137" t="n">
        <x:v>816.8555297851562</x:v>
      </x:c>
      <x:c r="G1673" s="137" t="n">
        <x:v>2056.56103515625</x:v>
      </x:c>
      <x:c r="H1673" s="137" t="n">
        <x:v>163.77651977539062</x:v>
      </x:c>
      <x:c r="I1673" s="137" t="n">
        <x:v>1699.3101638963171</x:v>
      </x:c>
      <x:c r="J1673" s="137" t="n">
        <x:v>1241.2484929258376</x:v>
      </x:c>
      <x:c r="K1673" s="136" t="str">
        <x:v>map-79</x:v>
      </x:c>
      <x:c r="L1673" s="136" t="str">
        <x:v>HarpersFerry | Skirmish | School House Ridge||Spawn | USA Spawnpoint_SHR_Base_USA_32ndOH-2 [map-79/003]</x:v>
      </x:c>
      <x:c r="M1673" s="35"/>
      <x:c r="N1673" s="35"/>
      <x:c r="O1673" s="35"/>
      <x:c r="P1673" s="35"/>
      <x:c r="Q1673" s="35"/>
      <x:c r="R1673" s="35"/>
      <x:c r="S1673" s="35"/>
      <x:c r="T1673" s="35"/>
      <x:c r="U1673" s="35"/>
      <x:c r="V1673" s="35"/>
      <x:c r="W1673" s="35"/>
      <x:c r="X1673" s="35"/>
      <x:c r="Y1673" s="35"/>
      <x:c r="Z1673" s="35"/>
      <x:c r="AA1673" s="35"/>
    </x:row>
    <x:row r="1674">
      <x:c r="A1674" s="136" t="str">
        <x:v>HarpersFerry | Skirmish | School House Ridge</x:v>
      </x:c>
      <x:c r="B1674" s="136" t="str">
        <x:v>Spawn | USA Spawnpoint_SHR_Defend_USA_126thNY [map-79/004]</x:v>
      </x:c>
      <x:c r="C1674" s="136" t="str">
        <x:v>spawn</x:v>
      </x:c>
      <x:c r="D1674" s="136" t="str">
        <x:v>USA</x:v>
      </x:c>
      <x:c r="E1674" s="136" t="str">
        <x:v>Spawnpoint_SHR_Defend_USA_126thNY</x:v>
      </x:c>
      <x:c r="F1674" s="137" t="n">
        <x:v>604.3370971679688</x:v>
      </x:c>
      <x:c r="G1674" s="137" t="n">
        <x:v>2167.4482421875</x:v>
      </x:c>
      <x:c r="H1674" s="137" t="n">
        <x:v>116.32282257080078</x:v>
      </x:c>
      <x:c r="I1674" s="137" t="n">
        <x:v>1174.294783596187</x:v>
      </x:c>
      <x:c r="J1674" s="137" t="n">
        <x:v>967.3076001149115</x:v>
      </x:c>
      <x:c r="K1674" s="136" t="str">
        <x:v>map-79</x:v>
      </x:c>
      <x:c r="L1674" s="136" t="str">
        <x:v>HarpersFerry | Skirmish | School House Ridge||Spawn | USA Spawnpoint_SHR_Defend_USA_126thNY [map-79/004]</x:v>
      </x:c>
      <x:c r="M1674" s="35"/>
      <x:c r="N1674" s="35"/>
      <x:c r="O1674" s="35"/>
      <x:c r="P1674" s="35"/>
      <x:c r="Q1674" s="35"/>
      <x:c r="R1674" s="35"/>
      <x:c r="S1674" s="35"/>
      <x:c r="T1674" s="35"/>
      <x:c r="U1674" s="35"/>
      <x:c r="V1674" s="35"/>
      <x:c r="W1674" s="35"/>
      <x:c r="X1674" s="35"/>
      <x:c r="Y1674" s="35"/>
      <x:c r="Z1674" s="35"/>
      <x:c r="AA1674" s="35"/>
    </x:row>
    <x:row r="1675">
      <x:c r="A1675" s="136" t="str">
        <x:v>HarpersFerry | Skirmish | School House Ridge</x:v>
      </x:c>
      <x:c r="B1675" s="136" t="str">
        <x:v>Spawn | USA Spawnpoint_SHR_Defend_USA_32ndOH-2 [map-79/005]</x:v>
      </x:c>
      <x:c r="C1675" s="136" t="str">
        <x:v>spawn</x:v>
      </x:c>
      <x:c r="D1675" s="136" t="str">
        <x:v>USA</x:v>
      </x:c>
      <x:c r="E1675" s="136" t="str">
        <x:v>Spawnpoint_SHR_Defend_USA_32ndOH-2</x:v>
      </x:c>
      <x:c r="F1675" s="137" t="n">
        <x:v>569.968505859375</x:v>
      </x:c>
      <x:c r="G1675" s="137" t="n">
        <x:v>2137.310546875</x:v>
      </x:c>
      <x:c r="H1675" s="137" t="n">
        <x:v>116.5553970336914</x:v>
      </x:c>
      <x:c r="I1675" s="137" t="n">
        <x:v>1089.3890235919991</x:v>
      </x:c>
      <x:c r="J1675" s="137" t="n">
        <x:v>1041.7611586651167</x:v>
      </x:c>
      <x:c r="K1675" s="136" t="str">
        <x:v>map-79</x:v>
      </x:c>
      <x:c r="L1675" s="136" t="str">
        <x:v>HarpersFerry | Skirmish | School House Ridge||Spawn | USA Spawnpoint_SHR_Defend_USA_32ndOH-2 [map-79/005]</x:v>
      </x:c>
      <x:c r="M1675" s="35"/>
      <x:c r="N1675" s="35"/>
      <x:c r="O1675" s="35"/>
      <x:c r="P1675" s="35"/>
      <x:c r="Q1675" s="35"/>
      <x:c r="R1675" s="35"/>
      <x:c r="S1675" s="35"/>
      <x:c r="T1675" s="35"/>
      <x:c r="U1675" s="35"/>
      <x:c r="V1675" s="35"/>
      <x:c r="W1675" s="35"/>
      <x:c r="X1675" s="35"/>
      <x:c r="Y1675" s="35"/>
      <x:c r="Z1675" s="35"/>
      <x:c r="AA1675" s="35"/>
    </x:row>
    <x:row r="1676">
      <x:c r="A1676" s="136" t="str">
        <x:v>HarpersFerry | Skirmish | School House Ridge</x:v>
      </x:c>
      <x:c r="B1676" s="136" t="str">
        <x:v>Artillery | USA Spawnpoint_SHR_USA_Arty_Base [map-79/006]</x:v>
      </x:c>
      <x:c r="C1676" s="136" t="str">
        <x:v>battery</x:v>
      </x:c>
      <x:c r="D1676" s="136" t="str">
        <x:v>USA</x:v>
      </x:c>
      <x:c r="E1676" s="136" t="str">
        <x:v>Spawnpoint_SHR_USA_Arty_Base</x:v>
      </x:c>
      <x:c r="F1676" s="137" t="n">
        <x:v>816.42919921875</x:v>
      </x:c>
      <x:c r="G1676" s="137" t="n">
        <x:v>2025.63134765625</x:v>
      </x:c>
      <x:c r="H1676" s="137" t="n">
        <x:v>163.76036071777344</x:v>
      </x:c>
      <x:c r="I1676" s="137" t="n">
        <x:v>1698.2569371164145</x:v>
      </x:c>
      <x:c r="J1676" s="137" t="n">
        <x:v>1317.6586256630171</x:v>
      </x:c>
      <x:c r="K1676" s="136" t="str">
        <x:v>map-79</x:v>
      </x:c>
      <x:c r="L1676" s="136" t="str">
        <x:v>HarpersFerry | Skirmish | School House Ridge||Artillery | USA Spawnpoint_SHR_USA_Arty_Base [map-79/006]</x:v>
      </x:c>
      <x:c r="M1676" s="35"/>
      <x:c r="N1676" s="35"/>
      <x:c r="O1676" s="35"/>
      <x:c r="P1676" s="35"/>
      <x:c r="Q1676" s="35"/>
      <x:c r="R1676" s="35"/>
      <x:c r="S1676" s="35"/>
      <x:c r="T1676" s="35"/>
      <x:c r="U1676" s="35"/>
      <x:c r="V1676" s="35"/>
      <x:c r="W1676" s="35"/>
      <x:c r="X1676" s="35"/>
      <x:c r="Y1676" s="35"/>
      <x:c r="Z1676" s="35"/>
      <x:c r="AA1676" s="35"/>
    </x:row>
    <x:row r="1677">
      <x:c r="A1677" s="136" t="str">
        <x:v>HarpersFerry | Skirmish | School House Ridge</x:v>
      </x:c>
      <x:c r="B1677" s="136" t="str">
        <x:v>Spawn | CSA Spawnpoint_SHR_Base_CSA_6thLA-2 [map-79/007]</x:v>
      </x:c>
      <x:c r="C1677" s="136" t="str">
        <x:v>spawn</x:v>
      </x:c>
      <x:c r="D1677" s="136" t="str">
        <x:v>CSA</x:v>
      </x:c>
      <x:c r="E1677" s="136" t="str">
        <x:v>Spawnpoint_SHR_Base_CSA_6thLA-2</x:v>
      </x:c>
      <x:c r="F1677" s="137" t="n">
        <x:v>295.9439697265625</x:v>
      </x:c>
      <x:c r="G1677" s="137" t="n">
        <x:v>2285.263916015625</x:v>
      </x:c>
      <x:c r="H1677" s="137" t="n">
        <x:v>121.15664672851562</x:v>
      </x:c>
      <x:c r="I1677" s="137" t="n">
        <x:v>412.42611605689046</x:v>
      </x:c>
      <x:c r="J1677" s="137" t="n">
        <x:v>676.2503019858144</x:v>
      </x:c>
      <x:c r="K1677" s="136" t="str">
        <x:v>map-79</x:v>
      </x:c>
      <x:c r="L1677" s="136" t="str">
        <x:v>HarpersFerry | Skirmish | School House Ridge||Spawn | CSA Spawnpoint_SHR_Base_CSA_6thLA-2 [map-79/007]</x:v>
      </x:c>
      <x:c r="M1677" s="35"/>
      <x:c r="N1677" s="35"/>
      <x:c r="O1677" s="35"/>
      <x:c r="P1677" s="35"/>
      <x:c r="Q1677" s="35"/>
      <x:c r="R1677" s="35"/>
      <x:c r="S1677" s="35"/>
      <x:c r="T1677" s="35"/>
      <x:c r="U1677" s="35"/>
      <x:c r="V1677" s="35"/>
      <x:c r="W1677" s="35"/>
      <x:c r="X1677" s="35"/>
      <x:c r="Y1677" s="35"/>
      <x:c r="Z1677" s="35"/>
      <x:c r="AA1677" s="35"/>
    </x:row>
    <x:row r="1678">
      <x:c r="A1678" s="136" t="str">
        <x:v>HarpersFerry | Skirmish | School House Ridge</x:v>
      </x:c>
      <x:c r="B1678" s="136" t="str">
        <x:v>Artillery | CSA Spawnpoint_SHR_CSA_Arty_Base [map-79/008]</x:v>
      </x:c>
      <x:c r="C1678" s="136" t="str">
        <x:v>battery</x:v>
      </x:c>
      <x:c r="D1678" s="136" t="str">
        <x:v>CSA</x:v>
      </x:c>
      <x:c r="E1678" s="136" t="str">
        <x:v>Spawnpoint_SHR_CSA_Arty_Base</x:v>
      </x:c>
      <x:c r="F1678" s="137" t="n">
        <x:v>270.56268310546875</x:v>
      </x:c>
      <x:c r="G1678" s="137" t="n">
        <x:v>2266.44677734375</x:v>
      </x:c>
      <x:c r="H1678" s="137" t="n">
        <x:v>118.52351379394531</x:v>
      </x:c>
      <x:c r="I1678" s="137" t="n">
        <x:v>349.7230098661739</x:v>
      </x:c>
      <x:c r="J1678" s="137" t="n">
        <x:v>722.7370330157315</x:v>
      </x:c>
      <x:c r="K1678" s="136" t="str">
        <x:v>map-79</x:v>
      </x:c>
      <x:c r="L1678" s="136" t="str">
        <x:v>HarpersFerry | Skirmish | School House Ridge||Artillery | CSA Spawnpoint_SHR_CSA_Arty_Base [map-79/008]</x:v>
      </x:c>
      <x:c r="M1678" s="35"/>
      <x:c r="N1678" s="35"/>
      <x:c r="O1678" s="35"/>
      <x:c r="P1678" s="35"/>
      <x:c r="Q1678" s="35"/>
      <x:c r="R1678" s="35"/>
      <x:c r="S1678" s="35"/>
      <x:c r="T1678" s="35"/>
      <x:c r="U1678" s="35"/>
      <x:c r="V1678" s="35"/>
      <x:c r="W1678" s="35"/>
      <x:c r="X1678" s="35"/>
      <x:c r="Y1678" s="35"/>
      <x:c r="Z1678" s="35"/>
      <x:c r="AA1678" s="35"/>
    </x:row>
    <x:row r="1679">
      <x:c r="A1679" s="136" t="str">
        <x:v>HarpersFerry | Skirmish | School House Ridge</x:v>
      </x:c>
      <x:c r="B1679" s="136" t="str">
        <x:v>Spawn | CSA Spawnpoint_SHR_Base_CSA_13thVA [map-79/009]</x:v>
      </x:c>
      <x:c r="C1679" s="136" t="str">
        <x:v>spawn</x:v>
      </x:c>
      <x:c r="D1679" s="136" t="str">
        <x:v>CSA</x:v>
      </x:c>
      <x:c r="E1679" s="136" t="str">
        <x:v>Spawnpoint_SHR_Base_CSA_13thVA</x:v>
      </x:c>
      <x:c r="F1679" s="137" t="n">
        <x:v>278.49493408203125</x:v>
      </x:c>
      <x:c r="G1679" s="137" t="n">
        <x:v>2247.73046875</x:v>
      </x:c>
      <x:c r="H1679" s="137" t="n">
        <x:v>120.15103912353516</x:v>
      </x:c>
      <x:c r="I1679" s="137" t="n">
        <x:v>369.3192101195313</x:v>
      </x:c>
      <x:c r="J1679" s="137" t="n">
        <x:v>768.9746687499579</x:v>
      </x:c>
      <x:c r="K1679" s="136" t="str">
        <x:v>map-79</x:v>
      </x:c>
      <x:c r="L1679" s="136" t="str">
        <x:v>HarpersFerry | Skirmish | School House Ridge||Spawn | CSA Spawnpoint_SHR_Base_CSA_13thVA [map-79/009]</x:v>
      </x:c>
      <x:c r="M1679" s="35"/>
      <x:c r="N1679" s="35"/>
      <x:c r="O1679" s="35"/>
      <x:c r="P1679" s="35"/>
      <x:c r="Q1679" s="35"/>
      <x:c r="R1679" s="35"/>
      <x:c r="S1679" s="35"/>
      <x:c r="T1679" s="35"/>
      <x:c r="U1679" s="35"/>
      <x:c r="V1679" s="35"/>
      <x:c r="W1679" s="35"/>
      <x:c r="X1679" s="35"/>
      <x:c r="Y1679" s="35"/>
      <x:c r="Z1679" s="35"/>
      <x:c r="AA1679" s="35"/>
    </x:row>
    <x:row r="1680">
      <x:c r="A1680" s="136" t="str">
        <x:v>HarpersFerry | Skirmish | School House Ridge</x:v>
      </x:c>
      <x:c r="B1680" s="136" t="str">
        <x:v>Artillery | CSA Spawnpoint_SHR_CSA_Arty_Courtney_Forward [map-79/010]</x:v>
      </x:c>
      <x:c r="C1680" s="136" t="str">
        <x:v>battery</x:v>
      </x:c>
      <x:c r="D1680" s="136" t="str">
        <x:v>CSA</x:v>
      </x:c>
      <x:c r="E1680" s="136" t="str">
        <x:v>Spawnpoint_SHR_CSA_Arty_Courtney_Forward</x:v>
      </x:c>
      <x:c r="F1680" s="137" t="n">
        <x:v>198.10397338867188</x:v>
      </x:c>
      <x:c r="G1680" s="137" t="n">
        <x:v>2072.03369140625</x:v>
      </x:c>
      <x:c r="H1680" s="137" t="n">
        <x:v>121.39627075195312</x:v>
      </x:c>
      <x:c r="I1680" s="137" t="n">
        <x:v>170.71765692087752</x:v>
      </x:c>
      <x:c r="J1680" s="137" t="n">
        <x:v>1203.024126195354</x:v>
      </x:c>
      <x:c r="K1680" s="136" t="str">
        <x:v>map-79</x:v>
      </x:c>
      <x:c r="L1680" s="136" t="str">
        <x:v>HarpersFerry | Skirmish | School House Ridge||Artillery | CSA Spawnpoint_SHR_CSA_Arty_Courtney_Forward [map-79/010]</x:v>
      </x:c>
      <x:c r="M1680" s="35"/>
      <x:c r="N1680" s="35"/>
      <x:c r="O1680" s="35"/>
      <x:c r="P1680" s="35"/>
      <x:c r="Q1680" s="35"/>
      <x:c r="R1680" s="35"/>
      <x:c r="S1680" s="35"/>
      <x:c r="T1680" s="35"/>
      <x:c r="U1680" s="35"/>
      <x:c r="V1680" s="35"/>
      <x:c r="W1680" s="35"/>
      <x:c r="X1680" s="35"/>
      <x:c r="Y1680" s="35"/>
      <x:c r="Z1680" s="35"/>
      <x:c r="AA1680" s="35"/>
    </x:row>
    <x:row r="1681">
      <x:c r="A1681" s="136" t="str">
        <x:v>HarpersFerry | Skirmish | School House Ridge</x:v>
      </x:c>
      <x:c r="B1681" s="136" t="str">
        <x:v>Objective | Victory_School_House_Ridge [map-79/011]</x:v>
      </x:c>
      <x:c r="C1681" s="136" t="str">
        <x:v>objective</x:v>
      </x:c>
      <x:c r="D1681" s="136" t="str"/>
      <x:c r="E1681" s="136" t="str">
        <x:v>Victory_School_House_Ridge</x:v>
      </x:c>
      <x:c r="F1681" s="137" t="n">
        <x:v>670.4937744140625</x:v>
      </x:c>
      <x:c r="G1681" s="137" t="n">
        <x:v>2186.49267578125</x:v>
      </x:c>
      <x:c r="H1681" s="137" t="n">
        <x:v>123.9476318359375</x:v>
      </x:c>
      <x:c r="I1681" s="137" t="n">
        <x:v>1337.7313036006256</x:v>
      </x:c>
      <x:c r="J1681" s="137" t="n">
        <x:v>920.2593491811494</x:v>
      </x:c>
      <x:c r="K1681" s="136" t="str">
        <x:v>map-79</x:v>
      </x:c>
      <x:c r="L1681" s="136" t="str">
        <x:v>HarpersFerry | Skirmish | School House Ridge||Objective | Victory_School_House_Ridge [map-79/011]</x:v>
      </x:c>
      <x:c r="M1681" s="35"/>
      <x:c r="N1681" s="35"/>
      <x:c r="O1681" s="35"/>
      <x:c r="P1681" s="35"/>
      <x:c r="Q1681" s="35"/>
      <x:c r="R1681" s="35"/>
      <x:c r="S1681" s="35"/>
      <x:c r="T1681" s="35"/>
      <x:c r="U1681" s="35"/>
      <x:c r="V1681" s="35"/>
      <x:c r="W1681" s="35"/>
      <x:c r="X1681" s="35"/>
      <x:c r="Y1681" s="35"/>
      <x:c r="Z1681" s="35"/>
      <x:c r="AA1681" s="35"/>
    </x:row>
    <x:row r="1682">
      <x:c r="A1682" s="136" t="str">
        <x:v>HarpersFerry | Skirmish | School House Ridge</x:v>
      </x:c>
      <x:c r="B1682" s="136" t="str">
        <x:v>Spawn | CSA Spawnpoint_SHR_Base_CSA_13thVA-2 [map-79/012]</x:v>
      </x:c>
      <x:c r="C1682" s="136" t="str">
        <x:v>spawn</x:v>
      </x:c>
      <x:c r="D1682" s="136" t="str">
        <x:v>CSA</x:v>
      </x:c>
      <x:c r="E1682" s="136" t="str">
        <x:v>Spawnpoint_SHR_Base_CSA_13thVA-2</x:v>
      </x:c>
      <x:c r="F1682" s="137" t="n">
        <x:v>271.3516540527344</x:v>
      </x:c>
      <x:c r="G1682" s="137" t="n">
        <x:v>2234.9541015625</x:v>
      </x:c>
      <x:c r="H1682" s="137" t="n">
        <x:v>119.86820983886719</x:v>
      </x:c>
      <x:c r="I1682" s="137" t="n">
        <x:v>351.67212024132226</x:v>
      </x:c>
      <x:c r="J1682" s="137" t="n">
        <x:v>800.5379980818764</x:v>
      </x:c>
      <x:c r="K1682" s="136" t="str">
        <x:v>map-79</x:v>
      </x:c>
      <x:c r="L1682" s="136" t="str">
        <x:v>HarpersFerry | Skirmish | School House Ridge||Spawn | CSA Spawnpoint_SHR_Base_CSA_13thVA-2 [map-79/012]</x:v>
      </x:c>
      <x:c r="M1682" s="35"/>
      <x:c r="N1682" s="35"/>
      <x:c r="O1682" s="35"/>
      <x:c r="P1682" s="35"/>
      <x:c r="Q1682" s="35"/>
      <x:c r="R1682" s="35"/>
      <x:c r="S1682" s="35"/>
      <x:c r="T1682" s="35"/>
      <x:c r="U1682" s="35"/>
      <x:c r="V1682" s="35"/>
      <x:c r="W1682" s="35"/>
      <x:c r="X1682" s="35"/>
      <x:c r="Y1682" s="35"/>
      <x:c r="Z1682" s="35"/>
      <x:c r="AA1682" s="35"/>
    </x:row>
    <x:row r="1683">
      <x:c r="A1683" s="136" t="str">
        <x:v>HarpersFerry | Skirmish | School House Ridge</x:v>
      </x:c>
      <x:c r="B1683" s="136" t="str">
        <x:v>Spawn | USA Spawnpoint_SHR_Defend_USA_126thNY-2 [map-79/013]</x:v>
      </x:c>
      <x:c r="C1683" s="136" t="str">
        <x:v>spawn</x:v>
      </x:c>
      <x:c r="D1683" s="136" t="str">
        <x:v>USA</x:v>
      </x:c>
      <x:c r="E1683" s="136" t="str">
        <x:v>Spawnpoint_SHR_Defend_USA_126thNY-2</x:v>
      </x:c>
      <x:c r="F1683" s="137" t="n">
        <x:v>611.89013671875</x:v>
      </x:c>
      <x:c r="G1683" s="137" t="n">
        <x:v>2179.600830078125</x:v>
      </x:c>
      <x:c r="H1683" s="137" t="n">
        <x:v>116.06668090820312</x:v>
      </x:c>
      <x:c r="I1683" s="137" t="n">
        <x:v>1192.9541623773132</x:v>
      </x:c>
      <x:c r="J1683" s="137" t="n">
        <x:v>937.2852840529434</x:v>
      </x:c>
      <x:c r="K1683" s="136" t="str">
        <x:v>map-79</x:v>
      </x:c>
      <x:c r="L1683" s="136" t="str">
        <x:v>HarpersFerry | Skirmish | School House Ridge||Spawn | USA Spawnpoint_SHR_Defend_USA_126thNY-2 [map-79/013]</x:v>
      </x:c>
      <x:c r="M1683" s="35"/>
      <x:c r="N1683" s="35"/>
      <x:c r="O1683" s="35"/>
      <x:c r="P1683" s="35"/>
      <x:c r="Q1683" s="35"/>
      <x:c r="R1683" s="35"/>
      <x:c r="S1683" s="35"/>
      <x:c r="T1683" s="35"/>
      <x:c r="U1683" s="35"/>
      <x:c r="V1683" s="35"/>
      <x:c r="W1683" s="35"/>
      <x:c r="X1683" s="35"/>
      <x:c r="Y1683" s="35"/>
      <x:c r="Z1683" s="35"/>
      <x:c r="AA1683" s="35"/>
    </x:row>
    <x:row r="1684">
      <x:c r="A1684" s="136" t="str">
        <x:v>HarpersFerry | Skirmish | School House Ridge</x:v>
      </x:c>
      <x:c r="B1684" s="136" t="str">
        <x:v>Spawn | USA Spawnpoint_SHR_Base_USA_126thNY-2 [map-79/014]</x:v>
      </x:c>
      <x:c r="C1684" s="136" t="str">
        <x:v>spawn</x:v>
      </x:c>
      <x:c r="D1684" s="136" t="str">
        <x:v>USA</x:v>
      </x:c>
      <x:c r="E1684" s="136" t="str">
        <x:v>Spawnpoint_SHR_Base_USA_126thNY-2</x:v>
      </x:c>
      <x:c r="F1684" s="137" t="n">
        <x:v>844.5662231445312</x:v>
      </x:c>
      <x:c r="G1684" s="137" t="n">
        <x:v>2054.577880859375</x:v>
      </x:c>
      <x:c r="H1684" s="137" t="n">
        <x:v>163.5164337158203</x:v>
      </x:c>
      <x:c r="I1684" s="137" t="n">
        <x:v>1767.767944396981</x:v>
      </x:c>
      <x:c r="J1684" s="137" t="n">
        <x:v>1246.1477691652929</x:v>
      </x:c>
      <x:c r="K1684" s="136" t="str">
        <x:v>map-79</x:v>
      </x:c>
      <x:c r="L1684" s="136" t="str">
        <x:v>HarpersFerry | Skirmish | School House Ridge||Spawn | USA Spawnpoint_SHR_Base_USA_126thNY-2 [map-79/014]</x:v>
      </x:c>
      <x:c r="M1684" s="35"/>
      <x:c r="N1684" s="35"/>
      <x:c r="O1684" s="35"/>
      <x:c r="P1684" s="35"/>
      <x:c r="Q1684" s="35"/>
      <x:c r="R1684" s="35"/>
      <x:c r="S1684" s="35"/>
      <x:c r="T1684" s="35"/>
      <x:c r="U1684" s="35"/>
      <x:c r="V1684" s="35"/>
      <x:c r="W1684" s="35"/>
      <x:c r="X1684" s="35"/>
      <x:c r="Y1684" s="35"/>
      <x:c r="Z1684" s="35"/>
      <x:c r="AA1684" s="35"/>
    </x:row>
    <x:row r="1685">
      <x:c r="A1685" s="136" t="str">
        <x:v>HarpersFerry | Skirmish | School House Ridge</x:v>
      </x:c>
      <x:c r="B1685" s="136" t="str">
        <x:v>Spawn | USA Spawnpoint_SHR_Defend_USA_32ndOH [map-79/015]</x:v>
      </x:c>
      <x:c r="C1685" s="136" t="str">
        <x:v>spawn</x:v>
      </x:c>
      <x:c r="D1685" s="136" t="str">
        <x:v>USA</x:v>
      </x:c>
      <x:c r="E1685" s="136" t="str">
        <x:v>Spawnpoint_SHR_Defend_USA_32ndOH</x:v>
      </x:c>
      <x:c r="F1685" s="137" t="n">
        <x:v>579.2184448242188</x:v>
      </x:c>
      <x:c r="G1685" s="137" t="n">
        <x:v>2153.00244140625</x:v>
      </x:c>
      <x:c r="H1685" s="137" t="n">
        <x:v>115.87267303466797</x:v>
      </x:c>
      <x:c r="I1685" s="137" t="n">
        <x:v>1112.240501290069</x:v>
      </x:c>
      <x:c r="J1685" s="137" t="n">
        <x:v>1002.995175528991</x:v>
      </x:c>
      <x:c r="K1685" s="136" t="str">
        <x:v>map-79</x:v>
      </x:c>
      <x:c r="L1685" s="136" t="str">
        <x:v>HarpersFerry | Skirmish | School House Ridge||Spawn | USA Spawnpoint_SHR_Defend_USA_32ndOH [map-79/015]</x:v>
      </x:c>
      <x:c r="M1685" s="35"/>
      <x:c r="N1685" s="35"/>
      <x:c r="O1685" s="35"/>
      <x:c r="P1685" s="35"/>
      <x:c r="Q1685" s="35"/>
      <x:c r="R1685" s="35"/>
      <x:c r="S1685" s="35"/>
      <x:c r="T1685" s="35"/>
      <x:c r="U1685" s="35"/>
      <x:c r="V1685" s="35"/>
      <x:c r="W1685" s="35"/>
      <x:c r="X1685" s="35"/>
      <x:c r="Y1685" s="35"/>
      <x:c r="Z1685" s="35"/>
      <x:c r="AA1685" s="35"/>
    </x:row>
    <x:row r="1686">
      <x:c r="A1686" s="136" t="str">
        <x:v>HarpersFerry | Skirmish | School House Ridge</x:v>
      </x:c>
      <x:c r="B1686" s="136" t="str">
        <x:v>Artillery | USA Spawnpoint_SHR_USA_Arty_Von_Sehlen_Forward [map-79/016]</x:v>
      </x:c>
      <x:c r="C1686" s="136" t="str">
        <x:v>battery</x:v>
      </x:c>
      <x:c r="D1686" s="136" t="str">
        <x:v>USA</x:v>
      </x:c>
      <x:c r="E1686" s="136" t="str">
        <x:v>Spawnpoint_SHR_USA_Arty_Von_Sehlen_Forward</x:v>
      </x:c>
      <x:c r="F1686" s="137" t="n">
        <x:v>945.590576171875</x:v>
      </x:c>
      <x:c r="G1686" s="137" t="n">
        <x:v>2293.46337890625</x:v>
      </x:c>
      <x:c r="H1686" s="137" t="n">
        <x:v>171.48898315429688</x:v>
      </x:c>
      <x:c r="I1686" s="137" t="n">
        <x:v>2017.3431858056451</x:v>
      </x:c>
      <x:c r="J1686" s="137" t="n">
        <x:v>655.9939690420615</x:v>
      </x:c>
      <x:c r="K1686" s="136" t="str">
        <x:v>map-79</x:v>
      </x:c>
      <x:c r="L1686" s="136" t="str">
        <x:v>HarpersFerry | Skirmish | School House Ridge||Artillery | USA Spawnpoint_SHR_USA_Arty_Von_Sehlen_Forward [map-79/016]</x:v>
      </x:c>
      <x:c r="M1686" s="35"/>
      <x:c r="N1686" s="35"/>
      <x:c r="O1686" s="35"/>
      <x:c r="P1686" s="35"/>
      <x:c r="Q1686" s="35"/>
      <x:c r="R1686" s="35"/>
      <x:c r="S1686" s="35"/>
      <x:c r="T1686" s="35"/>
      <x:c r="U1686" s="35"/>
      <x:c r="V1686" s="35"/>
      <x:c r="W1686" s="35"/>
      <x:c r="X1686" s="35"/>
      <x:c r="Y1686" s="35"/>
      <x:c r="Z1686" s="35"/>
      <x:c r="AA1686" s="35"/>
    </x:row>
    <x:row r="1687">
      <x:c r="A1687" s="136" t="str">
        <x:v>HarpersFerry | Skirmish | School House Ridge</x:v>
      </x:c>
      <x:c r="B1687" s="136" t="str">
        <x:v>Spawn | USA Spawnpoint_SHR_Base_USA_32ndOH [map-79/017]</x:v>
      </x:c>
      <x:c r="C1687" s="136" t="str">
        <x:v>spawn</x:v>
      </x:c>
      <x:c r="D1687" s="136" t="str">
        <x:v>USA</x:v>
      </x:c>
      <x:c r="E1687" s="136" t="str">
        <x:v>Spawnpoint_SHR_Base_USA_32ndOH</x:v>
      </x:c>
      <x:c r="F1687" s="137" t="n">
        <x:v>826.5762939453125</x:v>
      </x:c>
      <x:c r="G1687" s="137" t="n">
        <x:v>2077.937255859375</x:v>
      </x:c>
      <x:c r="H1687" s="137" t="n">
        <x:v>164.71005249023438</x:v>
      </x:c>
      <x:c r="I1687" s="137" t="n">
        <x:v>1723.3247899666376</x:v>
      </x:c>
      <x:c r="J1687" s="137" t="n">
        <x:v>1188.4396871031136</x:v>
      </x:c>
      <x:c r="K1687" s="136" t="str">
        <x:v>map-79</x:v>
      </x:c>
      <x:c r="L1687" s="136" t="str">
        <x:v>HarpersFerry | Skirmish | School House Ridge||Spawn | USA Spawnpoint_SHR_Base_USA_32ndOH [map-79/017]</x:v>
      </x:c>
      <x:c r="M1687" s="35"/>
      <x:c r="N1687" s="35"/>
      <x:c r="O1687" s="35"/>
      <x:c r="P1687" s="35"/>
      <x:c r="Q1687" s="35"/>
      <x:c r="R1687" s="35"/>
      <x:c r="S1687" s="35"/>
      <x:c r="T1687" s="35"/>
      <x:c r="U1687" s="35"/>
      <x:c r="V1687" s="35"/>
      <x:c r="W1687" s="35"/>
      <x:c r="X1687" s="35"/>
      <x:c r="Y1687" s="35"/>
      <x:c r="Z1687" s="35"/>
      <x:c r="AA1687" s="35"/>
    </x:row>
    <x:row r="1688">
      <x:c r="A1688" s="136" t="str">
        <x:v>HarpersFerry | Skirmish | School House Ridge</x:v>
      </x:c>
      <x:c r="B1688" s="136" t="str">
        <x:v>Gun | 12-pounder Napoleon (USA) · 3InchOrdnanceRifle-66 [map-79/018]</x:v>
      </x:c>
      <x:c r="C1688" s="136" t="str">
        <x:v>gun_spawn</x:v>
      </x:c>
      <x:c r="D1688" s="136" t="str"/>
      <x:c r="E1688" s="136" t="str">
        <x:v>12-pounder Napoleon (USA) · 3InchOrdnanceRifle-66</x:v>
      </x:c>
      <x:c r="F1688" s="137" t="n">
        <x:v>934.9803466796875</x:v>
      </x:c>
      <x:c r="G1688" s="137" t="n">
        <x:v>2304.124267578125</x:v>
      </x:c>
      <x:c r="H1688" s="137" t="n">
        <x:v>171.0350341796875</x:v>
      </x:c>
      <x:c r="I1688" s="137" t="n">
        <x:v>1991.1311833769112</x:v>
      </x:c>
      <x:c r="J1688" s="137" t="n">
        <x:v>629.6568158291728</x:v>
      </x:c>
      <x:c r="K1688" s="136" t="str">
        <x:v>map-79</x:v>
      </x:c>
      <x:c r="L1688" s="136" t="str">
        <x:v>HarpersFerry | Skirmish | School House Ridge||Gun | 12-pounder Napoleon (USA) · 3InchOrdnanceRifle-66 [map-79/018]</x:v>
      </x:c>
      <x:c r="M1688" s="35"/>
      <x:c r="N1688" s="35"/>
      <x:c r="O1688" s="35"/>
      <x:c r="P1688" s="35"/>
      <x:c r="Q1688" s="35"/>
      <x:c r="R1688" s="35"/>
      <x:c r="S1688" s="35"/>
      <x:c r="T1688" s="35"/>
      <x:c r="U1688" s="35"/>
      <x:c r="V1688" s="35"/>
      <x:c r="W1688" s="35"/>
      <x:c r="X1688" s="35"/>
      <x:c r="Y1688" s="35"/>
      <x:c r="Z1688" s="35"/>
      <x:c r="AA1688" s="35"/>
    </x:row>
    <x:row r="1689">
      <x:c r="A1689" s="136" t="str">
        <x:v>HarpersFerry | Skirmish | School House Ridge</x:v>
      </x:c>
      <x:c r="B1689" s="136" t="str">
        <x:v>Gun | 10-pounder Parrott · 3InchOrdnanceRifle-45 [map-79/019]</x:v>
      </x:c>
      <x:c r="C1689" s="136" t="str">
        <x:v>gun_spawn</x:v>
      </x:c>
      <x:c r="D1689" s="136" t="str"/>
      <x:c r="E1689" s="136" t="str">
        <x:v>10-pounder Parrott · 3InchOrdnanceRifle-45</x:v>
      </x:c>
      <x:c r="F1689" s="137" t="n">
        <x:v>217.31394958496094</x:v>
      </x:c>
      <x:c r="G1689" s="137" t="n">
        <x:v>2070.109375</x:v>
      </x:c>
      <x:c r="H1689" s="137" t="n">
        <x:v>122.49136352539062</x:v>
      </x:c>
      <x:c r="I1689" s="137" t="n">
        <x:v>218.17487196828174</x:v>
      </x:c>
      <x:c r="J1689" s="137" t="n">
        <x:v>1207.7780465842973</x:v>
      </x:c>
      <x:c r="K1689" s="136" t="str">
        <x:v>map-79</x:v>
      </x:c>
      <x:c r="L1689" s="136" t="str">
        <x:v>HarpersFerry | Skirmish | School House Ridge||Gun | 10-pounder Parrott · 3InchOrdnanceRifle-45 [map-79/019]</x:v>
      </x:c>
      <x:c r="M1689" s="35"/>
      <x:c r="N1689" s="35"/>
      <x:c r="O1689" s="35"/>
      <x:c r="P1689" s="35"/>
      <x:c r="Q1689" s="35"/>
      <x:c r="R1689" s="35"/>
      <x:c r="S1689" s="35"/>
      <x:c r="T1689" s="35"/>
      <x:c r="U1689" s="35"/>
      <x:c r="V1689" s="35"/>
      <x:c r="W1689" s="35"/>
      <x:c r="X1689" s="35"/>
      <x:c r="Y1689" s="35"/>
      <x:c r="Z1689" s="35"/>
      <x:c r="AA1689" s="35"/>
    </x:row>
    <x:row r="1690">
      <x:c r="A1690" s="136" t="str">
        <x:v>HarpersFerry | Skirmish | School House Ridge</x:v>
      </x:c>
      <x:c r="B1690" s="136" t="str">
        <x:v>Gun | 10-pounder Parrott · 3InchOrdnanceRifle-43 [map-79/020]</x:v>
      </x:c>
      <x:c r="C1690" s="136" t="str">
        <x:v>gun_spawn</x:v>
      </x:c>
      <x:c r="D1690" s="136" t="str"/>
      <x:c r="E1690" s="136" t="str">
        <x:v>10-pounder Parrott · 3InchOrdnanceRifle-43</x:v>
      </x:c>
      <x:c r="F1690" s="137" t="n">
        <x:v>218.51568603515625</x:v>
      </x:c>
      <x:c r="G1690" s="137" t="n">
        <x:v>2058.2646484375</x:v>
      </x:c>
      <x:c r="H1690" s="137" t="n">
        <x:v>123.0595932006836</x:v>
      </x:c>
      <x:c r="I1690" s="137" t="n">
        <x:v>221.14369736215394</x:v>
      </x:c>
      <x:c r="J1690" s="137" t="n">
        <x:v>1237.0398077603913</x:v>
      </x:c>
      <x:c r="K1690" s="136" t="str">
        <x:v>map-79</x:v>
      </x:c>
      <x:c r="L1690" s="136" t="str">
        <x:v>HarpersFerry | Skirmish | School House Ridge||Gun | 10-pounder Parrott · 3InchOrdnanceRifle-43 [map-79/020]</x:v>
      </x:c>
      <x:c r="M1690" s="35"/>
      <x:c r="N1690" s="35"/>
      <x:c r="O1690" s="35"/>
      <x:c r="P1690" s="35"/>
      <x:c r="Q1690" s="35"/>
      <x:c r="R1690" s="35"/>
      <x:c r="S1690" s="35"/>
      <x:c r="T1690" s="35"/>
      <x:c r="U1690" s="35"/>
      <x:c r="V1690" s="35"/>
      <x:c r="W1690" s="35"/>
      <x:c r="X1690" s="35"/>
      <x:c r="Y1690" s="35"/>
      <x:c r="Z1690" s="35"/>
      <x:c r="AA1690" s="35"/>
    </x:row>
    <x:row r="1691">
      <x:c r="A1691" s="136" t="str">
        <x:v>HarpersFerry | Skirmish | School House Ridge</x:v>
      </x:c>
      <x:c r="B1691" s="136" t="str">
        <x:v>Gun | 10-pounder Parrott · 3InchOrdnanceRifle-61 [map-79/021]</x:v>
      </x:c>
      <x:c r="C1691" s="136" t="str">
        <x:v>gun_spawn</x:v>
      </x:c>
      <x:c r="D1691" s="136" t="str"/>
      <x:c r="E1691" s="136" t="str">
        <x:v>10-pounder Parrott · 3InchOrdnanceRifle-61</x:v>
      </x:c>
      <x:c r="F1691" s="137" t="n">
        <x:v>956.8238525390625</x:v>
      </x:c>
      <x:c r="G1691" s="137" t="n">
        <x:v>2356.27490234375</x:v>
      </x:c>
      <x:c r="H1691" s="137" t="n">
        <x:v>168.3546905517578</x:v>
      </x:c>
      <x:c r="I1691" s="137" t="n">
        <x:v>2045.0943920954023</x:v>
      </x:c>
      <x:c r="J1691" s="137" t="n">
        <x:v>500.8214719619067</x:v>
      </x:c>
      <x:c r="K1691" s="136" t="str">
        <x:v>map-79</x:v>
      </x:c>
      <x:c r="L1691" s="136" t="str">
        <x:v>HarpersFerry | Skirmish | School House Ridge||Gun | 10-pounder Parrott · 3InchOrdnanceRifle-61 [map-79/021]</x:v>
      </x:c>
      <x:c r="M1691" s="35"/>
      <x:c r="N1691" s="35"/>
      <x:c r="O1691" s="35"/>
      <x:c r="P1691" s="35"/>
      <x:c r="Q1691" s="35"/>
      <x:c r="R1691" s="35"/>
      <x:c r="S1691" s="35"/>
      <x:c r="T1691" s="35"/>
      <x:c r="U1691" s="35"/>
      <x:c r="V1691" s="35"/>
      <x:c r="W1691" s="35"/>
      <x:c r="X1691" s="35"/>
      <x:c r="Y1691" s="35"/>
      <x:c r="Z1691" s="35"/>
      <x:c r="AA1691" s="35"/>
    </x:row>
    <x:row r="1692">
      <x:c r="A1692" s="136" t="str">
        <x:v>HarpersFerry | Skirmish | School House Ridge</x:v>
      </x:c>
      <x:c r="B1692" s="136" t="str">
        <x:v>Gun | 10-pounder Parrott · 3InchOrdnanceRifle-62 [map-79/022]</x:v>
      </x:c>
      <x:c r="C1692" s="136" t="str">
        <x:v>gun_spawn</x:v>
      </x:c>
      <x:c r="D1692" s="136" t="str"/>
      <x:c r="E1692" s="136" t="str">
        <x:v>10-pounder Parrott · 3InchOrdnanceRifle-62</x:v>
      </x:c>
      <x:c r="F1692" s="137" t="n">
        <x:v>954.658447265625</x:v>
      </x:c>
      <x:c r="G1692" s="137" t="n">
        <x:v>2349.99755859375</x:v>
      </x:c>
      <x:c r="H1692" s="137" t="n">
        <x:v>168.9351043701172</x:v>
      </x:c>
      <x:c r="I1692" s="137" t="n">
        <x:v>2039.7448746011453</x:v>
      </x:c>
      <x:c r="J1692" s="137" t="n">
        <x:v>516.329312743499</x:v>
      </x:c>
      <x:c r="K1692" s="136" t="str">
        <x:v>map-79</x:v>
      </x:c>
      <x:c r="L1692" s="136" t="str">
        <x:v>HarpersFerry | Skirmish | School House Ridge||Gun | 10-pounder Parrott · 3InchOrdnanceRifle-62 [map-79/022]</x:v>
      </x:c>
      <x:c r="M1692" s="35"/>
      <x:c r="N1692" s="35"/>
      <x:c r="O1692" s="35"/>
      <x:c r="P1692" s="35"/>
      <x:c r="Q1692" s="35"/>
      <x:c r="R1692" s="35"/>
      <x:c r="S1692" s="35"/>
      <x:c r="T1692" s="35"/>
      <x:c r="U1692" s="35"/>
      <x:c r="V1692" s="35"/>
      <x:c r="W1692" s="35"/>
      <x:c r="X1692" s="35"/>
      <x:c r="Y1692" s="35"/>
      <x:c r="Z1692" s="35"/>
      <x:c r="AA1692" s="35"/>
    </x:row>
    <x:row r="1693">
      <x:c r="A1693" s="136" t="str">
        <x:v>HarpersFerry | Skirmish | School House Ridge</x:v>
      </x:c>
      <x:c r="B1693" s="136" t="str">
        <x:v>Gun | 3-inch Ordnance · 3InchOrdnanceRifle-68 [map-79/023]</x:v>
      </x:c>
      <x:c r="C1693" s="136" t="str">
        <x:v>gun_spawn</x:v>
      </x:c>
      <x:c r="D1693" s="136" t="str"/>
      <x:c r="E1693" s="136" t="str">
        <x:v>3-inch Ordnance · 3InchOrdnanceRifle-68</x:v>
      </x:c>
      <x:c r="F1693" s="137" t="n">
        <x:v>921.8031005859375</x:v>
      </x:c>
      <x:c r="G1693" s="137" t="n">
        <x:v>2281.516357421875</x:v>
      </x:c>
      <x:c r="H1693" s="137" t="n">
        <x:v>171.25772094726562</x:v>
      </x:c>
      <x:c r="I1693" s="137" t="n">
        <x:v>1958.577504225322</x:v>
      </x:c>
      <x:c r="J1693" s="137" t="n">
        <x:v>685.5084443317013</x:v>
      </x:c>
      <x:c r="K1693" s="136" t="str">
        <x:v>map-79</x:v>
      </x:c>
      <x:c r="L1693" s="136" t="str">
        <x:v>HarpersFerry | Skirmish | School House Ridge||Gun | 3-inch Ordnance · 3InchOrdnanceRifle-68 [map-79/023]</x:v>
      </x:c>
      <x:c r="M1693" s="35"/>
      <x:c r="N1693" s="35"/>
      <x:c r="O1693" s="35"/>
      <x:c r="P1693" s="35"/>
      <x:c r="Q1693" s="35"/>
      <x:c r="R1693" s="35"/>
      <x:c r="S1693" s="35"/>
      <x:c r="T1693" s="35"/>
      <x:c r="U1693" s="35"/>
      <x:c r="V1693" s="35"/>
      <x:c r="W1693" s="35"/>
      <x:c r="X1693" s="35"/>
      <x:c r="Y1693" s="35"/>
      <x:c r="Z1693" s="35"/>
      <x:c r="AA1693" s="35"/>
    </x:row>
    <x:row r="1694">
      <x:c r="A1694" s="136" t="str">
        <x:v>HarpersFerry | Skirmish | School House Ridge</x:v>
      </x:c>
      <x:c r="B1694" s="136" t="str">
        <x:v>Gun | 12-pounder Napoleon (CSA) · 3InchOrdnanceRifle-47 [map-79/024]</x:v>
      </x:c>
      <x:c r="C1694" s="136" t="str">
        <x:v>gun_spawn</x:v>
      </x:c>
      <x:c r="D1694" s="136" t="str"/>
      <x:c r="E1694" s="136" t="str">
        <x:v>12-pounder Napoleon (CSA) · 3InchOrdnanceRifle-47</x:v>
      </x:c>
      <x:c r="F1694" s="137" t="n">
        <x:v>216.07095336914062</x:v>
      </x:c>
      <x:c r="G1694" s="137" t="n">
        <x:v>2083.081298828125</x:v>
      </x:c>
      <x:c r="H1694" s="137" t="n">
        <x:v>121.29390716552734</x:v>
      </x:c>
      <x:c r="I1694" s="137" t="n">
        <x:v>215.10411653815842</x:v>
      </x:c>
      <x:c r="J1694" s="137" t="n">
        <x:v>1175.7316050687268</x:v>
      </x:c>
      <x:c r="K1694" s="136" t="str">
        <x:v>map-79</x:v>
      </x:c>
      <x:c r="L1694" s="136" t="str">
        <x:v>HarpersFerry | Skirmish | School House Ridge||Gun | 12-pounder Napoleon (CSA) · 3InchOrdnanceRifle-47 [map-79/024]</x:v>
      </x:c>
      <x:c r="M1694" s="35"/>
      <x:c r="N1694" s="35"/>
      <x:c r="O1694" s="35"/>
      <x:c r="P1694" s="35"/>
      <x:c r="Q1694" s="35"/>
      <x:c r="R1694" s="35"/>
      <x:c r="S1694" s="35"/>
      <x:c r="T1694" s="35"/>
      <x:c r="U1694" s="35"/>
      <x:c r="V1694" s="35"/>
      <x:c r="W1694" s="35"/>
      <x:c r="X1694" s="35"/>
      <x:c r="Y1694" s="35"/>
      <x:c r="Z1694" s="35"/>
      <x:c r="AA1694" s="35"/>
    </x:row>
    <x:row r="1695">
      <x:c r="A1695" s="136" t="str">
        <x:v>HarpersFerry | Skirmish | School House Ridge</x:v>
      </x:c>
      <x:c r="B1695" s="136" t="str">
        <x:v>Gun | 10-pounder Parrott · 3InchOrdnanceRifle-63 [map-79/025]</x:v>
      </x:c>
      <x:c r="C1695" s="136" t="str">
        <x:v>gun_spawn</x:v>
      </x:c>
      <x:c r="D1695" s="136" t="str"/>
      <x:c r="E1695" s="136" t="str">
        <x:v>10-pounder Parrott · 3InchOrdnanceRifle-63</x:v>
      </x:c>
      <x:c r="F1695" s="137" t="n">
        <x:v>949.8626098632812</x:v>
      </x:c>
      <x:c r="G1695" s="137" t="n">
        <x:v>2339.3837890625</x:v>
      </x:c>
      <x:c r="H1695" s="137" t="n">
        <x:v>169.35792541503906</x:v>
      </x:c>
      <x:c r="I1695" s="137" t="n">
        <x:v>2027.8970157277245</x:v>
      </x:c>
      <x:c r="J1695" s="137" t="n">
        <x:v>542.5500606487161</x:v>
      </x:c>
      <x:c r="K1695" s="136" t="str">
        <x:v>map-79</x:v>
      </x:c>
      <x:c r="L1695" s="136" t="str">
        <x:v>HarpersFerry | Skirmish | School House Ridge||Gun | 10-pounder Parrott · 3InchOrdnanceRifle-63 [map-79/025]</x:v>
      </x:c>
      <x:c r="M1695" s="35"/>
      <x:c r="N1695" s="35"/>
      <x:c r="O1695" s="35"/>
      <x:c r="P1695" s="35"/>
      <x:c r="Q1695" s="35"/>
      <x:c r="R1695" s="35"/>
      <x:c r="S1695" s="35"/>
      <x:c r="T1695" s="35"/>
      <x:c r="U1695" s="35"/>
      <x:c r="V1695" s="35"/>
      <x:c r="W1695" s="35"/>
      <x:c r="X1695" s="35"/>
      <x:c r="Y1695" s="35"/>
      <x:c r="Z1695" s="35"/>
      <x:c r="AA1695" s="35"/>
    </x:row>
    <x:row r="1696">
      <x:c r="A1696" s="136" t="str">
        <x:v>HarpersFerry | Skirmish | School House Ridge</x:v>
      </x:c>
      <x:c r="B1696" s="136" t="str">
        <x:v>Gun | 12-pounder Napoleon (USA) · 3InchOrdnanceRifle-64 [map-79/026]</x:v>
      </x:c>
      <x:c r="C1696" s="136" t="str">
        <x:v>gun_spawn</x:v>
      </x:c>
      <x:c r="D1696" s="136" t="str"/>
      <x:c r="E1696" s="136" t="str">
        <x:v>12-pounder Napoleon (USA) · 3InchOrdnanceRifle-64</x:v>
      </x:c>
      <x:c r="F1696" s="137" t="n">
        <x:v>945.3687133789062</x:v>
      </x:c>
      <x:c r="G1696" s="137" t="n">
        <x:v>2326.283935546875</x:v>
      </x:c>
      <x:c r="H1696" s="137" t="n">
        <x:v>170.23326110839844</x:v>
      </x:c>
      <x:c r="I1696" s="137" t="n">
        <x:v>2016.7950856846794</x:v>
      </x:c>
      <x:c r="J1696" s="137" t="n">
        <x:v>574.9125455902958</x:v>
      </x:c>
      <x:c r="K1696" s="136" t="str">
        <x:v>map-79</x:v>
      </x:c>
      <x:c r="L1696" s="136" t="str">
        <x:v>HarpersFerry | Skirmish | School House Ridge||Gun | 12-pounder Napoleon (USA) · 3InchOrdnanceRifle-64 [map-79/026]</x:v>
      </x:c>
      <x:c r="M1696" s="35"/>
      <x:c r="N1696" s="35"/>
      <x:c r="O1696" s="35"/>
      <x:c r="P1696" s="35"/>
      <x:c r="Q1696" s="35"/>
      <x:c r="R1696" s="35"/>
      <x:c r="S1696" s="35"/>
      <x:c r="T1696" s="35"/>
      <x:c r="U1696" s="35"/>
      <x:c r="V1696" s="35"/>
      <x:c r="W1696" s="35"/>
      <x:c r="X1696" s="35"/>
      <x:c r="Y1696" s="35"/>
      <x:c r="Z1696" s="35"/>
      <x:c r="AA1696" s="35"/>
    </x:row>
    <x:row r="1697">
      <x:c r="A1697" s="136" t="str">
        <x:v>HarpersFerry | Skirmish | School House Ridge</x:v>
      </x:c>
      <x:c r="B1697" s="136" t="str">
        <x:v>Gun | 3-inch Ordnance · 3InchOrdnanceRifle-69 [map-79/027]</x:v>
      </x:c>
      <x:c r="C1697" s="136" t="str">
        <x:v>gun_spawn</x:v>
      </x:c>
      <x:c r="D1697" s="136" t="str"/>
      <x:c r="E1697" s="136" t="str">
        <x:v>3-inch Ordnance · 3InchOrdnanceRifle-69</x:v>
      </x:c>
      <x:c r="F1697" s="137" t="n">
        <x:v>919.418212890625</x:v>
      </x:c>
      <x:c r="G1697" s="137" t="n">
        <x:v>2276.09521484375</x:v>
      </x:c>
      <x:c r="H1697" s="137" t="n">
        <x:v>171.29537963867188</x:v>
      </x:c>
      <x:c r="I1697" s="137" t="n">
        <x:v>1952.685767189114</x:v>
      </x:c>
      <x:c r="J1697" s="137" t="n">
        <x:v>698.9010860770053</x:v>
      </x:c>
      <x:c r="K1697" s="136" t="str">
        <x:v>map-79</x:v>
      </x:c>
      <x:c r="L1697" s="136" t="str">
        <x:v>HarpersFerry | Skirmish | School House Ridge||Gun | 3-inch Ordnance · 3InchOrdnanceRifle-69 [map-79/027]</x:v>
      </x:c>
      <x:c r="M1697" s="35"/>
      <x:c r="N1697" s="35"/>
      <x:c r="O1697" s="35"/>
      <x:c r="P1697" s="35"/>
      <x:c r="Q1697" s="35"/>
      <x:c r="R1697" s="35"/>
      <x:c r="S1697" s="35"/>
      <x:c r="T1697" s="35"/>
      <x:c r="U1697" s="35"/>
      <x:c r="V1697" s="35"/>
      <x:c r="W1697" s="35"/>
      <x:c r="X1697" s="35"/>
      <x:c r="Y1697" s="35"/>
      <x:c r="Z1697" s="35"/>
      <x:c r="AA1697" s="35"/>
    </x:row>
    <x:row r="1698">
      <x:c r="A1698" s="136" t="str">
        <x:v>HarpersFerry | Skirmish | School House Ridge</x:v>
      </x:c>
      <x:c r="B1698" s="136" t="str">
        <x:v>Gun | 12-pounder Napoleon (USA) · 3InchOrdnanceRifle-65 [map-79/028]</x:v>
      </x:c>
      <x:c r="C1698" s="136" t="str">
        <x:v>gun_spawn</x:v>
      </x:c>
      <x:c r="D1698" s="136" t="str"/>
      <x:c r="E1698" s="136" t="str">
        <x:v>12-pounder Napoleon (USA) · 3InchOrdnanceRifle-65</x:v>
      </x:c>
      <x:c r="F1698" s="137" t="n">
        <x:v>940.3084716796875</x:v>
      </x:c>
      <x:c r="G1698" s="137" t="n">
        <x:v>2315.295166015625</x:v>
      </x:c>
      <x:c r="H1698" s="137" t="n">
        <x:v>170.64389038085938</x:v>
      </x:c>
      <x:c r="I1698" s="137" t="n">
        <x:v>2004.2940301884182</x:v>
      </x:c>
      <x:c r="J1698" s="137" t="n">
        <x:v>602.0597108664109</x:v>
      </x:c>
      <x:c r="K1698" s="136" t="str">
        <x:v>map-79</x:v>
      </x:c>
      <x:c r="L1698" s="136" t="str">
        <x:v>HarpersFerry | Skirmish | School House Ridge||Gun | 12-pounder Napoleon (USA) · 3InchOrdnanceRifle-65 [map-79/028]</x:v>
      </x:c>
      <x:c r="M1698" s="35"/>
      <x:c r="N1698" s="35"/>
      <x:c r="O1698" s="35"/>
      <x:c r="P1698" s="35"/>
      <x:c r="Q1698" s="35"/>
      <x:c r="R1698" s="35"/>
      <x:c r="S1698" s="35"/>
      <x:c r="T1698" s="35"/>
      <x:c r="U1698" s="35"/>
      <x:c r="V1698" s="35"/>
      <x:c r="W1698" s="35"/>
      <x:c r="X1698" s="35"/>
      <x:c r="Y1698" s="35"/>
      <x:c r="Z1698" s="35"/>
      <x:c r="AA1698" s="35"/>
    </x:row>
    <x:row r="1699">
      <x:c r="A1699" s="136" t="str">
        <x:v>HarpersFerry | Skirmish | School House Ridge</x:v>
      </x:c>
      <x:c r="B1699" s="136" t="str">
        <x:v>Gun | 3-inch Ordnance · 3InchOrdnanceRifle-67 [map-79/029]</x:v>
      </x:c>
      <x:c r="C1699" s="136" t="str">
        <x:v>gun_spawn</x:v>
      </x:c>
      <x:c r="D1699" s="136" t="str"/>
      <x:c r="E1699" s="136" t="str">
        <x:v>3-inch Ordnance · 3InchOrdnanceRifle-67</x:v>
      </x:c>
      <x:c r="F1699" s="137" t="n">
        <x:v>927.9310913085938</x:v>
      </x:c>
      <x:c r="G1699" s="137" t="n">
        <x:v>2293.697509765625</x:v>
      </x:c>
      <x:c r="H1699" s="137" t="n">
        <x:v>170.91786193847656</x:v>
      </x:c>
      <x:c r="I1699" s="137" t="n">
        <x:v>1973.7163763697745</x:v>
      </x:c>
      <x:c r="J1699" s="137" t="n">
        <x:v>655.4155613215595</x:v>
      </x:c>
      <x:c r="K1699" s="136" t="str">
        <x:v>map-79</x:v>
      </x:c>
      <x:c r="L1699" s="136" t="str">
        <x:v>HarpersFerry | Skirmish | School House Ridge||Gun | 3-inch Ordnance · 3InchOrdnanceRifle-67 [map-79/029]</x:v>
      </x:c>
      <x:c r="M1699" s="35"/>
      <x:c r="N1699" s="35"/>
      <x:c r="O1699" s="35"/>
      <x:c r="P1699" s="35"/>
      <x:c r="Q1699" s="35"/>
      <x:c r="R1699" s="35"/>
      <x:c r="S1699" s="35"/>
      <x:c r="T1699" s="35"/>
      <x:c r="U1699" s="35"/>
      <x:c r="V1699" s="35"/>
      <x:c r="W1699" s="35"/>
      <x:c r="X1699" s="35"/>
      <x:c r="Y1699" s="35"/>
      <x:c r="Z1699" s="35"/>
      <x:c r="AA1699" s="35"/>
    </x:row>
    <x:row r="1700">
      <x:c r="A1700" s="136" t="str">
        <x:v>HarpersFerry | Skirmish | School House Ridge</x:v>
      </x:c>
      <x:c r="B1700" s="136" t="str">
        <x:v>Gun | 10-pounder Parrott · 3InchOrdnanceRifle-44 [map-79/030]</x:v>
      </x:c>
      <x:c r="C1700" s="136" t="str">
        <x:v>gun_spawn</x:v>
      </x:c>
      <x:c r="D1700" s="136" t="str"/>
      <x:c r="E1700" s="136" t="str">
        <x:v>10-pounder Parrott · 3InchOrdnanceRifle-44</x:v>
      </x:c>
      <x:c r="F1700" s="137" t="n">
        <x:v>217.30357360839844</x:v>
      </x:c>
      <x:c r="G1700" s="137" t="n">
        <x:v>2063.84814453125</x:v>
      </x:c>
      <x:c r="H1700" s="137" t="n">
        <x:v>122.98956298828125</x:v>
      </x:c>
      <x:c r="I1700" s="137" t="n">
        <x:v>218.14923867514165</x:v>
      </x:c>
      <x:c r="J1700" s="137" t="n">
        <x:v>1223.246080369484</x:v>
      </x:c>
      <x:c r="K1700" s="136" t="str">
        <x:v>map-79</x:v>
      </x:c>
      <x:c r="L1700" s="136" t="str">
        <x:v>HarpersFerry | Skirmish | School House Ridge||Gun | 10-pounder Parrott · 3InchOrdnanceRifle-44 [map-79/030]</x:v>
      </x:c>
      <x:c r="M1700" s="35"/>
      <x:c r="N1700" s="35"/>
      <x:c r="O1700" s="35"/>
      <x:c r="P1700" s="35"/>
      <x:c r="Q1700" s="35"/>
      <x:c r="R1700" s="35"/>
      <x:c r="S1700" s="35"/>
      <x:c r="T1700" s="35"/>
      <x:c r="U1700" s="35"/>
      <x:c r="V1700" s="35"/>
      <x:c r="W1700" s="35"/>
      <x:c r="X1700" s="35"/>
      <x:c r="Y1700" s="35"/>
      <x:c r="Z1700" s="35"/>
      <x:c r="AA1700" s="35"/>
    </x:row>
    <x:row r="1701">
      <x:c r="A1701" s="136" t="str">
        <x:v>HarpersFerry | Skirmish | School House Ridge</x:v>
      </x:c>
      <x:c r="B1701" s="136" t="str">
        <x:v>Gun | 12-pounder Napoleon (USA) · 3InchOrdnanceRifle-46 [map-79/031]</x:v>
      </x:c>
      <x:c r="C1701" s="136" t="str">
        <x:v>gun_spawn</x:v>
      </x:c>
      <x:c r="D1701" s="136" t="str"/>
      <x:c r="E1701" s="136" t="str">
        <x:v>12-pounder Napoleon (USA) · 3InchOrdnanceRifle-46</x:v>
      </x:c>
      <x:c r="F1701" s="137" t="n">
        <x:v>216.73696899414062</x:v>
      </x:c>
      <x:c r="G1701" s="137" t="n">
        <x:v>2076.466552734375</x:v>
      </x:c>
      <x:c r="H1701" s="137" t="n">
        <x:v>121.88359069824219</x:v>
      </x:c>
      <x:c r="I1701" s="137" t="n">
        <x:v>216.74947238959683</x:v>
      </x:c>
      <x:c r="J1701" s="137" t="n">
        <x:v>1192.0729802296037</x:v>
      </x:c>
      <x:c r="K1701" s="136" t="str">
        <x:v>map-79</x:v>
      </x:c>
      <x:c r="L1701" s="136" t="str">
        <x:v>HarpersFerry | Skirmish | School House Ridge||Gun | 12-pounder Napoleon (USA) · 3InchOrdnanceRifle-46 [map-79/031]</x:v>
      </x:c>
      <x:c r="M1701" s="35"/>
      <x:c r="N1701" s="35"/>
      <x:c r="O1701" s="35"/>
      <x:c r="P1701" s="35"/>
      <x:c r="Q1701" s="35"/>
      <x:c r="R1701" s="35"/>
      <x:c r="S1701" s="35"/>
      <x:c r="T1701" s="35"/>
      <x:c r="U1701" s="35"/>
      <x:c r="V1701" s="35"/>
      <x:c r="W1701" s="35"/>
      <x:c r="X1701" s="35"/>
      <x:c r="Y1701" s="35"/>
      <x:c r="Z1701" s="35"/>
      <x:c r="AA1701" s="35"/>
    </x:row>
    <x:row r="1702">
      <x:c r="A1702" s="136" t="str">
        <x:v>HarpersFerry | Skirmish | School House Ridge</x:v>
      </x:c>
      <x:c r="B1702" s="136" t="str">
        <x:v>Gun | 12-pounder Napoleon (CSA) · 3InchOrdnanceRifle-48 [map-79/032]</x:v>
      </x:c>
      <x:c r="C1702" s="136" t="str">
        <x:v>gun_spawn</x:v>
      </x:c>
      <x:c r="D1702" s="136" t="str"/>
      <x:c r="E1702" s="136" t="str">
        <x:v>12-pounder Napoleon (CSA) · 3InchOrdnanceRifle-48</x:v>
      </x:c>
      <x:c r="F1702" s="137" t="n">
        <x:v>215.9163818359375</x:v>
      </x:c>
      <x:c r="G1702" s="137" t="n">
        <x:v>2089.9482421875</x:v>
      </x:c>
      <x:c r="H1702" s="137" t="n">
        <x:v>120.65471649169922</x:v>
      </x:c>
      <x:c r="I1702" s="137" t="n">
        <x:v>214.7222558624099</x:v>
      </x:c>
      <x:c r="J1702" s="137" t="n">
        <x:v>1158.7671901004692</x:v>
      </x:c>
      <x:c r="K1702" s="136" t="str">
        <x:v>map-79</x:v>
      </x:c>
      <x:c r="L1702" s="136" t="str">
        <x:v>HarpersFerry | Skirmish | School House Ridge||Gun | 12-pounder Napoleon (CSA) · 3InchOrdnanceRifle-48 [map-79/032]</x:v>
      </x:c>
      <x:c r="M1702" s="35"/>
      <x:c r="N1702" s="35"/>
      <x:c r="O1702" s="35"/>
      <x:c r="P1702" s="35"/>
      <x:c r="Q1702" s="35"/>
      <x:c r="R1702" s="35"/>
      <x:c r="S1702" s="35"/>
      <x:c r="T1702" s="35"/>
      <x:c r="U1702" s="35"/>
      <x:c r="V1702" s="35"/>
      <x:c r="W1702" s="35"/>
      <x:c r="X1702" s="35"/>
      <x:c r="Y1702" s="35"/>
      <x:c r="Z1702" s="35"/>
      <x:c r="AA1702" s="35"/>
    </x:row>
    <x:row r="1703">
      <x:c r="A1703" s="136" t="str">
        <x:v>HarpersFerry | Skirmish | High Street</x:v>
      </x:c>
      <x:c r="B1703" s="136" t="str">
        <x:v>Spawn | USA Spawnpoint_HS_Defend_USA_65thIL [map-80/001]</x:v>
      </x:c>
      <x:c r="C1703" s="136" t="str">
        <x:v>spawn</x:v>
      </x:c>
      <x:c r="D1703" s="136" t="str">
        <x:v>USA</x:v>
      </x:c>
      <x:c r="E1703" s="136" t="str">
        <x:v>Spawnpoint_HS_Defend_USA_65thIL</x:v>
      </x:c>
      <x:c r="F1703" s="137" t="n">
        <x:v>2495.8662109375</x:v>
      </x:c>
      <x:c r="G1703" s="137" t="n">
        <x:v>1875.627197265625</x:v>
      </x:c>
      <x:c r="H1703" s="137" t="n">
        <x:v>102.57878112792969</x:v>
      </x:c>
      <x:c r="I1703" s="137" t="n">
        <x:v>1150.1037447007113</x:v>
      </x:c>
      <x:c r="J1703" s="137" t="n">
        <x:v>1265.2319866057671</x:v>
      </x:c>
      <x:c r="K1703" s="136" t="str">
        <x:v>map-80</x:v>
      </x:c>
      <x:c r="L1703" s="136" t="str">
        <x:v>HarpersFerry | Skirmish | High Street||Spawn | USA Spawnpoint_HS_Defend_USA_65thIL [map-80/001]</x:v>
      </x:c>
      <x:c r="M1703" s="35"/>
      <x:c r="N1703" s="35"/>
      <x:c r="O1703" s="35"/>
      <x:c r="P1703" s="35"/>
      <x:c r="Q1703" s="35"/>
      <x:c r="R1703" s="35"/>
      <x:c r="S1703" s="35"/>
      <x:c r="T1703" s="35"/>
      <x:c r="U1703" s="35"/>
      <x:c r="V1703" s="35"/>
      <x:c r="W1703" s="35"/>
      <x:c r="X1703" s="35"/>
      <x:c r="Y1703" s="35"/>
      <x:c r="Z1703" s="35"/>
      <x:c r="AA1703" s="35"/>
    </x:row>
    <x:row r="1704">
      <x:c r="A1704" s="136" t="str">
        <x:v>HarpersFerry | Skirmish | High Street</x:v>
      </x:c>
      <x:c r="B1704" s="136" t="str">
        <x:v>Spawn | USA Spawnpoint_HS_Base_USA_65thIL [map-80/002]</x:v>
      </x:c>
      <x:c r="C1704" s="136" t="str">
        <x:v>spawn</x:v>
      </x:c>
      <x:c r="D1704" s="136" t="str">
        <x:v>USA</x:v>
      </x:c>
      <x:c r="E1704" s="136" t="str">
        <x:v>Spawnpoint_HS_Base_USA_65thIL</x:v>
      </x:c>
      <x:c r="F1704" s="137" t="n">
        <x:v>2565.113037109375</x:v>
      </x:c>
      <x:c r="G1704" s="137" t="n">
        <x:v>1919.0511474609375</x:v>
      </x:c>
      <x:c r="H1704" s="137" t="n">
        <x:v>87.90459442138672</x:v>
      </x:c>
      <x:c r="I1704" s="137" t="n">
        <x:v>1558.7997095155463</x:v>
      </x:c>
      <x:c r="J1704" s="137" t="n">
        <x:v>1008.9430820847872</x:v>
      </x:c>
      <x:c r="K1704" s="136" t="str">
        <x:v>map-80</x:v>
      </x:c>
      <x:c r="L1704" s="136" t="str">
        <x:v>HarpersFerry | Skirmish | High Street||Spawn | USA Spawnpoint_HS_Base_USA_65thIL [map-80/002]</x:v>
      </x:c>
      <x:c r="M1704" s="35"/>
      <x:c r="N1704" s="35"/>
      <x:c r="O1704" s="35"/>
      <x:c r="P1704" s="35"/>
      <x:c r="Q1704" s="35"/>
      <x:c r="R1704" s="35"/>
      <x:c r="S1704" s="35"/>
      <x:c r="T1704" s="35"/>
      <x:c r="U1704" s="35"/>
      <x:c r="V1704" s="35"/>
      <x:c r="W1704" s="35"/>
      <x:c r="X1704" s="35"/>
      <x:c r="Y1704" s="35"/>
      <x:c r="Z1704" s="35"/>
      <x:c r="AA1704" s="35"/>
    </x:row>
    <x:row r="1705">
      <x:c r="A1705" s="136" t="str">
        <x:v>HarpersFerry | Skirmish | High Street</x:v>
      </x:c>
      <x:c r="B1705" s="136" t="str">
        <x:v>Spawn | USA Spawnpoint_HS_Defend_USA_9thVT-2 [map-80/003]</x:v>
      </x:c>
      <x:c r="C1705" s="136" t="str">
        <x:v>spawn</x:v>
      </x:c>
      <x:c r="D1705" s="136" t="str">
        <x:v>USA</x:v>
      </x:c>
      <x:c r="E1705" s="136" t="str">
        <x:v>Spawnpoint_HS_Defend_USA_9thVT-2</x:v>
      </x:c>
      <x:c r="F1705" s="137" t="n">
        <x:v>2479.311279296875</x:v>
      </x:c>
      <x:c r="G1705" s="137" t="n">
        <x:v>1903.7801513671875</x:v>
      </x:c>
      <x:c r="H1705" s="137" t="n">
        <x:v>103.50797271728516</x:v>
      </x:c>
      <x:c r="I1705" s="137" t="n">
        <x:v>1052.3962520494902</x:v>
      </x:c>
      <x:c r="J1705" s="137" t="n">
        <x:v>1099.0727649489186</x:v>
      </x:c>
      <x:c r="K1705" s="136" t="str">
        <x:v>map-80</x:v>
      </x:c>
      <x:c r="L1705" s="136" t="str">
        <x:v>HarpersFerry | Skirmish | High Street||Spawn | USA Spawnpoint_HS_Defend_USA_9thVT-2 [map-80/003]</x:v>
      </x:c>
      <x:c r="M1705" s="35"/>
      <x:c r="N1705" s="35"/>
      <x:c r="O1705" s="35"/>
      <x:c r="P1705" s="35"/>
      <x:c r="Q1705" s="35"/>
      <x:c r="R1705" s="35"/>
      <x:c r="S1705" s="35"/>
      <x:c r="T1705" s="35"/>
      <x:c r="U1705" s="35"/>
      <x:c r="V1705" s="35"/>
      <x:c r="W1705" s="35"/>
      <x:c r="X1705" s="35"/>
      <x:c r="Y1705" s="35"/>
      <x:c r="Z1705" s="35"/>
      <x:c r="AA1705" s="35"/>
    </x:row>
    <x:row r="1706">
      <x:c r="A1706" s="136" t="str">
        <x:v>HarpersFerry | Skirmish | High Street</x:v>
      </x:c>
      <x:c r="B1706" s="136" t="str">
        <x:v>Spawn | CSA Spawnpoint_HS_Base_CSA_18thMS [map-80/004]</x:v>
      </x:c>
      <x:c r="C1706" s="136" t="str">
        <x:v>spawn</x:v>
      </x:c>
      <x:c r="D1706" s="136" t="str">
        <x:v>CSA</x:v>
      </x:c>
      <x:c r="E1706" s="136" t="str">
        <x:v>Spawnpoint_HS_Base_CSA_18thMS</x:v>
      </x:c>
      <x:c r="F1706" s="137" t="n">
        <x:v>2358.090576171875</x:v>
      </x:c>
      <x:c r="G1706" s="137" t="n">
        <x:v>1997.5189208984375</x:v>
      </x:c>
      <x:c r="H1706" s="137" t="n">
        <x:v>113.21974182128906</x:v>
      </x:c>
      <x:c r="I1706" s="137" t="n">
        <x:v>336.9495672261724</x:v>
      </x:c>
      <x:c r="J1706" s="137" t="n">
        <x:v>545.8249271485234</x:v>
      </x:c>
      <x:c r="K1706" s="136" t="str">
        <x:v>map-80</x:v>
      </x:c>
      <x:c r="L1706" s="136" t="str">
        <x:v>HarpersFerry | Skirmish | High Street||Spawn | CSA Spawnpoint_HS_Base_CSA_18thMS [map-80/004]</x:v>
      </x:c>
      <x:c r="M1706" s="35"/>
      <x:c r="N1706" s="35"/>
      <x:c r="O1706" s="35"/>
      <x:c r="P1706" s="35"/>
      <x:c r="Q1706" s="35"/>
      <x:c r="R1706" s="35"/>
      <x:c r="S1706" s="35"/>
      <x:c r="T1706" s="35"/>
      <x:c r="U1706" s="35"/>
      <x:c r="V1706" s="35"/>
      <x:c r="W1706" s="35"/>
      <x:c r="X1706" s="35"/>
      <x:c r="Y1706" s="35"/>
      <x:c r="Z1706" s="35"/>
      <x:c r="AA1706" s="35"/>
    </x:row>
    <x:row r="1707">
      <x:c r="A1707" s="136" t="str">
        <x:v>HarpersFerry | Skirmish | High Street</x:v>
      </x:c>
      <x:c r="B1707" s="136" t="str">
        <x:v>Spawn | USA Spawnpoint_HS_Base_USA_9thVT [map-80/005]</x:v>
      </x:c>
      <x:c r="C1707" s="136" t="str">
        <x:v>spawn</x:v>
      </x:c>
      <x:c r="D1707" s="136" t="str">
        <x:v>USA</x:v>
      </x:c>
      <x:c r="E1707" s="136" t="str">
        <x:v>Spawnpoint_HS_Base_USA_9thVT</x:v>
      </x:c>
      <x:c r="F1707" s="137" t="n">
        <x:v>2562.885986328125</x:v>
      </x:c>
      <x:c r="G1707" s="137" t="n">
        <x:v>1929.611328125</x:v>
      </x:c>
      <x:c r="H1707" s="137" t="n">
        <x:v>87.95362854003906</x:v>
      </x:c>
      <x:c r="I1707" s="137" t="n">
        <x:v>1545.6556173159204</x:v>
      </x:c>
      <x:c r="J1707" s="137" t="n">
        <x:v>946.6167133006693</x:v>
      </x:c>
      <x:c r="K1707" s="136" t="str">
        <x:v>map-80</x:v>
      </x:c>
      <x:c r="L1707" s="136" t="str">
        <x:v>HarpersFerry | Skirmish | High Street||Spawn | USA Spawnpoint_HS_Base_USA_9thVT [map-80/005]</x:v>
      </x:c>
      <x:c r="M1707" s="35"/>
      <x:c r="N1707" s="35"/>
      <x:c r="O1707" s="35"/>
      <x:c r="P1707" s="35"/>
      <x:c r="Q1707" s="35"/>
      <x:c r="R1707" s="35"/>
      <x:c r="S1707" s="35"/>
      <x:c r="T1707" s="35"/>
      <x:c r="U1707" s="35"/>
      <x:c r="V1707" s="35"/>
      <x:c r="W1707" s="35"/>
      <x:c r="X1707" s="35"/>
      <x:c r="Y1707" s="35"/>
      <x:c r="Z1707" s="35"/>
      <x:c r="AA1707" s="35"/>
    </x:row>
    <x:row r="1708">
      <x:c r="A1708" s="136" t="str">
        <x:v>HarpersFerry | Skirmish | High Street</x:v>
      </x:c>
      <x:c r="B1708" s="136" t="str">
        <x:v>Spawn | USA Spawnpoint_HS_Base_USA_9thVT-2 [map-80/006]</x:v>
      </x:c>
      <x:c r="C1708" s="136" t="str">
        <x:v>spawn</x:v>
      </x:c>
      <x:c r="D1708" s="136" t="str">
        <x:v>USA</x:v>
      </x:c>
      <x:c r="E1708" s="136" t="str">
        <x:v>Spawnpoint_HS_Base_USA_9thVT-2</x:v>
      </x:c>
      <x:c r="F1708" s="137" t="n">
        <x:v>2553.036865234375</x:v>
      </x:c>
      <x:c r="G1708" s="137" t="n">
        <x:v>1939.022216796875</x:v>
      </x:c>
      <x:c r="H1708" s="137" t="n">
        <x:v>88.08949279785156</x:v>
      </x:c>
      <x:c r="I1708" s="137" t="n">
        <x:v>1487.5259344045728</x:v>
      </x:c>
      <x:c r="J1708" s="137" t="n">
        <x:v>891.0734857169175</x:v>
      </x:c>
      <x:c r="K1708" s="136" t="str">
        <x:v>map-80</x:v>
      </x:c>
      <x:c r="L1708" s="136" t="str">
        <x:v>HarpersFerry | Skirmish | High Street||Spawn | USA Spawnpoint_HS_Base_USA_9thVT-2 [map-80/006]</x:v>
      </x:c>
      <x:c r="M1708" s="35"/>
      <x:c r="N1708" s="35"/>
      <x:c r="O1708" s="35"/>
      <x:c r="P1708" s="35"/>
      <x:c r="Q1708" s="35"/>
      <x:c r="R1708" s="35"/>
      <x:c r="S1708" s="35"/>
      <x:c r="T1708" s="35"/>
      <x:c r="U1708" s="35"/>
      <x:c r="V1708" s="35"/>
      <x:c r="W1708" s="35"/>
      <x:c r="X1708" s="35"/>
      <x:c r="Y1708" s="35"/>
      <x:c r="Z1708" s="35"/>
      <x:c r="AA1708" s="35"/>
    </x:row>
    <x:row r="1709">
      <x:c r="A1709" s="136" t="str">
        <x:v>HarpersFerry | Skirmish | High Street</x:v>
      </x:c>
      <x:c r="B1709" s="136" t="str">
        <x:v>Spawn | CSA Spawnpoint_HS_Base_CSA_18thMS-2 [map-80/007]</x:v>
      </x:c>
      <x:c r="C1709" s="136" t="str">
        <x:v>spawn</x:v>
      </x:c>
      <x:c r="D1709" s="136" t="str">
        <x:v>CSA</x:v>
      </x:c>
      <x:c r="E1709" s="136" t="str">
        <x:v>Spawnpoint_HS_Base_CSA_18thMS-2</x:v>
      </x:c>
      <x:c r="F1709" s="137" t="n">
        <x:v>2344.037353515625</x:v>
      </x:c>
      <x:c r="G1709" s="137" t="n">
        <x:v>2000.86669921875</x:v>
      </x:c>
      <x:c r="H1709" s="137" t="n">
        <x:v>114.61940002441406</x:v>
      </x:c>
      <x:c r="I1709" s="137" t="n">
        <x:v>254.0072042361623</x:v>
      </x:c>
      <x:c r="J1709" s="137" t="n">
        <x:v>526.0662816445363</x:v>
      </x:c>
      <x:c r="K1709" s="136" t="str">
        <x:v>map-80</x:v>
      </x:c>
      <x:c r="L1709" s="136" t="str">
        <x:v>HarpersFerry | Skirmish | High Street||Spawn | CSA Spawnpoint_HS_Base_CSA_18thMS-2 [map-80/007]</x:v>
      </x:c>
      <x:c r="M1709" s="35"/>
      <x:c r="N1709" s="35"/>
      <x:c r="O1709" s="35"/>
      <x:c r="P1709" s="35"/>
      <x:c r="Q1709" s="35"/>
      <x:c r="R1709" s="35"/>
      <x:c r="S1709" s="35"/>
      <x:c r="T1709" s="35"/>
      <x:c r="U1709" s="35"/>
      <x:c r="V1709" s="35"/>
      <x:c r="W1709" s="35"/>
      <x:c r="X1709" s="35"/>
      <x:c r="Y1709" s="35"/>
      <x:c r="Z1709" s="35"/>
      <x:c r="AA1709" s="35"/>
    </x:row>
    <x:row r="1710">
      <x:c r="A1710" s="136" t="str">
        <x:v>HarpersFerry | Skirmish | High Street</x:v>
      </x:c>
      <x:c r="B1710" s="136" t="str">
        <x:v>Spawn | CSA Spawnpoint_HS_Base_CSA_14thTN [map-80/008]</x:v>
      </x:c>
      <x:c r="C1710" s="136" t="str">
        <x:v>spawn</x:v>
      </x:c>
      <x:c r="D1710" s="136" t="str">
        <x:v>CSA</x:v>
      </x:c>
      <x:c r="E1710" s="136" t="str">
        <x:v>Spawnpoint_HS_Base_CSA_14thTN</x:v>
      </x:c>
      <x:c r="F1710" s="137" t="n">
        <x:v>2328.814208984375</x:v>
      </x:c>
      <x:c r="G1710" s="137" t="n">
        <x:v>2004.372802734375</x:v>
      </x:c>
      <x:c r="H1710" s="137" t="n">
        <x:v>116.10693359375</x:v>
      </x:c>
      <x:c r="I1710" s="137" t="n">
        <x:v>164.1599421208937</x:v>
      </x:c>
      <x:c r="J1710" s="137" t="n">
        <x:v>505.37319810158186</x:v>
      </x:c>
      <x:c r="K1710" s="136" t="str">
        <x:v>map-80</x:v>
      </x:c>
      <x:c r="L1710" s="136" t="str">
        <x:v>HarpersFerry | Skirmish | High Street||Spawn | CSA Spawnpoint_HS_Base_CSA_14thTN [map-80/008]</x:v>
      </x:c>
      <x:c r="M1710" s="35"/>
      <x:c r="N1710" s="35"/>
      <x:c r="O1710" s="35"/>
      <x:c r="P1710" s="35"/>
      <x:c r="Q1710" s="35"/>
      <x:c r="R1710" s="35"/>
      <x:c r="S1710" s="35"/>
      <x:c r="T1710" s="35"/>
      <x:c r="U1710" s="35"/>
      <x:c r="V1710" s="35"/>
      <x:c r="W1710" s="35"/>
      <x:c r="X1710" s="35"/>
      <x:c r="Y1710" s="35"/>
      <x:c r="Z1710" s="35"/>
      <x:c r="AA1710" s="35"/>
    </x:row>
    <x:row r="1711">
      <x:c r="A1711" s="136" t="str">
        <x:v>HarpersFerry | Skirmish | High Street</x:v>
      </x:c>
      <x:c r="B1711" s="136" t="str">
        <x:v>Spawn | USA Spawnpoint_HS_Base_USA_65thIL-2 [map-80/009]</x:v>
      </x:c>
      <x:c r="C1711" s="136" t="str">
        <x:v>spawn</x:v>
      </x:c>
      <x:c r="D1711" s="136" t="str">
        <x:v>USA</x:v>
      </x:c>
      <x:c r="E1711" s="136" t="str">
        <x:v>Spawnpoint_HS_Base_USA_65thIL-2</x:v>
      </x:c>
      <x:c r="F1711" s="137" t="n">
        <x:v>2572.484619140625</x:v>
      </x:c>
      <x:c r="G1711" s="137" t="n">
        <x:v>1920.5087890625</x:v>
      </x:c>
      <x:c r="H1711" s="137" t="n">
        <x:v>87.76004028320312</x:v>
      </x:c>
      <x:c r="I1711" s="137" t="n">
        <x:v>1602.3069140623022</x:v>
      </x:c>
      <x:c r="J1711" s="137" t="n">
        <x:v>1000.3400561608814</x:v>
      </x:c>
      <x:c r="K1711" s="136" t="str">
        <x:v>map-80</x:v>
      </x:c>
      <x:c r="L1711" s="136" t="str">
        <x:v>HarpersFerry | Skirmish | High Street||Spawn | USA Spawnpoint_HS_Base_USA_65thIL-2 [map-80/009]</x:v>
      </x:c>
      <x:c r="M1711" s="35"/>
      <x:c r="N1711" s="35"/>
      <x:c r="O1711" s="35"/>
      <x:c r="P1711" s="35"/>
      <x:c r="Q1711" s="35"/>
      <x:c r="R1711" s="35"/>
      <x:c r="S1711" s="35"/>
      <x:c r="T1711" s="35"/>
      <x:c r="U1711" s="35"/>
      <x:c r="V1711" s="35"/>
      <x:c r="W1711" s="35"/>
      <x:c r="X1711" s="35"/>
      <x:c r="Y1711" s="35"/>
      <x:c r="Z1711" s="35"/>
      <x:c r="AA1711" s="35"/>
    </x:row>
    <x:row r="1712">
      <x:c r="A1712" s="136" t="str">
        <x:v>HarpersFerry | Skirmish | High Street</x:v>
      </x:c>
      <x:c r="B1712" s="136" t="str">
        <x:v>Objective | Victory_Hight_Street [map-80/010]</x:v>
      </x:c>
      <x:c r="C1712" s="136" t="str">
        <x:v>objective</x:v>
      </x:c>
      <x:c r="D1712" s="136" t="str"/>
      <x:c r="E1712" s="136" t="str">
        <x:v>Victory_Hight_Street</x:v>
      </x:c>
      <x:c r="F1712" s="137" t="n">
        <x:v>2461.76171875</x:v>
      </x:c>
      <x:c r="G1712" s="137" t="n">
        <x:v>1939.5823974609375</x:v>
      </x:c>
      <x:c r="H1712" s="137" t="n">
        <x:v>99.589599609375</x:v>
      </x:c>
      <x:c r="I1712" s="137" t="n">
        <x:v>948.8184424040488</x:v>
      </x:c>
      <x:c r="J1712" s="137" t="n">
        <x:v>887.7672897563779</x:v>
      </x:c>
      <x:c r="K1712" s="136" t="str">
        <x:v>map-80</x:v>
      </x:c>
      <x:c r="L1712" s="136" t="str">
        <x:v>HarpersFerry | Skirmish | High Street||Objective | Victory_Hight_Street [map-80/010]</x:v>
      </x:c>
      <x:c r="M1712" s="35"/>
      <x:c r="N1712" s="35"/>
      <x:c r="O1712" s="35"/>
      <x:c r="P1712" s="35"/>
      <x:c r="Q1712" s="35"/>
      <x:c r="R1712" s="35"/>
      <x:c r="S1712" s="35"/>
      <x:c r="T1712" s="35"/>
      <x:c r="U1712" s="35"/>
      <x:c r="V1712" s="35"/>
      <x:c r="W1712" s="35"/>
      <x:c r="X1712" s="35"/>
      <x:c r="Y1712" s="35"/>
      <x:c r="Z1712" s="35"/>
      <x:c r="AA1712" s="35"/>
    </x:row>
    <x:row r="1713">
      <x:c r="A1713" s="136" t="str">
        <x:v>HarpersFerry | Skirmish | High Street</x:v>
      </x:c>
      <x:c r="B1713" s="136" t="str">
        <x:v>Spawn | USA Spawnpoint_HS_Defend_USA_9thVT [map-80/011]</x:v>
      </x:c>
      <x:c r="C1713" s="136" t="str">
        <x:v>spawn</x:v>
      </x:c>
      <x:c r="D1713" s="136" t="str">
        <x:v>USA</x:v>
      </x:c>
      <x:c r="E1713" s="136" t="str">
        <x:v>Spawnpoint_HS_Defend_USA_9thVT</x:v>
      </x:c>
      <x:c r="F1713" s="137" t="n">
        <x:v>2469.553955078125</x:v>
      </x:c>
      <x:c r="G1713" s="137" t="n">
        <x:v>1921.0303955078125</x:v>
      </x:c>
      <x:c r="H1713" s="137" t="n">
        <x:v>101.4133529663086</x:v>
      </x:c>
      <x:c r="I1713" s="137" t="n">
        <x:v>994.8083558808592</x:v>
      </x:c>
      <x:c r="J1713" s="137" t="n">
        <x:v>997.261525906058</x:v>
      </x:c>
      <x:c r="K1713" s="136" t="str">
        <x:v>map-80</x:v>
      </x:c>
      <x:c r="L1713" s="136" t="str">
        <x:v>HarpersFerry | Skirmish | High Street||Spawn | USA Spawnpoint_HS_Defend_USA_9thVT [map-80/011]</x:v>
      </x:c>
      <x:c r="M1713" s="35"/>
      <x:c r="N1713" s="35"/>
      <x:c r="O1713" s="35"/>
      <x:c r="P1713" s="35"/>
      <x:c r="Q1713" s="35"/>
      <x:c r="R1713" s="35"/>
      <x:c r="S1713" s="35"/>
      <x:c r="T1713" s="35"/>
      <x:c r="U1713" s="35"/>
      <x:c r="V1713" s="35"/>
      <x:c r="W1713" s="35"/>
      <x:c r="X1713" s="35"/>
      <x:c r="Y1713" s="35"/>
      <x:c r="Z1713" s="35"/>
      <x:c r="AA1713" s="35"/>
    </x:row>
    <x:row r="1714">
      <x:c r="A1714" s="136" t="str">
        <x:v>HarpersFerry | Skirmish | High Street</x:v>
      </x:c>
      <x:c r="B1714" s="136" t="str">
        <x:v>Spawn | CSA Spawnpoint_HS_Base_CSA_14thTN-2 [map-80/012]</x:v>
      </x:c>
      <x:c r="C1714" s="136" t="str">
        <x:v>spawn</x:v>
      </x:c>
      <x:c r="D1714" s="136" t="str">
        <x:v>CSA</x:v>
      </x:c>
      <x:c r="E1714" s="136" t="str">
        <x:v>Spawnpoint_HS_Base_CSA_14thTN-2</x:v>
      </x:c>
      <x:c r="F1714" s="137" t="n">
        <x:v>2312.796630859375</x:v>
      </x:c>
      <x:c r="G1714" s="137" t="n">
        <x:v>2007.900634765625</x:v>
      </x:c>
      <x:c r="H1714" s="137" t="n">
        <x:v>117.86837005615234</x:v>
      </x:c>
      <x:c r="I1714" s="137" t="n">
        <x:v>69.62391920562695</x:v>
      </x:c>
      <x:c r="J1714" s="137" t="n">
        <x:v>484.55187248388887</x:v>
      </x:c>
      <x:c r="K1714" s="136" t="str">
        <x:v>map-80</x:v>
      </x:c>
      <x:c r="L1714" s="136" t="str">
        <x:v>HarpersFerry | Skirmish | High Street||Spawn | CSA Spawnpoint_HS_Base_CSA_14thTN-2 [map-80/012]</x:v>
      </x:c>
      <x:c r="M1714" s="35"/>
      <x:c r="N1714" s="35"/>
      <x:c r="O1714" s="35"/>
      <x:c r="P1714" s="35"/>
      <x:c r="Q1714" s="35"/>
      <x:c r="R1714" s="35"/>
      <x:c r="S1714" s="35"/>
      <x:c r="T1714" s="35"/>
      <x:c r="U1714" s="35"/>
      <x:c r="V1714" s="35"/>
      <x:c r="W1714" s="35"/>
      <x:c r="X1714" s="35"/>
      <x:c r="Y1714" s="35"/>
      <x:c r="Z1714" s="35"/>
      <x:c r="AA1714" s="35"/>
    </x:row>
    <x:row r="1715">
      <x:c r="A1715" s="136" t="str">
        <x:v>HarpersFerry | Skirmish | High Street</x:v>
      </x:c>
      <x:c r="B1715" s="136" t="str">
        <x:v>Spawn | USA Spawnpoint_HS_Defend_USA_65thIL-2 [map-80/013]</x:v>
      </x:c>
      <x:c r="C1715" s="136" t="str">
        <x:v>spawn</x:v>
      </x:c>
      <x:c r="D1715" s="136" t="str">
        <x:v>USA</x:v>
      </x:c>
      <x:c r="E1715" s="136" t="str">
        <x:v>Spawnpoint_HS_Defend_USA_65thIL-2</x:v>
      </x:c>
      <x:c r="F1715" s="137" t="n">
        <x:v>2488.63037109375</x:v>
      </x:c>
      <x:c r="G1715" s="137" t="n">
        <x:v>1888.6619873046875</x:v>
      </x:c>
      <x:c r="H1715" s="137" t="n">
        <x:v>103.78941345214844</x:v>
      </x:c>
      <x:c r="I1715" s="137" t="n">
        <x:v>1107.3976928905256</x:v>
      </x:c>
      <x:c r="J1715" s="137" t="n">
        <x:v>1188.3004305233146</x:v>
      </x:c>
      <x:c r="K1715" s="136" t="str">
        <x:v>map-80</x:v>
      </x:c>
      <x:c r="L1715" s="136" t="str">
        <x:v>HarpersFerry | Skirmish | High Street||Spawn | USA Spawnpoint_HS_Defend_USA_65thIL-2 [map-80/013]</x:v>
      </x:c>
      <x:c r="M1715" s="35"/>
      <x:c r="N1715" s="35"/>
      <x:c r="O1715" s="35"/>
      <x:c r="P1715" s="35"/>
      <x:c r="Q1715" s="35"/>
      <x:c r="R1715" s="35"/>
      <x:c r="S1715" s="35"/>
      <x:c r="T1715" s="35"/>
      <x:c r="U1715" s="35"/>
      <x:c r="V1715" s="35"/>
      <x:c r="W1715" s="35"/>
      <x:c r="X1715" s="35"/>
      <x:c r="Y1715" s="35"/>
      <x:c r="Z1715" s="35"/>
      <x:c r="AA1715" s="35"/>
    </x:row>
    <x:row r="1716">
      <x:c r="A1716" s="136" t="str">
        <x:v>HarpersFerry | Skirmish | Bolivar Heights Camp</x:v>
      </x:c>
      <x:c r="B1716" s="136" t="str">
        <x:v>Spawn | CSA Spawnpoint_BHC_Base_CSA_1stLaZo-2 [map-81/001]</x:v>
      </x:c>
      <x:c r="C1716" s="136" t="str">
        <x:v>spawn</x:v>
      </x:c>
      <x:c r="D1716" s="136" t="str">
        <x:v>CSA</x:v>
      </x:c>
      <x:c r="E1716" s="136" t="str">
        <x:v>Spawnpoint_BHC_Base_CSA_1stLaZo-2</x:v>
      </x:c>
      <x:c r="F1716" s="137" t="n">
        <x:v>871.4049072265625</x:v>
      </x:c>
      <x:c r="G1716" s="137" t="n">
        <x:v>2636.3857421875</x:v>
      </x:c>
      <x:c r="H1716" s="137" t="n">
        <x:v>111.57972717285156</x:v>
      </x:c>
      <x:c r="I1716" s="137" t="n">
        <x:v>837.9123060779757</x:v>
      </x:c>
      <x:c r="J1716" s="137" t="n">
        <x:v>199.5928808651929</x:v>
      </x:c>
      <x:c r="K1716" s="136" t="str">
        <x:v>map-81</x:v>
      </x:c>
      <x:c r="L1716" s="136" t="str">
        <x:v>HarpersFerry | Skirmish | Bolivar Heights Camp||Spawn | CSA Spawnpoint_BHC_Base_CSA_1stLaZo-2 [map-81/001]</x:v>
      </x:c>
      <x:c r="M1716" s="35"/>
      <x:c r="N1716" s="35"/>
      <x:c r="O1716" s="35"/>
      <x:c r="P1716" s="35"/>
      <x:c r="Q1716" s="35"/>
      <x:c r="R1716" s="35"/>
      <x:c r="S1716" s="35"/>
      <x:c r="T1716" s="35"/>
      <x:c r="U1716" s="35"/>
      <x:c r="V1716" s="35"/>
      <x:c r="W1716" s="35"/>
      <x:c r="X1716" s="35"/>
      <x:c r="Y1716" s="35"/>
      <x:c r="Z1716" s="35"/>
      <x:c r="AA1716" s="35"/>
    </x:row>
    <x:row r="1717">
      <x:c r="A1717" s="136" t="str">
        <x:v>HarpersFerry | Skirmish | Bolivar Heights Camp</x:v>
      </x:c>
      <x:c r="B1717" s="136" t="str">
        <x:v>Artillery | USA Spawnpoint_BHC_USA_Arty_Graham_Forward [map-81/002]</x:v>
      </x:c>
      <x:c r="C1717" s="136" t="str">
        <x:v>battery</x:v>
      </x:c>
      <x:c r="D1717" s="136" t="str">
        <x:v>USA</x:v>
      </x:c>
      <x:c r="E1717" s="136" t="str">
        <x:v>Spawnpoint_BHC_USA_Arty_Graham_Forward</x:v>
      </x:c>
      <x:c r="F1717" s="137" t="n">
        <x:v>1001.5294189453125</x:v>
      </x:c>
      <x:c r="G1717" s="137" t="n">
        <x:v>2404.462158203125</x:v>
      </x:c>
      <x:c r="H1717" s="137" t="n">
        <x:v>166.36302185058594</x:v>
      </x:c>
      <x:c r="I1717" s="137" t="n">
        <x:v>1134.6773398239527</x:v>
      </x:c>
      <x:c r="J1717" s="137" t="n">
        <x:v>727.9349272828669</x:v>
      </x:c>
      <x:c r="K1717" s="136" t="str">
        <x:v>map-81</x:v>
      </x:c>
      <x:c r="L1717" s="136" t="str">
        <x:v>HarpersFerry | Skirmish | Bolivar Heights Camp||Artillery | USA Spawnpoint_BHC_USA_Arty_Graham_Forward [map-81/002]</x:v>
      </x:c>
      <x:c r="M1717" s="35"/>
      <x:c r="N1717" s="35"/>
      <x:c r="O1717" s="35"/>
      <x:c r="P1717" s="35"/>
      <x:c r="Q1717" s="35"/>
      <x:c r="R1717" s="35"/>
      <x:c r="S1717" s="35"/>
      <x:c r="T1717" s="35"/>
      <x:c r="U1717" s="35"/>
      <x:c r="V1717" s="35"/>
      <x:c r="W1717" s="35"/>
      <x:c r="X1717" s="35"/>
      <x:c r="Y1717" s="35"/>
      <x:c r="Z1717" s="35"/>
      <x:c r="AA1717" s="35"/>
    </x:row>
    <x:row r="1718">
      <x:c r="A1718" s="136" t="str">
        <x:v>HarpersFerry | Skirmish | Bolivar Heights Camp</x:v>
      </x:c>
      <x:c r="B1718" s="136" t="str">
        <x:v>Spawn | USA Spawnpoint_BHC_Base_USA_39thNY [map-81/003]</x:v>
      </x:c>
      <x:c r="C1718" s="136" t="str">
        <x:v>spawn</x:v>
      </x:c>
      <x:c r="D1718" s="136" t="str">
        <x:v>USA</x:v>
      </x:c>
      <x:c r="E1718" s="136" t="str">
        <x:v>Spawnpoint_BHC_Base_USA_39thNY</x:v>
      </x:c>
      <x:c r="F1718" s="137" t="n">
        <x:v>943.4512329101562</x:v>
      </x:c>
      <x:c r="G1718" s="137" t="n">
        <x:v>1959.8131103515625</x:v>
      </x:c>
      <x:c r="H1718" s="137" t="n">
        <x:v>147.71090698242188</x:v>
      </x:c>
      <x:c r="I1718" s="137" t="n">
        <x:v>1002.2228574902852</x:v>
      </x:c>
      <x:c r="J1718" s="137" t="n">
        <x:v>1740.8840368283284</x:v>
      </x:c>
      <x:c r="K1718" s="136" t="str">
        <x:v>map-81</x:v>
      </x:c>
      <x:c r="L1718" s="136" t="str">
        <x:v>HarpersFerry | Skirmish | Bolivar Heights Camp||Spawn | USA Spawnpoint_BHC_Base_USA_39thNY [map-81/003]</x:v>
      </x:c>
      <x:c r="M1718" s="35"/>
      <x:c r="N1718" s="35"/>
      <x:c r="O1718" s="35"/>
      <x:c r="P1718" s="35"/>
      <x:c r="Q1718" s="35"/>
      <x:c r="R1718" s="35"/>
      <x:c r="S1718" s="35"/>
      <x:c r="T1718" s="35"/>
      <x:c r="U1718" s="35"/>
      <x:c r="V1718" s="35"/>
      <x:c r="W1718" s="35"/>
      <x:c r="X1718" s="35"/>
      <x:c r="Y1718" s="35"/>
      <x:c r="Z1718" s="35"/>
      <x:c r="AA1718" s="35"/>
    </x:row>
    <x:row r="1719">
      <x:c r="A1719" s="136" t="str">
        <x:v>HarpersFerry | Skirmish | Bolivar Heights Camp</x:v>
      </x:c>
      <x:c r="B1719" s="136" t="str">
        <x:v>Artillery | USA Spawnpoint_BHC_USA_Arty_Base [map-81/004]</x:v>
      </x:c>
      <x:c r="C1719" s="136" t="str">
        <x:v>battery</x:v>
      </x:c>
      <x:c r="D1719" s="136" t="str">
        <x:v>USA</x:v>
      </x:c>
      <x:c r="E1719" s="136" t="str">
        <x:v>Spawnpoint_BHC_USA_Arty_Base</x:v>
      </x:c>
      <x:c r="F1719" s="137" t="n">
        <x:v>956.4908447265625</x:v>
      </x:c>
      <x:c r="G1719" s="137" t="n">
        <x:v>1945.9796142578125</x:v>
      </x:c>
      <x:c r="H1719" s="137" t="n">
        <x:v>147.1761474609375</x:v>
      </x:c>
      <x:c r="I1719" s="137" t="n">
        <x:v>1031.9613040720806</x:v>
      </x:c>
      <x:c r="J1719" s="137" t="n">
        <x:v>1772.3979411485343</x:v>
      </x:c>
      <x:c r="K1719" s="136" t="str">
        <x:v>map-81</x:v>
      </x:c>
      <x:c r="L1719" s="136" t="str">
        <x:v>HarpersFerry | Skirmish | Bolivar Heights Camp||Artillery | USA Spawnpoint_BHC_USA_Arty_Base [map-81/004]</x:v>
      </x:c>
      <x:c r="M1719" s="35"/>
      <x:c r="N1719" s="35"/>
      <x:c r="O1719" s="35"/>
      <x:c r="P1719" s="35"/>
      <x:c r="Q1719" s="35"/>
      <x:c r="R1719" s="35"/>
      <x:c r="S1719" s="35"/>
      <x:c r="T1719" s="35"/>
      <x:c r="U1719" s="35"/>
      <x:c r="V1719" s="35"/>
      <x:c r="W1719" s="35"/>
      <x:c r="X1719" s="35"/>
      <x:c r="Y1719" s="35"/>
      <x:c r="Z1719" s="35"/>
      <x:c r="AA1719" s="35"/>
    </x:row>
    <x:row r="1720">
      <x:c r="A1720" s="136" t="str">
        <x:v>HarpersFerry | Skirmish | Bolivar Heights Camp</x:v>
      </x:c>
      <x:c r="B1720" s="136" t="str">
        <x:v>Spawn | CSA Spawnpoint_BHC_Base_CSA_1stLaZo [map-81/005]</x:v>
      </x:c>
      <x:c r="C1720" s="136" t="str">
        <x:v>spawn</x:v>
      </x:c>
      <x:c r="D1720" s="136" t="str">
        <x:v>CSA</x:v>
      </x:c>
      <x:c r="E1720" s="136" t="str">
        <x:v>Spawnpoint_BHC_Base_CSA_1stLaZo</x:v>
      </x:c>
      <x:c r="F1720" s="137" t="n">
        <x:v>881.7381591796875</x:v>
      </x:c>
      <x:c r="G1720" s="137" t="n">
        <x:v>2649.74072265625</x:v>
      </x:c>
      <x:c r="H1720" s="137" t="n">
        <x:v>109.64441680908203</x:v>
      </x:c>
      <x:c r="I1720" s="137" t="n">
        <x:v>861.4785644567417</x:v>
      </x:c>
      <x:c r="J1720" s="137" t="n">
        <x:v>169.16907665560112</x:v>
      </x:c>
      <x:c r="K1720" s="136" t="str">
        <x:v>map-81</x:v>
      </x:c>
      <x:c r="L1720" s="136" t="str">
        <x:v>HarpersFerry | Skirmish | Bolivar Heights Camp||Spawn | CSA Spawnpoint_BHC_Base_CSA_1stLaZo [map-81/005]</x:v>
      </x:c>
      <x:c r="M1720" s="35"/>
      <x:c r="N1720" s="35"/>
      <x:c r="O1720" s="35"/>
      <x:c r="P1720" s="35"/>
      <x:c r="Q1720" s="35"/>
      <x:c r="R1720" s="35"/>
      <x:c r="S1720" s="35"/>
      <x:c r="T1720" s="35"/>
      <x:c r="U1720" s="35"/>
      <x:c r="V1720" s="35"/>
      <x:c r="W1720" s="35"/>
      <x:c r="X1720" s="35"/>
      <x:c r="Y1720" s="35"/>
      <x:c r="Z1720" s="35"/>
      <x:c r="AA1720" s="35"/>
    </x:row>
    <x:row r="1721">
      <x:c r="A1721" s="136" t="str">
        <x:v>HarpersFerry | Skirmish | Bolivar Heights Camp</x:v>
      </x:c>
      <x:c r="B1721" s="136" t="str">
        <x:v>Artillery | CSA Spawnpoint_BHC_CSA_Arty_Brockenbrough_Forward [map-81/006]</x:v>
      </x:c>
      <x:c r="C1721" s="136" t="str">
        <x:v>battery</x:v>
      </x:c>
      <x:c r="D1721" s="136" t="str">
        <x:v>CSA</x:v>
      </x:c>
      <x:c r="E1721" s="136" t="str">
        <x:v>Spawnpoint_BHC_CSA_Arty_Brockenbrough_Forward</x:v>
      </x:c>
      <x:c r="F1721" s="137" t="n">
        <x:v>624.8427734375</x:v>
      </x:c>
      <x:c r="G1721" s="137" t="n">
        <x:v>2601.3642578125</x:v>
      </x:c>
      <x:c r="H1721" s="137" t="n">
        <x:v>107.9762191772461</x:v>
      </x:c>
      <x:c r="I1721" s="137" t="n">
        <x:v>275.59688227417723</x:v>
      </x:c>
      <x:c r="J1721" s="137" t="n">
        <x:v>279.3748607975084</x:v>
      </x:c>
      <x:c r="K1721" s="136" t="str">
        <x:v>map-81</x:v>
      </x:c>
      <x:c r="L1721" s="136" t="str">
        <x:v>HarpersFerry | Skirmish | Bolivar Heights Camp||Artillery | CSA Spawnpoint_BHC_CSA_Arty_Brockenbrough_Forward [map-81/006]</x:v>
      </x:c>
      <x:c r="M1721" s="35"/>
      <x:c r="N1721" s="35"/>
      <x:c r="O1721" s="35"/>
      <x:c r="P1721" s="35"/>
      <x:c r="Q1721" s="35"/>
      <x:c r="R1721" s="35"/>
      <x:c r="S1721" s="35"/>
      <x:c r="T1721" s="35"/>
      <x:c r="U1721" s="35"/>
      <x:c r="V1721" s="35"/>
      <x:c r="W1721" s="35"/>
      <x:c r="X1721" s="35"/>
      <x:c r="Y1721" s="35"/>
      <x:c r="Z1721" s="35"/>
      <x:c r="AA1721" s="35"/>
    </x:row>
    <x:row r="1722">
      <x:c r="A1722" s="136" t="str">
        <x:v>HarpersFerry | Skirmish | Bolivar Heights Camp</x:v>
      </x:c>
      <x:c r="B1722" s="136" t="str">
        <x:v>Spawn | CSA Spawnpoint_BHC_Base_CSA_9thLA [map-81/007]</x:v>
      </x:c>
      <x:c r="C1722" s="136" t="str">
        <x:v>spawn</x:v>
      </x:c>
      <x:c r="D1722" s="136" t="str">
        <x:v>CSA</x:v>
      </x:c>
      <x:c r="E1722" s="136" t="str">
        <x:v>Spawnpoint_BHC_Base_CSA_9thLA</x:v>
      </x:c>
      <x:c r="F1722" s="137" t="n">
        <x:v>860.9363403320312</x:v>
      </x:c>
      <x:c r="G1722" s="137" t="n">
        <x:v>2623.291748046875</x:v>
      </x:c>
      <x:c r="H1722" s="137" t="n">
        <x:v>112.92479705810547</x:v>
      </x:c>
      <x:c r="I1722" s="137" t="n">
        <x:v>814.0374452489692</x:v>
      </x:c>
      <x:c r="J1722" s="137" t="n">
        <x:v>229.42213557567948</x:v>
      </x:c>
      <x:c r="K1722" s="136" t="str">
        <x:v>map-81</x:v>
      </x:c>
      <x:c r="L1722" s="136" t="str">
        <x:v>HarpersFerry | Skirmish | Bolivar Heights Camp||Spawn | CSA Spawnpoint_BHC_Base_CSA_9thLA [map-81/007]</x:v>
      </x:c>
      <x:c r="M1722" s="35"/>
      <x:c r="N1722" s="35"/>
      <x:c r="O1722" s="35"/>
      <x:c r="P1722" s="35"/>
      <x:c r="Q1722" s="35"/>
      <x:c r="R1722" s="35"/>
      <x:c r="S1722" s="35"/>
      <x:c r="T1722" s="35"/>
      <x:c r="U1722" s="35"/>
      <x:c r="V1722" s="35"/>
      <x:c r="W1722" s="35"/>
      <x:c r="X1722" s="35"/>
      <x:c r="Y1722" s="35"/>
      <x:c r="Z1722" s="35"/>
      <x:c r="AA1722" s="35"/>
    </x:row>
    <x:row r="1723">
      <x:c r="A1723" s="136" t="str">
        <x:v>HarpersFerry | Skirmish | Bolivar Heights Camp</x:v>
      </x:c>
      <x:c r="B1723" s="136" t="str">
        <x:v>Spawn | USA Spawnpoint_BHC_Defend_USA_39thNY [map-81/008]</x:v>
      </x:c>
      <x:c r="C1723" s="136" t="str">
        <x:v>spawn</x:v>
      </x:c>
      <x:c r="D1723" s="136" t="str">
        <x:v>USA</x:v>
      </x:c>
      <x:c r="E1723" s="136" t="str">
        <x:v>Spawnpoint_BHC_Defend_USA_39thNY</x:v>
      </x:c>
      <x:c r="F1723" s="137" t="n">
        <x:v>978.6983032226562</x:v>
      </x:c>
      <x:c r="G1723" s="137" t="n">
        <x:v>2269.30126953125</x:v>
      </x:c>
      <x:c r="H1723" s="137" t="n">
        <x:v>165.88668823242188</x:v>
      </x:c>
      <x:c r="I1723" s="137" t="n">
        <x:v>1082.608158250101</x:v>
      </x:c>
      <x:c r="J1723" s="137" t="n">
        <x:v>1035.8431584756934</x:v>
      </x:c>
      <x:c r="K1723" s="136" t="str">
        <x:v>map-81</x:v>
      </x:c>
      <x:c r="L1723" s="136" t="str">
        <x:v>HarpersFerry | Skirmish | Bolivar Heights Camp||Spawn | USA Spawnpoint_BHC_Defend_USA_39thNY [map-81/008]</x:v>
      </x:c>
      <x:c r="M1723" s="35"/>
      <x:c r="N1723" s="35"/>
      <x:c r="O1723" s="35"/>
      <x:c r="P1723" s="35"/>
      <x:c r="Q1723" s="35"/>
      <x:c r="R1723" s="35"/>
      <x:c r="S1723" s="35"/>
      <x:c r="T1723" s="35"/>
      <x:c r="U1723" s="35"/>
      <x:c r="V1723" s="35"/>
      <x:c r="W1723" s="35"/>
      <x:c r="X1723" s="35"/>
      <x:c r="Y1723" s="35"/>
      <x:c r="Z1723" s="35"/>
      <x:c r="AA1723" s="35"/>
    </x:row>
    <x:row r="1724">
      <x:c r="A1724" s="136" t="str">
        <x:v>HarpersFerry | Skirmish | Bolivar Heights Camp</x:v>
      </x:c>
      <x:c r="B1724" s="136" t="str">
        <x:v>Spawn | CSA Spawnpoint_BHC_Base_CSA_9thLA-2 [map-81/009]</x:v>
      </x:c>
      <x:c r="C1724" s="136" t="str">
        <x:v>spawn</x:v>
      </x:c>
      <x:c r="D1724" s="136" t="str">
        <x:v>CSA</x:v>
      </x:c>
      <x:c r="E1724" s="136" t="str">
        <x:v>Spawnpoint_BHC_Base_CSA_9thLA-2</x:v>
      </x:c>
      <x:c r="F1724" s="137" t="n">
        <x:v>849.711181640625</x:v>
      </x:c>
      <x:c r="G1724" s="137" t="n">
        <x:v>2609.43359375</x:v>
      </x:c>
      <x:c r="H1724" s="137" t="n">
        <x:v>113.57827758789062</x:v>
      </x:c>
      <x:c r="I1724" s="137" t="n">
        <x:v>788.4370833044093</x:v>
      </x:c>
      <x:c r="J1724" s="137" t="n">
        <x:v>260.99221342199326</x:v>
      </x:c>
      <x:c r="K1724" s="136" t="str">
        <x:v>map-81</x:v>
      </x:c>
      <x:c r="L1724" s="136" t="str">
        <x:v>HarpersFerry | Skirmish | Bolivar Heights Camp||Spawn | CSA Spawnpoint_BHC_Base_CSA_9thLA-2 [map-81/009]</x:v>
      </x:c>
      <x:c r="M1724" s="35"/>
      <x:c r="N1724" s="35"/>
      <x:c r="O1724" s="35"/>
      <x:c r="P1724" s="35"/>
      <x:c r="Q1724" s="35"/>
      <x:c r="R1724" s="35"/>
      <x:c r="S1724" s="35"/>
      <x:c r="T1724" s="35"/>
      <x:c r="U1724" s="35"/>
      <x:c r="V1724" s="35"/>
      <x:c r="W1724" s="35"/>
      <x:c r="X1724" s="35"/>
      <x:c r="Y1724" s="35"/>
      <x:c r="Z1724" s="35"/>
      <x:c r="AA1724" s="35"/>
    </x:row>
    <x:row r="1725">
      <x:c r="A1725" s="136" t="str">
        <x:v>HarpersFerry | Skirmish | Bolivar Heights Camp</x:v>
      </x:c>
      <x:c r="B1725" s="136" t="str">
        <x:v>Spawn | USA Spawnpoint_BHC_Base_USA_87thOH-2 [map-81/010]</x:v>
      </x:c>
      <x:c r="C1725" s="136" t="str">
        <x:v>spawn</x:v>
      </x:c>
      <x:c r="D1725" s="136" t="str">
        <x:v>USA</x:v>
      </x:c>
      <x:c r="E1725" s="136" t="str">
        <x:v>Spawnpoint_BHC_Base_USA_87thOH-2</x:v>
      </x:c>
      <x:c r="F1725" s="137" t="n">
        <x:v>974.8074951171875</x:v>
      </x:c>
      <x:c r="G1725" s="137" t="n">
        <x:v>1963.843017578125</x:v>
      </x:c>
      <x:c r="H1725" s="137" t="n">
        <x:v>145.91766357421875</x:v>
      </x:c>
      <x:c r="I1725" s="137" t="n">
        <x:v>1073.7346894203833</x:v>
      </x:c>
      <x:c r="J1725" s="137" t="n">
        <x:v>1731.7035585243245</x:v>
      </x:c>
      <x:c r="K1725" s="136" t="str">
        <x:v>map-81</x:v>
      </x:c>
      <x:c r="L1725" s="136" t="str">
        <x:v>HarpersFerry | Skirmish | Bolivar Heights Camp||Spawn | USA Spawnpoint_BHC_Base_USA_87thOH-2 [map-81/010]</x:v>
      </x:c>
      <x:c r="M1725" s="35"/>
      <x:c r="N1725" s="35"/>
      <x:c r="O1725" s="35"/>
      <x:c r="P1725" s="35"/>
      <x:c r="Q1725" s="35"/>
      <x:c r="R1725" s="35"/>
      <x:c r="S1725" s="35"/>
      <x:c r="T1725" s="35"/>
      <x:c r="U1725" s="35"/>
      <x:c r="V1725" s="35"/>
      <x:c r="W1725" s="35"/>
      <x:c r="X1725" s="35"/>
      <x:c r="Y1725" s="35"/>
      <x:c r="Z1725" s="35"/>
      <x:c r="AA1725" s="35"/>
    </x:row>
    <x:row r="1726">
      <x:c r="A1726" s="136" t="str">
        <x:v>HarpersFerry | Skirmish | Bolivar Heights Camp</x:v>
      </x:c>
      <x:c r="B1726" s="136" t="str">
        <x:v>Spawn | USA Spawnpoint_BHC_Defend_USA_87thOH-2 [map-81/011]</x:v>
      </x:c>
      <x:c r="C1726" s="136" t="str">
        <x:v>spawn</x:v>
      </x:c>
      <x:c r="D1726" s="136" t="str">
        <x:v>USA</x:v>
      </x:c>
      <x:c r="E1726" s="136" t="str">
        <x:v>Spawnpoint_BHC_Defend_USA_87thOH-2</x:v>
      </x:c>
      <x:c r="F1726" s="137" t="n">
        <x:v>962.60205078125</x:v>
      </x:c>
      <x:c r="G1726" s="137" t="n">
        <x:v>2268.91552734375</x:v>
      </x:c>
      <x:c r="H1726" s="137" t="n">
        <x:v>169.24789428710938</x:v>
      </x:c>
      <x:c r="I1726" s="137" t="n">
        <x:v>1045.8986648897553</x:v>
      </x:c>
      <x:c r="J1726" s="137" t="n">
        <x:v>1036.7219126464943</x:v>
      </x:c>
      <x:c r="K1726" s="136" t="str">
        <x:v>map-81</x:v>
      </x:c>
      <x:c r="L1726" s="136" t="str">
        <x:v>HarpersFerry | Skirmish | Bolivar Heights Camp||Spawn | USA Spawnpoint_BHC_Defend_USA_87thOH-2 [map-81/011]</x:v>
      </x:c>
      <x:c r="M1726" s="35"/>
      <x:c r="N1726" s="35"/>
      <x:c r="O1726" s="35"/>
      <x:c r="P1726" s="35"/>
      <x:c r="Q1726" s="35"/>
      <x:c r="R1726" s="35"/>
      <x:c r="S1726" s="35"/>
      <x:c r="T1726" s="35"/>
      <x:c r="U1726" s="35"/>
      <x:c r="V1726" s="35"/>
      <x:c r="W1726" s="35"/>
      <x:c r="X1726" s="35"/>
      <x:c r="Y1726" s="35"/>
      <x:c r="Z1726" s="35"/>
      <x:c r="AA1726" s="35"/>
    </x:row>
    <x:row r="1727">
      <x:c r="A1727" s="136" t="str">
        <x:v>HarpersFerry | Skirmish | Bolivar Heights Camp</x:v>
      </x:c>
      <x:c r="B1727" s="136" t="str">
        <x:v>Objective | Victory_Bolivar_Heights_Camp [map-81/012]</x:v>
      </x:c>
      <x:c r="C1727" s="136" t="str">
        <x:v>objective</x:v>
      </x:c>
      <x:c r="D1727" s="136" t="str"/>
      <x:c r="E1727" s="136" t="str">
        <x:v>Victory_Bolivar_Heights_Camp</x:v>
      </x:c>
      <x:c r="F1727" s="137" t="n">
        <x:v>1256.722900390625</x:v>
      </x:c>
      <x:c r="G1727" s="137" t="n">
        <x:v>2177.11962890625</x:v>
      </x:c>
      <x:c r="H1727" s="137" t="n">
        <x:v>134.0500030517578</x:v>
      </x:c>
      <x:c r="I1727" s="137" t="n">
        <x:v>1716.677618884051</x:v>
      </x:c>
      <x:c r="J1727" s="137" t="n">
        <x:v>1245.8409336619904</x:v>
      </x:c>
      <x:c r="K1727" s="136" t="str">
        <x:v>map-81</x:v>
      </x:c>
      <x:c r="L1727" s="136" t="str">
        <x:v>HarpersFerry | Skirmish | Bolivar Heights Camp||Objective | Victory_Bolivar_Heights_Camp [map-81/012]</x:v>
      </x:c>
      <x:c r="M1727" s="35"/>
      <x:c r="N1727" s="35"/>
      <x:c r="O1727" s="35"/>
      <x:c r="P1727" s="35"/>
      <x:c r="Q1727" s="35"/>
      <x:c r="R1727" s="35"/>
      <x:c r="S1727" s="35"/>
      <x:c r="T1727" s="35"/>
      <x:c r="U1727" s="35"/>
      <x:c r="V1727" s="35"/>
      <x:c r="W1727" s="35"/>
      <x:c r="X1727" s="35"/>
      <x:c r="Y1727" s="35"/>
      <x:c r="Z1727" s="35"/>
      <x:c r="AA1727" s="35"/>
    </x:row>
    <x:row r="1728">
      <x:c r="A1728" s="136" t="str">
        <x:v>HarpersFerry | Skirmish | Bolivar Heights Camp</x:v>
      </x:c>
      <x:c r="B1728" s="136" t="str">
        <x:v>Spawn | USA Spawnpoint_BHC_Base_USA_87thOH [map-81/013]</x:v>
      </x:c>
      <x:c r="C1728" s="136" t="str">
        <x:v>spawn</x:v>
      </x:c>
      <x:c r="D1728" s="136" t="str">
        <x:v>USA</x:v>
      </x:c>
      <x:c r="E1728" s="136" t="str">
        <x:v>Spawnpoint_BHC_Base_USA_87thOH</x:v>
      </x:c>
      <x:c r="F1728" s="137" t="n">
        <x:v>960.4931030273438</x:v>
      </x:c>
      <x:c r="G1728" s="137" t="n">
        <x:v>1966.0733642578125</x:v>
      </x:c>
      <x:c r="H1728" s="137" t="n">
        <x:v>146.87782287597656</x:v>
      </x:c>
      <x:c r="I1728" s="137" t="n">
        <x:v>1041.088948848636</x:v>
      </x:c>
      <x:c r="J1728" s="137" t="n">
        <x:v>1726.6226352791648</x:v>
      </x:c>
      <x:c r="K1728" s="136" t="str">
        <x:v>map-81</x:v>
      </x:c>
      <x:c r="L1728" s="136" t="str">
        <x:v>HarpersFerry | Skirmish | Bolivar Heights Camp||Spawn | USA Spawnpoint_BHC_Base_USA_87thOH [map-81/013]</x:v>
      </x:c>
      <x:c r="M1728" s="35"/>
      <x:c r="N1728" s="35"/>
      <x:c r="O1728" s="35"/>
      <x:c r="P1728" s="35"/>
      <x:c r="Q1728" s="35"/>
      <x:c r="R1728" s="35"/>
      <x:c r="S1728" s="35"/>
      <x:c r="T1728" s="35"/>
      <x:c r="U1728" s="35"/>
      <x:c r="V1728" s="35"/>
      <x:c r="W1728" s="35"/>
      <x:c r="X1728" s="35"/>
      <x:c r="Y1728" s="35"/>
      <x:c r="Z1728" s="35"/>
      <x:c r="AA1728" s="35"/>
    </x:row>
    <x:row r="1729">
      <x:c r="A1729" s="136" t="str">
        <x:v>HarpersFerry | Skirmish | Bolivar Heights Camp</x:v>
      </x:c>
      <x:c r="B1729" s="136" t="str">
        <x:v>Spawn | USA Spawnpoint_BHC_Defend_USA_87thOH [map-81/014]</x:v>
      </x:c>
      <x:c r="C1729" s="136" t="str">
        <x:v>spawn</x:v>
      </x:c>
      <x:c r="D1729" s="136" t="str">
        <x:v>USA</x:v>
      </x:c>
      <x:c r="E1729" s="136" t="str">
        <x:v>Spawnpoint_BHC_Defend_USA_87thOH</x:v>
      </x:c>
      <x:c r="F1729" s="137" t="n">
        <x:v>950.0394287109375</x:v>
      </x:c>
      <x:c r="G1729" s="137" t="n">
        <x:v>2269.9423828125</x:v>
      </x:c>
      <x:c r="H1729" s="137" t="n">
        <x:v>171.2596435546875</x:v>
      </x:c>
      <x:c r="I1729" s="137" t="n">
        <x:v>1017.2480523849242</x:v>
      </x:c>
      <x:c r="J1729" s="137" t="n">
        <x:v>1034.3826467968809</x:v>
      </x:c>
      <x:c r="K1729" s="136" t="str">
        <x:v>map-81</x:v>
      </x:c>
      <x:c r="L1729" s="136" t="str">
        <x:v>HarpersFerry | Skirmish | Bolivar Heights Camp||Spawn | USA Spawnpoint_BHC_Defend_USA_87thOH [map-81/014]</x:v>
      </x:c>
      <x:c r="M1729" s="35"/>
      <x:c r="N1729" s="35"/>
      <x:c r="O1729" s="35"/>
      <x:c r="P1729" s="35"/>
      <x:c r="Q1729" s="35"/>
      <x:c r="R1729" s="35"/>
      <x:c r="S1729" s="35"/>
      <x:c r="T1729" s="35"/>
      <x:c r="U1729" s="35"/>
      <x:c r="V1729" s="35"/>
      <x:c r="W1729" s="35"/>
      <x:c r="X1729" s="35"/>
      <x:c r="Y1729" s="35"/>
      <x:c r="Z1729" s="35"/>
      <x:c r="AA1729" s="35"/>
    </x:row>
    <x:row r="1730">
      <x:c r="A1730" s="136" t="str">
        <x:v>HarpersFerry | Skirmish | Bolivar Heights Camp</x:v>
      </x:c>
      <x:c r="B1730" s="136" t="str">
        <x:v>Spawn | USA Spawnpoint_BHC_Defend_USA_39thNY-2 [map-81/015]</x:v>
      </x:c>
      <x:c r="C1730" s="136" t="str">
        <x:v>spawn</x:v>
      </x:c>
      <x:c r="D1730" s="136" t="str">
        <x:v>USA</x:v>
      </x:c>
      <x:c r="E1730" s="136" t="str">
        <x:v>Spawnpoint_BHC_Defend_USA_39thNY-2</x:v>
      </x:c>
      <x:c r="F1730" s="137" t="n">
        <x:v>997.427978515625</x:v>
      </x:c>
      <x:c r="G1730" s="137" t="n">
        <x:v>2259.6484375</x:v>
      </x:c>
      <x:c r="H1730" s="137" t="n">
        <x:v>161.0266571044922</x:v>
      </x:c>
      <x:c r="I1730" s="137" t="n">
        <x:v>1125.3234979424624</x:v>
      </x:c>
      <x:c r="J1730" s="137" t="n">
        <x:v>1057.8331473396988</x:v>
      </x:c>
      <x:c r="K1730" s="136" t="str">
        <x:v>map-81</x:v>
      </x:c>
      <x:c r="L1730" s="136" t="str">
        <x:v>HarpersFerry | Skirmish | Bolivar Heights Camp||Spawn | USA Spawnpoint_BHC_Defend_USA_39thNY-2 [map-81/015]</x:v>
      </x:c>
      <x:c r="M1730" s="35"/>
      <x:c r="N1730" s="35"/>
      <x:c r="O1730" s="35"/>
      <x:c r="P1730" s="35"/>
      <x:c r="Q1730" s="35"/>
      <x:c r="R1730" s="35"/>
      <x:c r="S1730" s="35"/>
      <x:c r="T1730" s="35"/>
      <x:c r="U1730" s="35"/>
      <x:c r="V1730" s="35"/>
      <x:c r="W1730" s="35"/>
      <x:c r="X1730" s="35"/>
      <x:c r="Y1730" s="35"/>
      <x:c r="Z1730" s="35"/>
      <x:c r="AA1730" s="35"/>
    </x:row>
    <x:row r="1731">
      <x:c r="A1731" s="136" t="str">
        <x:v>HarpersFerry | Skirmish | Bolivar Heights Camp</x:v>
      </x:c>
      <x:c r="B1731" s="136" t="str">
        <x:v>Artillery | USA Spawnpoint_BHC_USA_Arty_Phillips_Forward [map-81/016]</x:v>
      </x:c>
      <x:c r="C1731" s="136" t="str">
        <x:v>battery</x:v>
      </x:c>
      <x:c r="D1731" s="136" t="str">
        <x:v>USA</x:v>
      </x:c>
      <x:c r="E1731" s="136" t="str">
        <x:v>Spawnpoint_BHC_USA_Arty_Phillips_Forward</x:v>
      </x:c>
      <x:c r="F1731" s="137" t="n">
        <x:v>980.7667846679688</x:v>
      </x:c>
      <x:c r="G1731" s="137" t="n">
        <x:v>2360.52294921875</x:v>
      </x:c>
      <x:c r="H1731" s="137" t="n">
        <x:v>169.50003051757812</x:v>
      </x:c>
      <x:c r="I1731" s="137" t="n">
        <x:v>1087.3255858724067</x:v>
      </x:c>
      <x:c r="J1731" s="137" t="n">
        <x:v>828.0322575929337</x:v>
      </x:c>
      <x:c r="K1731" s="136" t="str">
        <x:v>map-81</x:v>
      </x:c>
      <x:c r="L1731" s="136" t="str">
        <x:v>HarpersFerry | Skirmish | Bolivar Heights Camp||Artillery | USA Spawnpoint_BHC_USA_Arty_Phillips_Forward [map-81/016]</x:v>
      </x:c>
      <x:c r="M1731" s="35"/>
      <x:c r="N1731" s="35"/>
      <x:c r="O1731" s="35"/>
      <x:c r="P1731" s="35"/>
      <x:c r="Q1731" s="35"/>
      <x:c r="R1731" s="35"/>
      <x:c r="S1731" s="35"/>
      <x:c r="T1731" s="35"/>
      <x:c r="U1731" s="35"/>
      <x:c r="V1731" s="35"/>
      <x:c r="W1731" s="35"/>
      <x:c r="X1731" s="35"/>
      <x:c r="Y1731" s="35"/>
      <x:c r="Z1731" s="35"/>
      <x:c r="AA1731" s="35"/>
    </x:row>
    <x:row r="1732">
      <x:c r="A1732" s="136" t="str">
        <x:v>HarpersFerry | Skirmish | Bolivar Heights Camp</x:v>
      </x:c>
      <x:c r="B1732" s="136" t="str">
        <x:v>Spawn | USA Spawnpoint_BHC_Base_USA_39thNY-2 [map-81/017]</x:v>
      </x:c>
      <x:c r="C1732" s="136" t="str">
        <x:v>spawn</x:v>
      </x:c>
      <x:c r="D1732" s="136" t="str">
        <x:v>USA</x:v>
      </x:c>
      <x:c r="E1732" s="136" t="str">
        <x:v>Spawnpoint_BHC_Base_USA_39thNY-2</x:v>
      </x:c>
      <x:c r="F1732" s="137" t="n">
        <x:v>929.7338256835938</x:v>
      </x:c>
      <x:c r="G1732" s="137" t="n">
        <x:v>1961.9564208984375</x:v>
      </x:c>
      <x:c r="H1732" s="137" t="n">
        <x:v>148.22767639160156</x:v>
      </x:c>
      <x:c r="I1732" s="137" t="n">
        <x:v>970.9386146929188</x:v>
      </x:c>
      <x:c r="J1732" s="137" t="n">
        <x:v>1736.0013894451247</x:v>
      </x:c>
      <x:c r="K1732" s="136" t="str">
        <x:v>map-81</x:v>
      </x:c>
      <x:c r="L1732" s="136" t="str">
        <x:v>HarpersFerry | Skirmish | Bolivar Heights Camp||Spawn | USA Spawnpoint_BHC_Base_USA_39thNY-2 [map-81/017]</x:v>
      </x:c>
      <x:c r="M1732" s="35"/>
      <x:c r="N1732" s="35"/>
      <x:c r="O1732" s="35"/>
      <x:c r="P1732" s="35"/>
      <x:c r="Q1732" s="35"/>
      <x:c r="R1732" s="35"/>
      <x:c r="S1732" s="35"/>
      <x:c r="T1732" s="35"/>
      <x:c r="U1732" s="35"/>
      <x:c r="V1732" s="35"/>
      <x:c r="W1732" s="35"/>
      <x:c r="X1732" s="35"/>
      <x:c r="Y1732" s="35"/>
      <x:c r="Z1732" s="35"/>
      <x:c r="AA1732" s="35"/>
    </x:row>
    <x:row r="1733">
      <x:c r="A1733" s="136" t="str">
        <x:v>HarpersFerry | Skirmish | Bolivar Heights Camp</x:v>
      </x:c>
      <x:c r="B1733" s="136" t="str">
        <x:v>Artillery | CSA Spawnpoint_BHC_CSA_Arty_Base [map-81/018]</x:v>
      </x:c>
      <x:c r="C1733" s="136" t="str">
        <x:v>battery</x:v>
      </x:c>
      <x:c r="D1733" s="136" t="str">
        <x:v>CSA</x:v>
      </x:c>
      <x:c r="E1733" s="136" t="str">
        <x:v>Spawnpoint_BHC_CSA_Arty_Base</x:v>
      </x:c>
      <x:c r="F1733" s="137" t="n">
        <x:v>895.1348876953125</x:v>
      </x:c>
      <x:c r="G1733" s="137" t="n">
        <x:v>2665.052978515625</x:v>
      </x:c>
      <x:c r="H1733" s="137" t="n">
        <x:v>107.06085968017578</x:v>
      </x:c>
      <x:c r="I1733" s="137" t="n">
        <x:v>892.0314598145213</x:v>
      </x:c>
      <x:c r="J1733" s="137" t="n">
        <x:v>134.28642928948312</x:v>
      </x:c>
      <x:c r="K1733" s="136" t="str">
        <x:v>map-81</x:v>
      </x:c>
      <x:c r="L1733" s="136" t="str">
        <x:v>HarpersFerry | Skirmish | Bolivar Heights Camp||Artillery | CSA Spawnpoint_BHC_CSA_Arty_Base [map-81/018]</x:v>
      </x:c>
      <x:c r="M1733" s="35"/>
      <x:c r="N1733" s="35"/>
      <x:c r="O1733" s="35"/>
      <x:c r="P1733" s="35"/>
      <x:c r="Q1733" s="35"/>
      <x:c r="R1733" s="35"/>
      <x:c r="S1733" s="35"/>
      <x:c r="T1733" s="35"/>
      <x:c r="U1733" s="35"/>
      <x:c r="V1733" s="35"/>
      <x:c r="W1733" s="35"/>
      <x:c r="X1733" s="35"/>
      <x:c r="Y1733" s="35"/>
      <x:c r="Z1733" s="35"/>
      <x:c r="AA1733" s="35"/>
    </x:row>
    <x:row r="1734">
      <x:c r="A1734" s="136" t="str">
        <x:v>HarpersFerry | Skirmish | Bolivar Heights Camp</x:v>
      </x:c>
      <x:c r="B1734" s="136" t="str">
        <x:v>Artillery | USA Spawnpoint_BHC_USA_Arty_Von_Sehlen_Forward [map-81/019]</x:v>
      </x:c>
      <x:c r="C1734" s="136" t="str">
        <x:v>battery</x:v>
      </x:c>
      <x:c r="D1734" s="136" t="str">
        <x:v>USA</x:v>
      </x:c>
      <x:c r="E1734" s="136" t="str">
        <x:v>Spawnpoint_BHC_USA_Arty_Von_Sehlen_Forward</x:v>
      </x:c>
      <x:c r="F1734" s="137" t="n">
        <x:v>947.457763671875</x:v>
      </x:c>
      <x:c r="G1734" s="137" t="n">
        <x:v>2293.822021484375</x:v>
      </x:c>
      <x:c r="H1734" s="137" t="n">
        <x:v>171.6528778076172</x:v>
      </x:c>
      <x:c r="I1734" s="137" t="n">
        <x:v>1011.3602461421301</x:v>
      </x:c>
      <x:c r="J1734" s="137" t="n">
        <x:v>979.9827580625681</x:v>
      </x:c>
      <x:c r="K1734" s="136" t="str">
        <x:v>map-81</x:v>
      </x:c>
      <x:c r="L1734" s="136" t="str">
        <x:v>HarpersFerry | Skirmish | Bolivar Heights Camp||Artillery | USA Spawnpoint_BHC_USA_Arty_Von_Sehlen_Forward [map-81/019]</x:v>
      </x:c>
      <x:c r="M1734" s="35"/>
      <x:c r="N1734" s="35"/>
      <x:c r="O1734" s="35"/>
      <x:c r="P1734" s="35"/>
      <x:c r="Q1734" s="35"/>
      <x:c r="R1734" s="35"/>
      <x:c r="S1734" s="35"/>
      <x:c r="T1734" s="35"/>
      <x:c r="U1734" s="35"/>
      <x:c r="V1734" s="35"/>
      <x:c r="W1734" s="35"/>
      <x:c r="X1734" s="35"/>
      <x:c r="Y1734" s="35"/>
      <x:c r="Z1734" s="35"/>
      <x:c r="AA1734" s="35"/>
    </x:row>
    <x:row r="1735">
      <x:c r="A1735" s="136" t="str">
        <x:v>HarpersFerry | Skirmish | Bolivar Heights Camp</x:v>
      </x:c>
      <x:c r="B1735" s="136" t="str">
        <x:v>Gun | 10-pounder Parrott · 3InchOrdnanceRifle-83 [map-81/020]</x:v>
      </x:c>
      <x:c r="C1735" s="136" t="str">
        <x:v>gun_spawn</x:v>
      </x:c>
      <x:c r="D1735" s="136" t="str"/>
      <x:c r="E1735" s="136" t="str">
        <x:v>10-pounder Parrott · 3InchOrdnanceRifle-83</x:v>
      </x:c>
      <x:c r="F1735" s="137" t="n">
        <x:v>954.658447265625</x:v>
      </x:c>
      <x:c r="G1735" s="137" t="n">
        <x:v>2349.99755859375</x:v>
      </x:c>
      <x:c r="H1735" s="137" t="n">
        <x:v>168.95899963378906</x:v>
      </x:c>
      <x:c r="I1735" s="137" t="n">
        <x:v>1027.7822951586293</x:v>
      </x:c>
      <x:c r="J1735" s="137" t="n">
        <x:v>852.0100106382323</x:v>
      </x:c>
      <x:c r="K1735" s="136" t="str">
        <x:v>map-81</x:v>
      </x:c>
      <x:c r="L1735" s="136" t="str">
        <x:v>HarpersFerry | Skirmish | Bolivar Heights Camp||Gun | 10-pounder Parrott · 3InchOrdnanceRifle-83 [map-81/020]</x:v>
      </x:c>
      <x:c r="M1735" s="35"/>
      <x:c r="N1735" s="35"/>
      <x:c r="O1735" s="35"/>
      <x:c r="P1735" s="35"/>
      <x:c r="Q1735" s="35"/>
      <x:c r="R1735" s="35"/>
      <x:c r="S1735" s="35"/>
      <x:c r="T1735" s="35"/>
      <x:c r="U1735" s="35"/>
      <x:c r="V1735" s="35"/>
      <x:c r="W1735" s="35"/>
      <x:c r="X1735" s="35"/>
      <x:c r="Y1735" s="35"/>
      <x:c r="Z1735" s="35"/>
      <x:c r="AA1735" s="35"/>
    </x:row>
    <x:row r="1736">
      <x:c r="A1736" s="136" t="str">
        <x:v>HarpersFerry | Skirmish | Bolivar Heights Camp</x:v>
      </x:c>
      <x:c r="B1736" s="136" t="str">
        <x:v>Gun | 12-pounder Napoleon (USA) · 3InchOrdnanceRifle-86 [map-81/021]</x:v>
      </x:c>
      <x:c r="C1736" s="136" t="str">
        <x:v>gun_spawn</x:v>
      </x:c>
      <x:c r="D1736" s="136" t="str"/>
      <x:c r="E1736" s="136" t="str">
        <x:v>12-pounder Napoleon (USA) · 3InchOrdnanceRifle-86</x:v>
      </x:c>
      <x:c r="F1736" s="137" t="n">
        <x:v>940.3084716796875</x:v>
      </x:c>
      <x:c r="G1736" s="137" t="n">
        <x:v>2315.295166015625</x:v>
      </x:c>
      <x:c r="H1736" s="137" t="n">
        <x:v>170.65603637695312</x:v>
      </x:c>
      <x:c r="I1736" s="137" t="n">
        <x:v>995.0554020255419</x:v>
      </x:c>
      <x:c r="J1736" s="137" t="n">
        <x:v>931.0650717722966</x:v>
      </x:c>
      <x:c r="K1736" s="136" t="str">
        <x:v>map-81</x:v>
      </x:c>
      <x:c r="L1736" s="136" t="str">
        <x:v>HarpersFerry | Skirmish | Bolivar Heights Camp||Gun | 12-pounder Napoleon (USA) · 3InchOrdnanceRifle-86 [map-81/021]</x:v>
      </x:c>
      <x:c r="M1736" s="35"/>
      <x:c r="N1736" s="35"/>
      <x:c r="O1736" s="35"/>
      <x:c r="P1736" s="35"/>
      <x:c r="Q1736" s="35"/>
      <x:c r="R1736" s="35"/>
      <x:c r="S1736" s="35"/>
      <x:c r="T1736" s="35"/>
      <x:c r="U1736" s="35"/>
      <x:c r="V1736" s="35"/>
      <x:c r="W1736" s="35"/>
      <x:c r="X1736" s="35"/>
      <x:c r="Y1736" s="35"/>
      <x:c r="Z1736" s="35"/>
      <x:c r="AA1736" s="35"/>
    </x:row>
    <x:row r="1737">
      <x:c r="A1737" s="136" t="str">
        <x:v>HarpersFerry | Skirmish | Bolivar Heights Camp</x:v>
      </x:c>
      <x:c r="B1737" s="136" t="str">
        <x:v>Gun | 10-pounder Parrott · 3InchOrdnanceRifle-82 [map-81/022]</x:v>
      </x:c>
      <x:c r="C1737" s="136" t="str">
        <x:v>gun_spawn</x:v>
      </x:c>
      <x:c r="D1737" s="136" t="str"/>
      <x:c r="E1737" s="136" t="str">
        <x:v>10-pounder Parrott · 3InchOrdnanceRifle-82</x:v>
      </x:c>
      <x:c r="F1737" s="137" t="n">
        <x:v>956.8238525390625</x:v>
      </x:c>
      <x:c r="G1737" s="137" t="n">
        <x:v>2356.27490234375</x:v>
      </x:c>
      <x:c r="H1737" s="137" t="n">
        <x:v>168.3785858154297</x:v>
      </x:c>
      <x:c r="I1737" s="137" t="n">
        <x:v>1032.7207695517884</x:v>
      </x:c>
      <x:c r="J1737" s="137" t="n">
        <x:v>837.7096769422609</x:v>
      </x:c>
      <x:c r="K1737" s="136" t="str">
        <x:v>map-81</x:v>
      </x:c>
      <x:c r="L1737" s="136" t="str">
        <x:v>HarpersFerry | Skirmish | Bolivar Heights Camp||Gun | 10-pounder Parrott · 3InchOrdnanceRifle-82 [map-81/022]</x:v>
      </x:c>
      <x:c r="M1737" s="35"/>
      <x:c r="N1737" s="35"/>
      <x:c r="O1737" s="35"/>
      <x:c r="P1737" s="35"/>
      <x:c r="Q1737" s="35"/>
      <x:c r="R1737" s="35"/>
      <x:c r="S1737" s="35"/>
      <x:c r="T1737" s="35"/>
      <x:c r="U1737" s="35"/>
      <x:c r="V1737" s="35"/>
      <x:c r="W1737" s="35"/>
      <x:c r="X1737" s="35"/>
      <x:c r="Y1737" s="35"/>
      <x:c r="Z1737" s="35"/>
      <x:c r="AA1737" s="35"/>
    </x:row>
    <x:row r="1738">
      <x:c r="A1738" s="136" t="str">
        <x:v>HarpersFerry | Skirmish | Bolivar Heights Camp</x:v>
      </x:c>
      <x:c r="B1738" s="136" t="str">
        <x:v>Gun | 12-pounder Napoleon (USA) · 3InchOrdnanceRifle-87 [map-81/023]</x:v>
      </x:c>
      <x:c r="C1738" s="136" t="str">
        <x:v>gun_spawn</x:v>
      </x:c>
      <x:c r="D1738" s="136" t="str"/>
      <x:c r="E1738" s="136" t="str">
        <x:v>12-pounder Napoleon (USA) · 3InchOrdnanceRifle-87</x:v>
      </x:c>
      <x:c r="F1738" s="137" t="n">
        <x:v>934.9803466796875</x:v>
      </x:c>
      <x:c r="G1738" s="137" t="n">
        <x:v>2304.124267578125</x:v>
      </x:c>
      <x:c r="H1738" s="137" t="n">
        <x:v>171.04718017578125</x:v>
      </x:c>
      <x:c r="I1738" s="137" t="n">
        <x:v>982.9039543502156</x:v>
      </x:c>
      <x:c r="J1738" s="137" t="n">
        <x:v>956.5133476198721</x:v>
      </x:c>
      <x:c r="K1738" s="136" t="str">
        <x:v>map-81</x:v>
      </x:c>
      <x:c r="L1738" s="136" t="str">
        <x:v>HarpersFerry | Skirmish | Bolivar Heights Camp||Gun | 12-pounder Napoleon (USA) · 3InchOrdnanceRifle-87 [map-81/023]</x:v>
      </x:c>
      <x:c r="M1738" s="35"/>
      <x:c r="N1738" s="35"/>
      <x:c r="O1738" s="35"/>
      <x:c r="P1738" s="35"/>
      <x:c r="Q1738" s="35"/>
      <x:c r="R1738" s="35"/>
      <x:c r="S1738" s="35"/>
      <x:c r="T1738" s="35"/>
      <x:c r="U1738" s="35"/>
      <x:c r="V1738" s="35"/>
      <x:c r="W1738" s="35"/>
      <x:c r="X1738" s="35"/>
      <x:c r="Y1738" s="35"/>
      <x:c r="Z1738" s="35"/>
      <x:c r="AA1738" s="35"/>
    </x:row>
    <x:row r="1739">
      <x:c r="A1739" s="136" t="str">
        <x:v>HarpersFerry | Skirmish | Bolivar Heights Camp</x:v>
      </x:c>
      <x:c r="B1739" s="136" t="str">
        <x:v>Gun | 12-pounder Napoleon (CSA) · 3InchOrdnanceRifle-75 [map-81/024]</x:v>
      </x:c>
      <x:c r="C1739" s="136" t="str">
        <x:v>gun_spawn</x:v>
      </x:c>
      <x:c r="D1739" s="136" t="str"/>
      <x:c r="E1739" s="136" t="str">
        <x:v>12-pounder Napoleon (CSA) · 3InchOrdnanceRifle-75</x:v>
      </x:c>
      <x:c r="F1739" s="137" t="n">
        <x:v>619.71435546875</x:v>
      </x:c>
      <x:c r="G1739" s="137" t="n">
        <x:v>2564.605224609375</x:v>
      </x:c>
      <x:c r="H1739" s="137" t="n">
        <x:v>105.97109985351562</x:v>
      </x:c>
      <x:c r="I1739" s="137" t="n">
        <x:v>263.9008911695262</x:v>
      </x:c>
      <x:c r="J1739" s="137" t="n">
        <x:v>363.115127713109</x:v>
      </x:c>
      <x:c r="K1739" s="136" t="str">
        <x:v>map-81</x:v>
      </x:c>
      <x:c r="L1739" s="136" t="str">
        <x:v>HarpersFerry | Skirmish | Bolivar Heights Camp||Gun | 12-pounder Napoleon (CSA) · 3InchOrdnanceRifle-75 [map-81/024]</x:v>
      </x:c>
      <x:c r="M1739" s="35"/>
      <x:c r="N1739" s="35"/>
      <x:c r="O1739" s="35"/>
      <x:c r="P1739" s="35"/>
      <x:c r="Q1739" s="35"/>
      <x:c r="R1739" s="35"/>
      <x:c r="S1739" s="35"/>
      <x:c r="T1739" s="35"/>
      <x:c r="U1739" s="35"/>
      <x:c r="V1739" s="35"/>
      <x:c r="W1739" s="35"/>
      <x:c r="X1739" s="35"/>
      <x:c r="Y1739" s="35"/>
      <x:c r="Z1739" s="35"/>
      <x:c r="AA1739" s="35"/>
    </x:row>
    <x:row r="1740">
      <x:c r="A1740" s="136" t="str">
        <x:v>HarpersFerry | Skirmish | Bolivar Heights Camp</x:v>
      </x:c>
      <x:c r="B1740" s="136" t="str">
        <x:v>Gun | 3-inch Ordnance · 3InchOrdnanceRifle-89 [map-81/025]</x:v>
      </x:c>
      <x:c r="C1740" s="136" t="str">
        <x:v>gun_spawn</x:v>
      </x:c>
      <x:c r="D1740" s="136" t="str"/>
      <x:c r="E1740" s="136" t="str">
        <x:v>3-inch Ordnance · 3InchOrdnanceRifle-89</x:v>
      </x:c>
      <x:c r="F1740" s="137" t="n">
        <x:v>921.8031005859375</x:v>
      </x:c>
      <x:c r="G1740" s="137" t="n">
        <x:v>2281.516357421875</x:v>
      </x:c>
      <x:c r="H1740" s="137" t="n">
        <x:v>171.26446533203125</x:v>
      </x:c>
      <x:c r="I1740" s="137" t="n">
        <x:v>952.8516157858796</x:v>
      </x:c>
      <x:c r="J1740" s="137" t="n">
        <x:v>1008.016128458171</x:v>
      </x:c>
      <x:c r="K1740" s="136" t="str">
        <x:v>map-81</x:v>
      </x:c>
      <x:c r="L1740" s="136" t="str">
        <x:v>HarpersFerry | Skirmish | Bolivar Heights Camp||Gun | 3-inch Ordnance · 3InchOrdnanceRifle-89 [map-81/025]</x:v>
      </x:c>
      <x:c r="M1740" s="35"/>
      <x:c r="N1740" s="35"/>
      <x:c r="O1740" s="35"/>
      <x:c r="P1740" s="35"/>
      <x:c r="Q1740" s="35"/>
      <x:c r="R1740" s="35"/>
      <x:c r="S1740" s="35"/>
      <x:c r="T1740" s="35"/>
      <x:c r="U1740" s="35"/>
      <x:c r="V1740" s="35"/>
      <x:c r="W1740" s="35"/>
      <x:c r="X1740" s="35"/>
      <x:c r="Y1740" s="35"/>
      <x:c r="Z1740" s="35"/>
      <x:c r="AA1740" s="35"/>
    </x:row>
    <x:row r="1741">
      <x:c r="A1741" s="136" t="str">
        <x:v>HarpersFerry | Skirmish | Bolivar Heights Camp</x:v>
      </x:c>
      <x:c r="B1741" s="136" t="str">
        <x:v>Gun | 3-inch Ordnance · 3InchOrdnanceRifle-88 [map-81/026]</x:v>
      </x:c>
      <x:c r="C1741" s="136" t="str">
        <x:v>gun_spawn</x:v>
      </x:c>
      <x:c r="D1741" s="136" t="str"/>
      <x:c r="E1741" s="136" t="str">
        <x:v>3-inch Ordnance · 3InchOrdnanceRifle-88</x:v>
      </x:c>
      <x:c r="F1741" s="137" t="n">
        <x:v>927.9310913085938</x:v>
      </x:c>
      <x:c r="G1741" s="137" t="n">
        <x:v>2293.697509765625</x:v>
      </x:c>
      <x:c r="H1741" s="137" t="n">
        <x:v>170.9246063232422</x:v>
      </x:c>
      <x:c r="I1741" s="137" t="n">
        <x:v>966.8272561136204</x:v>
      </x:c>
      <x:c r="J1741" s="137" t="n">
        <x:v>980.2664065607381</x:v>
      </x:c>
      <x:c r="K1741" s="136" t="str">
        <x:v>map-81</x:v>
      </x:c>
      <x:c r="L1741" s="136" t="str">
        <x:v>HarpersFerry | Skirmish | Bolivar Heights Camp||Gun | 3-inch Ordnance · 3InchOrdnanceRifle-88 [map-81/026]</x:v>
      </x:c>
      <x:c r="M1741" s="35"/>
      <x:c r="N1741" s="35"/>
      <x:c r="O1741" s="35"/>
      <x:c r="P1741" s="35"/>
      <x:c r="Q1741" s="35"/>
      <x:c r="R1741" s="35"/>
      <x:c r="S1741" s="35"/>
      <x:c r="T1741" s="35"/>
      <x:c r="U1741" s="35"/>
      <x:c r="V1741" s="35"/>
      <x:c r="W1741" s="35"/>
      <x:c r="X1741" s="35"/>
      <x:c r="Y1741" s="35"/>
      <x:c r="Z1741" s="35"/>
      <x:c r="AA1741" s="35"/>
    </x:row>
    <x:row r="1742">
      <x:c r="A1742" s="136" t="str">
        <x:v>HarpersFerry | Skirmish | Bolivar Heights Camp</x:v>
      </x:c>
      <x:c r="B1742" s="136" t="str">
        <x:v>Gun | 12-pounder Napoleon (USA) · 3InchOrdnanceRifle-79 [map-81/027]</x:v>
      </x:c>
      <x:c r="C1742" s="136" t="str">
        <x:v>gun_spawn</x:v>
      </x:c>
      <x:c r="D1742" s="136" t="str"/>
      <x:c r="E1742" s="136" t="str">
        <x:v>12-pounder Napoleon (USA) · 3InchOrdnanceRifle-79</x:v>
      </x:c>
      <x:c r="F1742" s="137" t="n">
        <x:v>971.4519653320312</x:v>
      </x:c>
      <x:c r="G1742" s="137" t="n">
        <x:v>2388.89892578125</x:v>
      </x:c>
      <x:c r="H1742" s="137" t="n">
        <x:v>164.93658447265625</x:v>
      </x:c>
      <x:c r="I1742" s="137" t="n">
        <x:v>1066.0819889662225</x:v>
      </x:c>
      <x:c r="J1742" s="137" t="n">
        <x:v>763.3893210335312</x:v>
      </x:c>
      <x:c r="K1742" s="136" t="str">
        <x:v>map-81</x:v>
      </x:c>
      <x:c r="L1742" s="136" t="str">
        <x:v>HarpersFerry | Skirmish | Bolivar Heights Camp||Gun | 12-pounder Napoleon (USA) · 3InchOrdnanceRifle-79 [map-81/027]</x:v>
      </x:c>
      <x:c r="M1742" s="35"/>
      <x:c r="N1742" s="35"/>
      <x:c r="O1742" s="35"/>
      <x:c r="P1742" s="35"/>
      <x:c r="Q1742" s="35"/>
      <x:c r="R1742" s="35"/>
      <x:c r="S1742" s="35"/>
      <x:c r="T1742" s="35"/>
      <x:c r="U1742" s="35"/>
      <x:c r="V1742" s="35"/>
      <x:c r="W1742" s="35"/>
      <x:c r="X1742" s="35"/>
      <x:c r="Y1742" s="35"/>
      <x:c r="Z1742" s="35"/>
      <x:c r="AA1742" s="35"/>
    </x:row>
    <x:row r="1743">
      <x:c r="A1743" s="136" t="str">
        <x:v>HarpersFerry | Skirmish | Bolivar Heights Camp</x:v>
      </x:c>
      <x:c r="B1743" s="136" t="str">
        <x:v>Gun | 3-inch Ordnance · 3InchOrdnanceRifle-71 [map-81/028]</x:v>
      </x:c>
      <x:c r="C1743" s="136" t="str">
        <x:v>gun_spawn</x:v>
      </x:c>
      <x:c r="D1743" s="136" t="str"/>
      <x:c r="E1743" s="136" t="str">
        <x:v>3-inch Ordnance · 3InchOrdnanceRifle-71</x:v>
      </x:c>
      <x:c r="F1743" s="137" t="n">
        <x:v>641.83447265625</x:v>
      </x:c>
      <x:c r="G1743" s="137" t="n">
        <x:v>2592.812744140625</x:v>
      </x:c>
      <x:c r="H1743" s="137" t="n">
        <x:v>106.0241928100586</x:v>
      </x:c>
      <x:c r="I1743" s="137" t="n">
        <x:v>314.3485526969854</x:v>
      </x:c>
      <x:c r="J1743" s="137" t="n">
        <x:v>298.85595088652474</x:v>
      </x:c>
      <x:c r="K1743" s="136" t="str">
        <x:v>map-81</x:v>
      </x:c>
      <x:c r="L1743" s="136" t="str">
        <x:v>HarpersFerry | Skirmish | Bolivar Heights Camp||Gun | 3-inch Ordnance · 3InchOrdnanceRifle-71 [map-81/028]</x:v>
      </x:c>
      <x:c r="M1743" s="35"/>
      <x:c r="N1743" s="35"/>
      <x:c r="O1743" s="35"/>
      <x:c r="P1743" s="35"/>
      <x:c r="Q1743" s="35"/>
      <x:c r="R1743" s="35"/>
      <x:c r="S1743" s="35"/>
      <x:c r="T1743" s="35"/>
      <x:c r="U1743" s="35"/>
      <x:c r="V1743" s="35"/>
      <x:c r="W1743" s="35"/>
      <x:c r="X1743" s="35"/>
      <x:c r="Y1743" s="35"/>
      <x:c r="Z1743" s="35"/>
      <x:c r="AA1743" s="35"/>
    </x:row>
    <x:row r="1744">
      <x:c r="A1744" s="136" t="str">
        <x:v>HarpersFerry | Skirmish | Bolivar Heights Camp</x:v>
      </x:c>
      <x:c r="B1744" s="136" t="str">
        <x:v>Gun | 12-pounder Napoleon (USA) · 3InchOrdnanceRifle-73 [map-81/029]</x:v>
      </x:c>
      <x:c r="C1744" s="136" t="str">
        <x:v>gun_spawn</x:v>
      </x:c>
      <x:c r="D1744" s="136" t="str"/>
      <x:c r="E1744" s="136" t="str">
        <x:v>12-pounder Napoleon (USA) · 3InchOrdnanceRifle-73</x:v>
      </x:c>
      <x:c r="F1744" s="137" t="n">
        <x:v>630.7503662109375</x:v>
      </x:c>
      <x:c r="G1744" s="137" t="n">
        <x:v>2581.324951171875</x:v>
      </x:c>
      <x:c r="H1744" s="137" t="n">
        <x:v>105.96643829345703</x:v>
      </x:c>
      <x:c r="I1744" s="137" t="n">
        <x:v>289.0698778351977</x:v>
      </x:c>
      <x:c r="J1744" s="137" t="n">
        <x:v>325.0261399706191</x:v>
      </x:c>
      <x:c r="K1744" s="136" t="str">
        <x:v>map-81</x:v>
      </x:c>
      <x:c r="L1744" s="136" t="str">
        <x:v>HarpersFerry | Skirmish | Bolivar Heights Camp||Gun | 12-pounder Napoleon (USA) · 3InchOrdnanceRifle-73 [map-81/029]</x:v>
      </x:c>
      <x:c r="M1744" s="35"/>
      <x:c r="N1744" s="35"/>
      <x:c r="O1744" s="35"/>
      <x:c r="P1744" s="35"/>
      <x:c r="Q1744" s="35"/>
      <x:c r="R1744" s="35"/>
      <x:c r="S1744" s="35"/>
      <x:c r="T1744" s="35"/>
      <x:c r="U1744" s="35"/>
      <x:c r="V1744" s="35"/>
      <x:c r="W1744" s="35"/>
      <x:c r="X1744" s="35"/>
      <x:c r="Y1744" s="35"/>
      <x:c r="Z1744" s="35"/>
      <x:c r="AA1744" s="35"/>
    </x:row>
    <x:row r="1745">
      <x:c r="A1745" s="136" t="str">
        <x:v>HarpersFerry | Skirmish | Bolivar Heights Camp</x:v>
      </x:c>
      <x:c r="B1745" s="136" t="str">
        <x:v>Gun | 3-inch Ordnance · 3InchOrdnanceRifle-77 [map-81/030]</x:v>
      </x:c>
      <x:c r="C1745" s="136" t="str">
        <x:v>gun_spawn</x:v>
      </x:c>
      <x:c r="D1745" s="136" t="str"/>
      <x:c r="E1745" s="136" t="str">
        <x:v>3-inch Ordnance · 3InchOrdnanceRifle-77</x:v>
      </x:c>
      <x:c r="F1745" s="137" t="n">
        <x:v>985.5912475585938</x:v>
      </x:c>
      <x:c r="G1745" s="137" t="n">
        <x:v>2416.68701171875</x:v>
      </x:c>
      <x:c r="H1745" s="137" t="n">
        <x:v>163.2452392578125</x:v>
      </x:c>
      <x:c r="I1745" s="137" t="n">
        <x:v>1098.3283698493187</x:v>
      </x:c>
      <x:c r="J1745" s="137" t="n">
        <x:v>700.0856503243116</x:v>
      </x:c>
      <x:c r="K1745" s="136" t="str">
        <x:v>map-81</x:v>
      </x:c>
      <x:c r="L1745" s="136" t="str">
        <x:v>HarpersFerry | Skirmish | Bolivar Heights Camp||Gun | 3-inch Ordnance · 3InchOrdnanceRifle-77 [map-81/030]</x:v>
      </x:c>
      <x:c r="M1745" s="35"/>
      <x:c r="N1745" s="35"/>
      <x:c r="O1745" s="35"/>
      <x:c r="P1745" s="35"/>
      <x:c r="Q1745" s="35"/>
      <x:c r="R1745" s="35"/>
      <x:c r="S1745" s="35"/>
      <x:c r="T1745" s="35"/>
      <x:c r="U1745" s="35"/>
      <x:c r="V1745" s="35"/>
      <x:c r="W1745" s="35"/>
      <x:c r="X1745" s="35"/>
      <x:c r="Y1745" s="35"/>
      <x:c r="Z1745" s="35"/>
      <x:c r="AA1745" s="35"/>
    </x:row>
    <x:row r="1746">
      <x:c r="A1746" s="136" t="str">
        <x:v>HarpersFerry | Skirmish | Bolivar Heights Camp</x:v>
      </x:c>
      <x:c r="B1746" s="136" t="str">
        <x:v>Gun | 3-inch Ordnance · 3InchOrdnanceRifle-72 [map-81/031]</x:v>
      </x:c>
      <x:c r="C1746" s="136" t="str">
        <x:v>gun_spawn</x:v>
      </x:c>
      <x:c r="D1746" s="136" t="str"/>
      <x:c r="E1746" s="136" t="str">
        <x:v>3-inch Ordnance · 3InchOrdnanceRifle-72</x:v>
      </x:c>
      <x:c r="F1746" s="137" t="n">
        <x:v>637.4918212890625</x:v>
      </x:c>
      <x:c r="G1746" s="137" t="n">
        <x:v>2586.843017578125</x:v>
      </x:c>
      <x:c r="H1746" s="137" t="n">
        <x:v>106.00936889648438</x:v>
      </x:c>
      <x:c r="I1746" s="137" t="n">
        <x:v>304.44459945629313</x:v>
      </x:c>
      <x:c r="J1746" s="137" t="n">
        <x:v>312.4555059399586</x:v>
      </x:c>
      <x:c r="K1746" s="136" t="str">
        <x:v>map-81</x:v>
      </x:c>
      <x:c r="L1746" s="136" t="str">
        <x:v>HarpersFerry | Skirmish | Bolivar Heights Camp||Gun | 3-inch Ordnance · 3InchOrdnanceRifle-72 [map-81/031]</x:v>
      </x:c>
      <x:c r="M1746" s="35"/>
      <x:c r="N1746" s="35"/>
      <x:c r="O1746" s="35"/>
      <x:c r="P1746" s="35"/>
      <x:c r="Q1746" s="35"/>
      <x:c r="R1746" s="35"/>
      <x:c r="S1746" s="35"/>
      <x:c r="T1746" s="35"/>
      <x:c r="U1746" s="35"/>
      <x:c r="V1746" s="35"/>
      <x:c r="W1746" s="35"/>
      <x:c r="X1746" s="35"/>
      <x:c r="Y1746" s="35"/>
      <x:c r="Z1746" s="35"/>
      <x:c r="AA1746" s="35"/>
    </x:row>
    <x:row r="1747">
      <x:c r="A1747" s="136" t="str">
        <x:v>HarpersFerry | Skirmish | Bolivar Heights Camp</x:v>
      </x:c>
      <x:c r="B1747" s="136" t="str">
        <x:v>Gun | 3-inch Ordnance · 3InchOrdnanceRifle-76 [map-81/032]</x:v>
      </x:c>
      <x:c r="C1747" s="136" t="str">
        <x:v>gun_spawn</x:v>
      </x:c>
      <x:c r="D1747" s="136" t="str"/>
      <x:c r="E1747" s="136" t="str">
        <x:v>3-inch Ordnance · 3InchOrdnanceRifle-76</x:v>
      </x:c>
      <x:c r="F1747" s="137" t="n">
        <x:v>979.6399536132812</x:v>
      </x:c>
      <x:c r="G1747" s="137" t="n">
        <x:v>2408.20703125</x:v>
      </x:c>
      <x:c r="H1747" s="137" t="n">
        <x:v>163.4505157470703</x:v>
      </x:c>
      <x:c r="I1747" s="137" t="n">
        <x:v>1084.7557083639085</x:v>
      </x:c>
      <x:c r="J1747" s="137" t="n">
        <x:v>719.4037815702616</x:v>
      </x:c>
      <x:c r="K1747" s="136" t="str">
        <x:v>map-81</x:v>
      </x:c>
      <x:c r="L1747" s="136" t="str">
        <x:v>HarpersFerry | Skirmish | Bolivar Heights Camp||Gun | 3-inch Ordnance · 3InchOrdnanceRifle-76 [map-81/032]</x:v>
      </x:c>
      <x:c r="M1747" s="35"/>
      <x:c r="N1747" s="35"/>
      <x:c r="O1747" s="35"/>
      <x:c r="P1747" s="35"/>
      <x:c r="Q1747" s="35"/>
      <x:c r="R1747" s="35"/>
      <x:c r="S1747" s="35"/>
      <x:c r="T1747" s="35"/>
      <x:c r="U1747" s="35"/>
      <x:c r="V1747" s="35"/>
      <x:c r="W1747" s="35"/>
      <x:c r="X1747" s="35"/>
      <x:c r="Y1747" s="35"/>
      <x:c r="Z1747" s="35"/>
      <x:c r="AA1747" s="35"/>
    </x:row>
    <x:row r="1748">
      <x:c r="A1748" s="136" t="str">
        <x:v>HarpersFerry | Skirmish | Bolivar Heights Camp</x:v>
      </x:c>
      <x:c r="B1748" s="136" t="str">
        <x:v>Gun | 12-pounder Napoleon (USA) · 3InchOrdnanceRifle-78 [map-81/033]</x:v>
      </x:c>
      <x:c r="C1748" s="136" t="str">
        <x:v>gun_spawn</x:v>
      </x:c>
      <x:c r="D1748" s="136" t="str"/>
      <x:c r="E1748" s="136" t="str">
        <x:v>12-pounder Napoleon (USA) · 3InchOrdnanceRifle-78</x:v>
      </x:c>
      <x:c r="F1748" s="137" t="n">
        <x:v>989.0722045898438</x:v>
      </x:c>
      <x:c r="G1748" s="137" t="n">
        <x:v>2421.24609375</x:v>
      </x:c>
      <x:c r="H1748" s="137" t="n">
        <x:v>163.06951904296875</x:v>
      </x:c>
      <x:c r="I1748" s="137" t="n">
        <x:v>1106.2671226423358</x:v>
      </x:c>
      <x:c r="J1748" s="137" t="n">
        <x:v>689.6996659030854</x:v>
      </x:c>
      <x:c r="K1748" s="136" t="str">
        <x:v>map-81</x:v>
      </x:c>
      <x:c r="L1748" s="136" t="str">
        <x:v>HarpersFerry | Skirmish | Bolivar Heights Camp||Gun | 12-pounder Napoleon (USA) · 3InchOrdnanceRifle-78 [map-81/033]</x:v>
      </x:c>
      <x:c r="M1748" s="35"/>
      <x:c r="N1748" s="35"/>
      <x:c r="O1748" s="35"/>
      <x:c r="P1748" s="35"/>
      <x:c r="Q1748" s="35"/>
      <x:c r="R1748" s="35"/>
      <x:c r="S1748" s="35"/>
      <x:c r="T1748" s="35"/>
      <x:c r="U1748" s="35"/>
      <x:c r="V1748" s="35"/>
      <x:c r="W1748" s="35"/>
      <x:c r="X1748" s="35"/>
      <x:c r="Y1748" s="35"/>
      <x:c r="Z1748" s="35"/>
      <x:c r="AA1748" s="35"/>
    </x:row>
    <x:row r="1749">
      <x:c r="A1749" s="136" t="str">
        <x:v>HarpersFerry | Skirmish | Bolivar Heights Camp</x:v>
      </x:c>
      <x:c r="B1749" s="136" t="str">
        <x:v>Gun | 3-inch Ordnance · 3InchOrdnanceRifle-70 [map-81/034]</x:v>
      </x:c>
      <x:c r="C1749" s="136" t="str">
        <x:v>gun_spawn</x:v>
      </x:c>
      <x:c r="D1749" s="136" t="str"/>
      <x:c r="E1749" s="136" t="str">
        <x:v>3-inch Ordnance · 3InchOrdnanceRifle-70</x:v>
      </x:c>
      <x:c r="F1749" s="137" t="n">
        <x:v>647.80322265625</x:v>
      </x:c>
      <x:c r="G1749" s="137" t="n">
        <x:v>2600.763427734375</x:v>
      </x:c>
      <x:c r="H1749" s="137" t="n">
        <x:v>105.995849609375</x:v>
      </x:c>
      <x:c r="I1749" s="137" t="n">
        <x:v>327.96102487286424</x:v>
      </x:c>
      <x:c r="J1749" s="137" t="n">
        <x:v>280.7436038445598</x:v>
      </x:c>
      <x:c r="K1749" s="136" t="str">
        <x:v>map-81</x:v>
      </x:c>
      <x:c r="L1749" s="136" t="str">
        <x:v>HarpersFerry | Skirmish | Bolivar Heights Camp||Gun | 3-inch Ordnance · 3InchOrdnanceRifle-70 [map-81/034]</x:v>
      </x:c>
      <x:c r="M1749" s="35"/>
      <x:c r="N1749" s="35"/>
      <x:c r="O1749" s="35"/>
      <x:c r="P1749" s="35"/>
      <x:c r="Q1749" s="35"/>
      <x:c r="R1749" s="35"/>
      <x:c r="S1749" s="35"/>
      <x:c r="T1749" s="35"/>
      <x:c r="U1749" s="35"/>
      <x:c r="V1749" s="35"/>
      <x:c r="W1749" s="35"/>
      <x:c r="X1749" s="35"/>
      <x:c r="Y1749" s="35"/>
      <x:c r="Z1749" s="35"/>
      <x:c r="AA1749" s="35"/>
    </x:row>
    <x:row r="1750">
      <x:c r="A1750" s="136" t="str">
        <x:v>HarpersFerry | Skirmish | Bolivar Heights Camp</x:v>
      </x:c>
      <x:c r="B1750" s="136" t="str">
        <x:v>Gun | 10-pounder Parrott · 3InchOrdnanceRifle-84 [map-81/035]</x:v>
      </x:c>
      <x:c r="C1750" s="136" t="str">
        <x:v>gun_spawn</x:v>
      </x:c>
      <x:c r="D1750" s="136" t="str"/>
      <x:c r="E1750" s="136" t="str">
        <x:v>10-pounder Parrott · 3InchOrdnanceRifle-84</x:v>
      </x:c>
      <x:c r="F1750" s="137" t="n">
        <x:v>949.8626098632812</x:v>
      </x:c>
      <x:c r="G1750" s="137" t="n">
        <x:v>2339.3837890625</x:v>
      </x:c>
      <x:c r="H1750" s="137" t="n">
        <x:v>169.38182067871094</x:v>
      </x:c>
      <x:c r="I1750" s="137" t="n">
        <x:v>1016.8447951461569</x:v>
      </x:c>
      <x:c r="J1750" s="137" t="n">
        <x:v>876.1890984998788</x:v>
      </x:c>
      <x:c r="K1750" s="136" t="str">
        <x:v>map-81</x:v>
      </x:c>
      <x:c r="L1750" s="136" t="str">
        <x:v>HarpersFerry | Skirmish | Bolivar Heights Camp||Gun | 10-pounder Parrott · 3InchOrdnanceRifle-84 [map-81/035]</x:v>
      </x:c>
      <x:c r="M1750" s="35"/>
      <x:c r="N1750" s="35"/>
      <x:c r="O1750" s="35"/>
      <x:c r="P1750" s="35"/>
      <x:c r="Q1750" s="35"/>
      <x:c r="R1750" s="35"/>
      <x:c r="S1750" s="35"/>
      <x:c r="T1750" s="35"/>
      <x:c r="U1750" s="35"/>
      <x:c r="V1750" s="35"/>
      <x:c r="W1750" s="35"/>
      <x:c r="X1750" s="35"/>
      <x:c r="Y1750" s="35"/>
      <x:c r="Z1750" s="35"/>
      <x:c r="AA1750" s="35"/>
    </x:row>
    <x:row r="1751">
      <x:c r="A1751" s="136" t="str">
        <x:v>HarpersFerry | Skirmish | Bolivar Heights Camp</x:v>
      </x:c>
      <x:c r="B1751" s="136" t="str">
        <x:v>Gun | 12-pounder Napoleon (USA) · 3InchOrdnanceRifle-85 [map-81/036]</x:v>
      </x:c>
      <x:c r="C1751" s="136" t="str">
        <x:v>gun_spawn</x:v>
      </x:c>
      <x:c r="D1751" s="136" t="str"/>
      <x:c r="E1751" s="136" t="str">
        <x:v>12-pounder Napoleon (USA) · 3InchOrdnanceRifle-85</x:v>
      </x:c>
      <x:c r="F1751" s="137" t="n">
        <x:v>945.3687133789062</x:v>
      </x:c>
      <x:c r="G1751" s="137" t="n">
        <x:v>2326.283935546875</x:v>
      </x:c>
      <x:c r="H1751" s="137" t="n">
        <x:v>170.2454071044922</x:v>
      </x:c>
      <x:c r="I1751" s="137" t="n">
        <x:v>1006.5959087202162</x:v>
      </x:c>
      <x:c r="J1751" s="137" t="n">
        <x:v>906.0317013749851</x:v>
      </x:c>
      <x:c r="K1751" s="136" t="str">
        <x:v>map-81</x:v>
      </x:c>
      <x:c r="L1751" s="136" t="str">
        <x:v>HarpersFerry | Skirmish | Bolivar Heights Camp||Gun | 12-pounder Napoleon (USA) · 3InchOrdnanceRifle-85 [map-81/036]</x:v>
      </x:c>
      <x:c r="M1751" s="35"/>
      <x:c r="N1751" s="35"/>
      <x:c r="O1751" s="35"/>
      <x:c r="P1751" s="35"/>
      <x:c r="Q1751" s="35"/>
      <x:c r="R1751" s="35"/>
      <x:c r="S1751" s="35"/>
      <x:c r="T1751" s="35"/>
      <x:c r="U1751" s="35"/>
      <x:c r="V1751" s="35"/>
      <x:c r="W1751" s="35"/>
      <x:c r="X1751" s="35"/>
      <x:c r="Y1751" s="35"/>
      <x:c r="Z1751" s="35"/>
      <x:c r="AA1751" s="35"/>
    </x:row>
    <x:row r="1752">
      <x:c r="A1752" s="136" t="str">
        <x:v>HarpersFerry | Skirmish | Bolivar Heights Camp</x:v>
      </x:c>
      <x:c r="B1752" s="136" t="str">
        <x:v>Gun | 12-pounder Napoleon (USA) · 3InchOrdnanceRifle-80 [map-81/037]</x:v>
      </x:c>
      <x:c r="C1752" s="136" t="str">
        <x:v>gun_spawn</x:v>
      </x:c>
      <x:c r="D1752" s="136" t="str"/>
      <x:c r="E1752" s="136" t="str">
        <x:v>12-pounder Napoleon (USA) · 3InchOrdnanceRifle-80</x:v>
      </x:c>
      <x:c r="F1752" s="137" t="n">
        <x:v>966.692138671875</x:v>
      </x:c>
      <x:c r="G1752" s="137" t="n">
        <x:v>2378.078369140625</x:v>
      </x:c>
      <x:c r="H1752" s="137" t="n">
        <x:v>166.28028869628906</x:v>
      </x:c>
      <x:c r="I1752" s="137" t="n">
        <x:v>1055.226615902619</x:v>
      </x:c>
      <x:c r="J1752" s="137" t="n">
        <x:v>788.0394878715503</x:v>
      </x:c>
      <x:c r="K1752" s="136" t="str">
        <x:v>map-81</x:v>
      </x:c>
      <x:c r="L1752" s="136" t="str">
        <x:v>HarpersFerry | Skirmish | Bolivar Heights Camp||Gun | 12-pounder Napoleon (USA) · 3InchOrdnanceRifle-80 [map-81/037]</x:v>
      </x:c>
      <x:c r="M1752" s="35"/>
      <x:c r="N1752" s="35"/>
      <x:c r="O1752" s="35"/>
      <x:c r="P1752" s="35"/>
      <x:c r="Q1752" s="35"/>
      <x:c r="R1752" s="35"/>
      <x:c r="S1752" s="35"/>
      <x:c r="T1752" s="35"/>
      <x:c r="U1752" s="35"/>
      <x:c r="V1752" s="35"/>
      <x:c r="W1752" s="35"/>
      <x:c r="X1752" s="35"/>
      <x:c r="Y1752" s="35"/>
      <x:c r="Z1752" s="35"/>
      <x:c r="AA1752" s="35"/>
    </x:row>
    <x:row r="1753">
      <x:c r="A1753" s="136" t="str">
        <x:v>HarpersFerry | Skirmish | Bolivar Heights Camp</x:v>
      </x:c>
      <x:c r="B1753" s="136" t="str">
        <x:v>Gun | 12-pounder Napoleon (CSA) · 3InchOrdnanceRifle-74 [map-81/038]</x:v>
      </x:c>
      <x:c r="C1753" s="136" t="str">
        <x:v>gun_spawn</x:v>
      </x:c>
      <x:c r="D1753" s="136" t="str"/>
      <x:c r="E1753" s="136" t="str">
        <x:v>12-pounder Napoleon (CSA) · 3InchOrdnanceRifle-74</x:v>
      </x:c>
      <x:c r="F1753" s="137" t="n">
        <x:v>624.425048828125</x:v>
      </x:c>
      <x:c r="G1753" s="137" t="n">
        <x:v>2574.61669921875</x:v>
      </x:c>
      <x:c r="H1753" s="137" t="n">
        <x:v>105.96021270751953</x:v>
      </x:c>
      <x:c r="I1753" s="137" t="n">
        <x:v>274.6442096673003</x:v>
      </x:c>
      <x:c r="J1753" s="137" t="n">
        <x:v>340.3081199396688</x:v>
      </x:c>
      <x:c r="K1753" s="136" t="str">
        <x:v>map-81</x:v>
      </x:c>
      <x:c r="L1753" s="136" t="str">
        <x:v>HarpersFerry | Skirmish | Bolivar Heights Camp||Gun | 12-pounder Napoleon (CSA) · 3InchOrdnanceRifle-74 [map-81/038]</x:v>
      </x:c>
      <x:c r="M1753" s="35"/>
      <x:c r="N1753" s="35"/>
      <x:c r="O1753" s="35"/>
      <x:c r="P1753" s="35"/>
      <x:c r="Q1753" s="35"/>
      <x:c r="R1753" s="35"/>
      <x:c r="S1753" s="35"/>
      <x:c r="T1753" s="35"/>
      <x:c r="U1753" s="35"/>
      <x:c r="V1753" s="35"/>
      <x:c r="W1753" s="35"/>
      <x:c r="X1753" s="35"/>
      <x:c r="Y1753" s="35"/>
      <x:c r="Z1753" s="35"/>
      <x:c r="AA1753" s="35"/>
    </x:row>
    <x:row r="1754">
      <x:c r="A1754" s="136" t="str">
        <x:v>HarpersFerry | Skirmish | Bolivar Heights Camp</x:v>
      </x:c>
      <x:c r="B1754" s="136" t="str">
        <x:v>Gun | 3-inch Ordnance · 3InchOrdnanceRifle-90 [map-81/039]</x:v>
      </x:c>
      <x:c r="C1754" s="136" t="str">
        <x:v>gun_spawn</x:v>
      </x:c>
      <x:c r="D1754" s="136" t="str"/>
      <x:c r="E1754" s="136" t="str">
        <x:v>3-inch Ordnance · 3InchOrdnanceRifle-90</x:v>
      </x:c>
      <x:c r="F1754" s="137" t="n">
        <x:v>919.418212890625</x:v>
      </x:c>
      <x:c r="G1754" s="137" t="n">
        <x:v>2276.09521484375</x:v>
      </x:c>
      <x:c r="H1754" s="137" t="n">
        <x:v>171.3021240234375</x:v>
      </x:c>
      <x:c r="I1754" s="137" t="n">
        <x:v>947.4125845992767</x:v>
      </x:c>
      <x:c r="J1754" s="137" t="n">
        <x:v>1020.3659615990796</x:v>
      </x:c>
      <x:c r="K1754" s="136" t="str">
        <x:v>map-81</x:v>
      </x:c>
      <x:c r="L1754" s="136" t="str">
        <x:v>HarpersFerry | Skirmish | Bolivar Heights Camp||Gun | 3-inch Ordnance · 3InchOrdnanceRifle-90 [map-81/039]</x:v>
      </x:c>
      <x:c r="M1754" s="35"/>
      <x:c r="N1754" s="35"/>
      <x:c r="O1754" s="35"/>
      <x:c r="P1754" s="35"/>
      <x:c r="Q1754" s="35"/>
      <x:c r="R1754" s="35"/>
      <x:c r="S1754" s="35"/>
      <x:c r="T1754" s="35"/>
      <x:c r="U1754" s="35"/>
      <x:c r="V1754" s="35"/>
      <x:c r="W1754" s="35"/>
      <x:c r="X1754" s="35"/>
      <x:c r="Y1754" s="35"/>
      <x:c r="Z1754" s="35"/>
      <x:c r="AA1754" s="35"/>
    </x:row>
    <x:row r="1755">
      <x:c r="A1755" s="136" t="str">
        <x:v>HarpersFerry | Skirmish | Bolivar Heights Camp</x:v>
      </x:c>
      <x:c r="B1755" s="136" t="str">
        <x:v>Gun | 12-pounder Napoleon (USA) · 3InchOrdnanceRifle-81 [map-81/040]</x:v>
      </x:c>
      <x:c r="C1755" s="136" t="str">
        <x:v>gun_spawn</x:v>
      </x:c>
      <x:c r="D1755" s="136" t="str"/>
      <x:c r="E1755" s="136" t="str">
        <x:v>12-pounder Napoleon (USA) · 3InchOrdnanceRifle-81</x:v>
      </x:c>
      <x:c r="F1755" s="137" t="n">
        <x:v>961.0218505859375</x:v>
      </x:c>
      <x:c r="G1755" s="137" t="n">
        <x:v>2368.265380859375</x:v>
      </x:c>
      <x:c r="H1755" s="137" t="n">
        <x:v>167.0670928955078</x:v>
      </x:c>
      <x:c r="I1755" s="137" t="n">
        <x:v>1042.2948230148215</x:v>
      </x:c>
      <x:c r="J1755" s="137" t="n">
        <x:v>810.3943265684962</x:v>
      </x:c>
      <x:c r="K1755" s="136" t="str">
        <x:v>map-81</x:v>
      </x:c>
      <x:c r="L1755" s="136" t="str">
        <x:v>HarpersFerry | Skirmish | Bolivar Heights Camp||Gun | 12-pounder Napoleon (USA) · 3InchOrdnanceRifle-81 [map-81/040]</x:v>
      </x:c>
      <x:c r="M1755" s="35"/>
      <x:c r="N1755" s="35"/>
      <x:c r="O1755" s="35"/>
      <x:c r="P1755" s="35"/>
      <x:c r="Q1755" s="35"/>
      <x:c r="R1755" s="35"/>
      <x:c r="S1755" s="35"/>
      <x:c r="T1755" s="35"/>
      <x:c r="U1755" s="35"/>
      <x:c r="V1755" s="35"/>
      <x:c r="W1755" s="35"/>
      <x:c r="X1755" s="35"/>
      <x:c r="Y1755" s="35"/>
      <x:c r="Z1755" s="35"/>
      <x:c r="AA1755" s="35"/>
    </x:row>
    <x:row r="1756">
      <x:c r="A1756" s="136" t="str">
        <x:v>HarpersFerry | Skirmish | Shenandoah Street</x:v>
      </x:c>
      <x:c r="B1756" s="136" t="str">
        <x:v>Spawn | CSA Spawnpoint_SS_Base_CSA_5thAlBt-2 [map-82/001]</x:v>
      </x:c>
      <x:c r="C1756" s="136" t="str">
        <x:v>spawn</x:v>
      </x:c>
      <x:c r="D1756" s="136" t="str">
        <x:v>CSA</x:v>
      </x:c>
      <x:c r="E1756" s="136" t="str">
        <x:v>Spawnpoint_SS_Base_CSA_5thAlBt-2</x:v>
      </x:c>
      <x:c r="F1756" s="137" t="n">
        <x:v>2353.482421875</x:v>
      </x:c>
      <x:c r="G1756" s="137" t="n">
        <x:v>1776.01904296875</x:v>
      </x:c>
      <x:c r="H1756" s="137" t="n">
        <x:v>88.50625610351562</x:v>
      </x:c>
      <x:c r="I1756" s="137" t="n">
        <x:v>186.37086029521933</x:v>
      </x:c>
      <x:c r="J1756" s="137" t="n">
        <x:v>1206.9701945829884</x:v>
      </x:c>
      <x:c r="K1756" s="136" t="str">
        <x:v>map-82</x:v>
      </x:c>
      <x:c r="L1756" s="136" t="str">
        <x:v>HarpersFerry | Skirmish | Shenandoah Street||Spawn | CSA Spawnpoint_SS_Base_CSA_5thAlBt-2 [map-82/001]</x:v>
      </x:c>
      <x:c r="M1756" s="35"/>
      <x:c r="N1756" s="35"/>
      <x:c r="O1756" s="35"/>
      <x:c r="P1756" s="35"/>
      <x:c r="Q1756" s="35"/>
      <x:c r="R1756" s="35"/>
      <x:c r="S1756" s="35"/>
      <x:c r="T1756" s="35"/>
      <x:c r="U1756" s="35"/>
      <x:c r="V1756" s="35"/>
      <x:c r="W1756" s="35"/>
      <x:c r="X1756" s="35"/>
      <x:c r="Y1756" s="35"/>
      <x:c r="Z1756" s="35"/>
      <x:c r="AA1756" s="35"/>
    </x:row>
    <x:row r="1757">
      <x:c r="A1757" s="136" t="str">
        <x:v>HarpersFerry | Skirmish | Shenandoah Street</x:v>
      </x:c>
      <x:c r="B1757" s="136" t="str">
        <x:v>Spawn | USA Spawnpoint_SS_Base_USA_65thIL [map-82/002]</x:v>
      </x:c>
      <x:c r="C1757" s="136" t="str">
        <x:v>spawn</x:v>
      </x:c>
      <x:c r="D1757" s="136" t="str">
        <x:v>USA</x:v>
      </x:c>
      <x:c r="E1757" s="136" t="str">
        <x:v>Spawnpoint_SS_Base_USA_65thIL</x:v>
      </x:c>
      <x:c r="F1757" s="137" t="n">
        <x:v>2559.59716796875</x:v>
      </x:c>
      <x:c r="G1757" s="137" t="n">
        <x:v>1862.1610107421875</x:v>
      </x:c>
      <x:c r="H1757" s="137" t="n">
        <x:v>87.64195251464844</x:v>
      </x:c>
      <x:c r="I1757" s="137" t="n">
        <x:v>1584.1291337014957</x:v>
      </x:c>
      <x:c r="J1757" s="137" t="n">
        <x:v>622.8021502061277</x:v>
      </x:c>
      <x:c r="K1757" s="136" t="str">
        <x:v>map-82</x:v>
      </x:c>
      <x:c r="L1757" s="136" t="str">
        <x:v>HarpersFerry | Skirmish | Shenandoah Street||Spawn | USA Spawnpoint_SS_Base_USA_65thIL [map-82/002]</x:v>
      </x:c>
      <x:c r="M1757" s="35"/>
      <x:c r="N1757" s="35"/>
      <x:c r="O1757" s="35"/>
      <x:c r="P1757" s="35"/>
      <x:c r="Q1757" s="35"/>
      <x:c r="R1757" s="35"/>
      <x:c r="S1757" s="35"/>
      <x:c r="T1757" s="35"/>
      <x:c r="U1757" s="35"/>
      <x:c r="V1757" s="35"/>
      <x:c r="W1757" s="35"/>
      <x:c r="X1757" s="35"/>
      <x:c r="Y1757" s="35"/>
      <x:c r="Z1757" s="35"/>
      <x:c r="AA1757" s="35"/>
    </x:row>
    <x:row r="1758">
      <x:c r="A1758" s="136" t="str">
        <x:v>HarpersFerry | Skirmish | Shenandoah Street</x:v>
      </x:c>
      <x:c r="B1758" s="136" t="str">
        <x:v>Spawn | USA Spawnpoint_SS_Defend_USA_1stMD-2 [map-82/003]</x:v>
      </x:c>
      <x:c r="C1758" s="136" t="str">
        <x:v>spawn</x:v>
      </x:c>
      <x:c r="D1758" s="136" t="str">
        <x:v>USA</x:v>
      </x:c>
      <x:c r="E1758" s="136" t="str">
        <x:v>Spawnpoint_SS_Defend_USA_1stMD-2</x:v>
      </x:c>
      <x:c r="F1758" s="137" t="n">
        <x:v>2456.07421875</x:v>
      </x:c>
      <x:c r="G1758" s="137" t="n">
        <x:v>1797.814208984375</x:v>
      </x:c>
      <x:c r="H1758" s="137" t="n">
        <x:v>87.61812591552734</x:v>
      </x:c>
      <x:c r="I1758" s="137" t="n">
        <x:v>882.092712240851</x:v>
      </x:c>
      <x:c r="J1758" s="137" t="n">
        <x:v>1059.1672149516978</x:v>
      </x:c>
      <x:c r="K1758" s="136" t="str">
        <x:v>map-82</x:v>
      </x:c>
      <x:c r="L1758" s="136" t="str">
        <x:v>HarpersFerry | Skirmish | Shenandoah Street||Spawn | USA Spawnpoint_SS_Defend_USA_1stMD-2 [map-82/003]</x:v>
      </x:c>
      <x:c r="M1758" s="35"/>
      <x:c r="N1758" s="35"/>
      <x:c r="O1758" s="35"/>
      <x:c r="P1758" s="35"/>
      <x:c r="Q1758" s="35"/>
      <x:c r="R1758" s="35"/>
      <x:c r="S1758" s="35"/>
      <x:c r="T1758" s="35"/>
      <x:c r="U1758" s="35"/>
      <x:c r="V1758" s="35"/>
      <x:c r="W1758" s="35"/>
      <x:c r="X1758" s="35"/>
      <x:c r="Y1758" s="35"/>
      <x:c r="Z1758" s="35"/>
      <x:c r="AA1758" s="35"/>
    </x:row>
    <x:row r="1759">
      <x:c r="A1759" s="136" t="str">
        <x:v>HarpersFerry | Skirmish | Shenandoah Street</x:v>
      </x:c>
      <x:c r="B1759" s="136" t="str">
        <x:v>Spawn | USA Spawnpoint_SS_Base_USA_65thIL-2 [map-82/004]</x:v>
      </x:c>
      <x:c r="C1759" s="136" t="str">
        <x:v>spawn</x:v>
      </x:c>
      <x:c r="D1759" s="136" t="str">
        <x:v>USA</x:v>
      </x:c>
      <x:c r="E1759" s="136" t="str">
        <x:v>Spawnpoint_SS_Base_USA_65thIL-2</x:v>
      </x:c>
      <x:c r="F1759" s="137" t="n">
        <x:v>2568.218994140625</x:v>
      </x:c>
      <x:c r="G1759" s="137" t="n">
        <x:v>1852.9462890625</x:v>
      </x:c>
      <x:c r="H1759" s="137" t="n">
        <x:v>87.51542663574219</x:v>
      </x:c>
      <x:c r="I1759" s="137" t="n">
        <x:v>1642.5976765496023</x:v>
      </x:c>
      <x:c r="J1759" s="137" t="n">
        <x:v>685.2913884048397</x:v>
      </x:c>
      <x:c r="K1759" s="136" t="str">
        <x:v>map-82</x:v>
      </x:c>
      <x:c r="L1759" s="136" t="str">
        <x:v>HarpersFerry | Skirmish | Shenandoah Street||Spawn | USA Spawnpoint_SS_Base_USA_65thIL-2 [map-82/004]</x:v>
      </x:c>
      <x:c r="M1759" s="35"/>
      <x:c r="N1759" s="35"/>
      <x:c r="O1759" s="35"/>
      <x:c r="P1759" s="35"/>
      <x:c r="Q1759" s="35"/>
      <x:c r="R1759" s="35"/>
      <x:c r="S1759" s="35"/>
      <x:c r="T1759" s="35"/>
      <x:c r="U1759" s="35"/>
      <x:c r="V1759" s="35"/>
      <x:c r="W1759" s="35"/>
      <x:c r="X1759" s="35"/>
      <x:c r="Y1759" s="35"/>
      <x:c r="Z1759" s="35"/>
      <x:c r="AA1759" s="35"/>
    </x:row>
    <x:row r="1760">
      <x:c r="A1760" s="136" t="str">
        <x:v>HarpersFerry | Skirmish | Shenandoah Street</x:v>
      </x:c>
      <x:c r="B1760" s="136" t="str">
        <x:v>Spawn | CSA Spawnpoint_SS_Base_CSA_18thNC [map-82/005]</x:v>
      </x:c>
      <x:c r="C1760" s="136" t="str">
        <x:v>spawn</x:v>
      </x:c>
      <x:c r="D1760" s="136" t="str">
        <x:v>CSA</x:v>
      </x:c>
      <x:c r="E1760" s="136" t="str">
        <x:v>Spawnpoint_SS_Base_CSA_18thNC</x:v>
      </x:c>
      <x:c r="F1760" s="137" t="n">
        <x:v>2361.277099609375</x:v>
      </x:c>
      <x:c r="G1760" s="137" t="n">
        <x:v>1786.1103515625</x:v>
      </x:c>
      <x:c r="H1760" s="137" t="n">
        <x:v>87.85179901123047</x:v>
      </x:c>
      <x:c r="I1760" s="137" t="n">
        <x:v>239.23013163916667</x:v>
      </x:c>
      <x:c r="J1760" s="137" t="n">
        <x:v>1138.5364199805915</x:v>
      </x:c>
      <x:c r="K1760" s="136" t="str">
        <x:v>map-82</x:v>
      </x:c>
      <x:c r="L1760" s="136" t="str">
        <x:v>HarpersFerry | Skirmish | Shenandoah Street||Spawn | CSA Spawnpoint_SS_Base_CSA_18thNC [map-82/005]</x:v>
      </x:c>
      <x:c r="M1760" s="35"/>
      <x:c r="N1760" s="35"/>
      <x:c r="O1760" s="35"/>
      <x:c r="P1760" s="35"/>
      <x:c r="Q1760" s="35"/>
      <x:c r="R1760" s="35"/>
      <x:c r="S1760" s="35"/>
      <x:c r="T1760" s="35"/>
      <x:c r="U1760" s="35"/>
      <x:c r="V1760" s="35"/>
      <x:c r="W1760" s="35"/>
      <x:c r="X1760" s="35"/>
      <x:c r="Y1760" s="35"/>
      <x:c r="Z1760" s="35"/>
      <x:c r="AA1760" s="35"/>
    </x:row>
    <x:row r="1761">
      <x:c r="A1761" s="136" t="str">
        <x:v>HarpersFerry | Skirmish | Shenandoah Street</x:v>
      </x:c>
      <x:c r="B1761" s="136" t="str">
        <x:v>Spawn | CSA Spawnpoint_SS_Base_CSA_18thNC-2 [map-82/006]</x:v>
      </x:c>
      <x:c r="C1761" s="136" t="str">
        <x:v>spawn</x:v>
      </x:c>
      <x:c r="D1761" s="136" t="str">
        <x:v>CSA</x:v>
      </x:c>
      <x:c r="E1761" s="136" t="str">
        <x:v>Spawnpoint_SS_Base_CSA_18thNC-2</x:v>
      </x:c>
      <x:c r="F1761" s="137" t="n">
        <x:v>2352.51318359375</x:v>
      </x:c>
      <x:c r="G1761" s="137" t="n">
        <x:v>1786.1107177734375</x:v>
      </x:c>
      <x:c r="H1761" s="137" t="n">
        <x:v>88.21870422363281</x:v>
      </x:c>
      <x:c r="I1761" s="137" t="n">
        <x:v>179.79801263538684</x:v>
      </x:c>
      <x:c r="J1761" s="137" t="n">
        <x:v>1138.5339365368914</x:v>
      </x:c>
      <x:c r="K1761" s="136" t="str">
        <x:v>map-82</x:v>
      </x:c>
      <x:c r="L1761" s="136" t="str">
        <x:v>HarpersFerry | Skirmish | Shenandoah Street||Spawn | CSA Spawnpoint_SS_Base_CSA_18thNC-2 [map-82/006]</x:v>
      </x:c>
      <x:c r="M1761" s="35"/>
      <x:c r="N1761" s="35"/>
      <x:c r="O1761" s="35"/>
      <x:c r="P1761" s="35"/>
      <x:c r="Q1761" s="35"/>
      <x:c r="R1761" s="35"/>
      <x:c r="S1761" s="35"/>
      <x:c r="T1761" s="35"/>
      <x:c r="U1761" s="35"/>
      <x:c r="V1761" s="35"/>
      <x:c r="W1761" s="35"/>
      <x:c r="X1761" s="35"/>
      <x:c r="Y1761" s="35"/>
      <x:c r="Z1761" s="35"/>
      <x:c r="AA1761" s="35"/>
    </x:row>
    <x:row r="1762">
      <x:c r="A1762" s="136" t="str">
        <x:v>HarpersFerry | Skirmish | Shenandoah Street</x:v>
      </x:c>
      <x:c r="B1762" s="136" t="str">
        <x:v>Spawn | USA Spawnpoint_SS_Base_USA_1stMD [map-82/007]</x:v>
      </x:c>
      <x:c r="C1762" s="136" t="str">
        <x:v>spawn</x:v>
      </x:c>
      <x:c r="D1762" s="136" t="str">
        <x:v>USA</x:v>
      </x:c>
      <x:c r="E1762" s="136" t="str">
        <x:v>Spawnpoint_SS_Base_USA_1stMD</x:v>
      </x:c>
      <x:c r="F1762" s="137" t="n">
        <x:v>2543.360595703125</x:v>
      </x:c>
      <x:c r="G1762" s="137" t="n">
        <x:v>1848.69140625</x:v>
      </x:c>
      <x:c r="H1762" s="137" t="n">
        <x:v>87.79263305664062</x:v>
      </x:c>
      <x:c r="I1762" s="137" t="n">
        <x:v>1474.0215181808012</x:v>
      </x:c>
      <x:c r="J1762" s="137" t="n">
        <x:v>714.1456929427642</x:v>
      </x:c>
      <x:c r="K1762" s="136" t="str">
        <x:v>map-82</x:v>
      </x:c>
      <x:c r="L1762" s="136" t="str">
        <x:v>HarpersFerry | Skirmish | Shenandoah Street||Spawn | USA Spawnpoint_SS_Base_USA_1stMD [map-82/007]</x:v>
      </x:c>
      <x:c r="M1762" s="35"/>
      <x:c r="N1762" s="35"/>
      <x:c r="O1762" s="35"/>
      <x:c r="P1762" s="35"/>
      <x:c r="Q1762" s="35"/>
      <x:c r="R1762" s="35"/>
      <x:c r="S1762" s="35"/>
      <x:c r="T1762" s="35"/>
      <x:c r="U1762" s="35"/>
      <x:c r="V1762" s="35"/>
      <x:c r="W1762" s="35"/>
      <x:c r="X1762" s="35"/>
      <x:c r="Y1762" s="35"/>
      <x:c r="Z1762" s="35"/>
      <x:c r="AA1762" s="35"/>
    </x:row>
    <x:row r="1763">
      <x:c r="A1763" s="136" t="str">
        <x:v>HarpersFerry | Skirmish | Shenandoah Street</x:v>
      </x:c>
      <x:c r="B1763" s="136" t="str">
        <x:v>Spawn | USA Spawnpoint_SS_Base_USA_1stMD-2 [map-82/008]</x:v>
      </x:c>
      <x:c r="C1763" s="136" t="str">
        <x:v>spawn</x:v>
      </x:c>
      <x:c r="D1763" s="136" t="str">
        <x:v>USA</x:v>
      </x:c>
      <x:c r="E1763" s="136" t="str">
        <x:v>Spawnpoint_SS_Base_USA_1stMD-2</x:v>
      </x:c>
      <x:c r="F1763" s="137" t="n">
        <x:v>2551.219482421875</x:v>
      </x:c>
      <x:c r="G1763" s="137" t="n">
        <x:v>1839.4698486328125</x:v>
      </x:c>
      <x:c r="H1763" s="137" t="n">
        <x:v>87.3779296875</x:v>
      </x:c>
      <x:c r="I1763" s="137" t="n">
        <x:v>1527.3162199868482</x:v>
      </x:c>
      <x:c r="J1763" s="137" t="n">
        <x:v>776.681288757213</x:v>
      </x:c>
      <x:c r="K1763" s="136" t="str">
        <x:v>map-82</x:v>
      </x:c>
      <x:c r="L1763" s="136" t="str">
        <x:v>HarpersFerry | Skirmish | Shenandoah Street||Spawn | USA Spawnpoint_SS_Base_USA_1stMD-2 [map-82/008]</x:v>
      </x:c>
      <x:c r="M1763" s="35"/>
      <x:c r="N1763" s="35"/>
      <x:c r="O1763" s="35"/>
      <x:c r="P1763" s="35"/>
      <x:c r="Q1763" s="35"/>
      <x:c r="R1763" s="35"/>
      <x:c r="S1763" s="35"/>
      <x:c r="T1763" s="35"/>
      <x:c r="U1763" s="35"/>
      <x:c r="V1763" s="35"/>
      <x:c r="W1763" s="35"/>
      <x:c r="X1763" s="35"/>
      <x:c r="Y1763" s="35"/>
      <x:c r="Z1763" s="35"/>
      <x:c r="AA1763" s="35"/>
    </x:row>
    <x:row r="1764">
      <x:c r="A1764" s="136" t="str">
        <x:v>HarpersFerry | Skirmish | Shenandoah Street</x:v>
      </x:c>
      <x:c r="B1764" s="136" t="str">
        <x:v>Spawn | USA Spawnpoint_SS_Defend_USA_65thIL-2 [map-82/009]</x:v>
      </x:c>
      <x:c r="C1764" s="136" t="str">
        <x:v>spawn</x:v>
      </x:c>
      <x:c r="D1764" s="136" t="str">
        <x:v>USA</x:v>
      </x:c>
      <x:c r="E1764" s="136" t="str">
        <x:v>Spawnpoint_SS_Defend_USA_65thIL-2</x:v>
      </x:c>
      <x:c r="F1764" s="137" t="n">
        <x:v>2453.906005859375</x:v>
      </x:c>
      <x:c r="G1764" s="137" t="n">
        <x:v>1815.0977783203125</x:v>
      </x:c>
      <x:c r="H1764" s="137" t="n">
        <x:v>87.82349395751953</x:v>
      </x:c>
      <x:c r="I1764" s="137" t="n">
        <x:v>867.3890699066012</x:v>
      </x:c>
      <x:c r="J1764" s="137" t="n">
        <x:v>941.9594338921638</x:v>
      </x:c>
      <x:c r="K1764" s="136" t="str">
        <x:v>map-82</x:v>
      </x:c>
      <x:c r="L1764" s="136" t="str">
        <x:v>HarpersFerry | Skirmish | Shenandoah Street||Spawn | USA Spawnpoint_SS_Defend_USA_65thIL-2 [map-82/009]</x:v>
      </x:c>
      <x:c r="M1764" s="35"/>
      <x:c r="N1764" s="35"/>
      <x:c r="O1764" s="35"/>
      <x:c r="P1764" s="35"/>
      <x:c r="Q1764" s="35"/>
      <x:c r="R1764" s="35"/>
      <x:c r="S1764" s="35"/>
      <x:c r="T1764" s="35"/>
      <x:c r="U1764" s="35"/>
      <x:c r="V1764" s="35"/>
      <x:c r="W1764" s="35"/>
      <x:c r="X1764" s="35"/>
      <x:c r="Y1764" s="35"/>
      <x:c r="Z1764" s="35"/>
      <x:c r="AA1764" s="35"/>
    </x:row>
    <x:row r="1765">
      <x:c r="A1765" s="136" t="str">
        <x:v>HarpersFerry | Skirmish | Shenandoah Street</x:v>
      </x:c>
      <x:c r="B1765" s="136" t="str">
        <x:v>Spawn | CSA Spawnpoint_SS_Base_CSA_5thAlBt [map-82/010]</x:v>
      </x:c>
      <x:c r="C1765" s="136" t="str">
        <x:v>spawn</x:v>
      </x:c>
      <x:c r="D1765" s="136" t="str">
        <x:v>CSA</x:v>
      </x:c>
      <x:c r="E1765" s="136" t="str">
        <x:v>Spawnpoint_SS_Base_CSA_5thAlBt</x:v>
      </x:c>
      <x:c r="F1765" s="137" t="n">
        <x:v>2362.39013671875</x:v>
      </x:c>
      <x:c r="G1765" s="137" t="n">
        <x:v>1776.018798828125</x:v>
      </x:c>
      <x:c r="H1765" s="137" t="n">
        <x:v>88.07344818115234</x:v>
      </x:c>
      <x:c r="I1765" s="137" t="n">
        <x:v>246.7781448586065</x:v>
      </x:c>
      <x:c r="J1765" s="137" t="n">
        <x:v>1206.9718502121218</x:v>
      </x:c>
      <x:c r="K1765" s="136" t="str">
        <x:v>map-82</x:v>
      </x:c>
      <x:c r="L1765" s="136" t="str">
        <x:v>HarpersFerry | Skirmish | Shenandoah Street||Spawn | CSA Spawnpoint_SS_Base_CSA_5thAlBt [map-82/010]</x:v>
      </x:c>
      <x:c r="M1765" s="35"/>
      <x:c r="N1765" s="35"/>
      <x:c r="O1765" s="35"/>
      <x:c r="P1765" s="35"/>
      <x:c r="Q1765" s="35"/>
      <x:c r="R1765" s="35"/>
      <x:c r="S1765" s="35"/>
      <x:c r="T1765" s="35"/>
      <x:c r="U1765" s="35"/>
      <x:c r="V1765" s="35"/>
      <x:c r="W1765" s="35"/>
      <x:c r="X1765" s="35"/>
      <x:c r="Y1765" s="35"/>
      <x:c r="Z1765" s="35"/>
      <x:c r="AA1765" s="35"/>
    </x:row>
    <x:row r="1766">
      <x:c r="A1766" s="136" t="str">
        <x:v>HarpersFerry | Skirmish | Shenandoah Street</x:v>
      </x:c>
      <x:c r="B1766" s="136" t="str">
        <x:v>Objective | Victory_Shenandoah_Street [map-82/011]</x:v>
      </x:c>
      <x:c r="C1766" s="136" t="str">
        <x:v>objective</x:v>
      </x:c>
      <x:c r="D1766" s="136" t="str"/>
      <x:c r="E1766" s="136" t="str">
        <x:v>Victory_Shenandoah_Street</x:v>
      </x:c>
      <x:c r="F1766" s="137" t="n">
        <x:v>2454.2431640625</x:v>
      </x:c>
      <x:c r="G1766" s="137" t="n">
        <x:v>1810.9698486328125</x:v>
      </x:c>
      <x:c r="H1766" s="137" t="n">
        <x:v>87.55000305175781</x:v>
      </x:c>
      <x:c r="I1766" s="137" t="n">
        <x:v>869.6754937399081</x:v>
      </x:c>
      <x:c r="J1766" s="137" t="n">
        <x:v>969.9528112806897</x:v>
      </x:c>
      <x:c r="K1766" s="136" t="str">
        <x:v>map-82</x:v>
      </x:c>
      <x:c r="L1766" s="136" t="str">
        <x:v>HarpersFerry | Skirmish | Shenandoah Street||Objective | Victory_Shenandoah_Street [map-82/011]</x:v>
      </x:c>
      <x:c r="M1766" s="35"/>
      <x:c r="N1766" s="35"/>
      <x:c r="O1766" s="35"/>
      <x:c r="P1766" s="35"/>
      <x:c r="Q1766" s="35"/>
      <x:c r="R1766" s="35"/>
      <x:c r="S1766" s="35"/>
      <x:c r="T1766" s="35"/>
      <x:c r="U1766" s="35"/>
      <x:c r="V1766" s="35"/>
      <x:c r="W1766" s="35"/>
      <x:c r="X1766" s="35"/>
      <x:c r="Y1766" s="35"/>
      <x:c r="Z1766" s="35"/>
      <x:c r="AA1766" s="35"/>
    </x:row>
    <x:row r="1767">
      <x:c r="A1767" s="136" t="str">
        <x:v>HarpersFerry | Skirmish | Shenandoah Street</x:v>
      </x:c>
      <x:c r="B1767" s="136" t="str">
        <x:v>Spawn | USA Spawnpoint_SS_Defend_USA_65thIL [map-82/012]</x:v>
      </x:c>
      <x:c r="C1767" s="136" t="str">
        <x:v>spawn</x:v>
      </x:c>
      <x:c r="D1767" s="136" t="str">
        <x:v>USA</x:v>
      </x:c>
      <x:c r="E1767" s="136" t="str">
        <x:v>Spawnpoint_SS_Defend_USA_65thIL</x:v>
      </x:c>
      <x:c r="F1767" s="137" t="n">
        <x:v>2467.1513671875</x:v>
      </x:c>
      <x:c r="G1767" s="137" t="n">
        <x:v>1817.6168212890625</x:v>
      </x:c>
      <x:c r="H1767" s="137" t="n">
        <x:v>87.6995849609375</x:v>
      </x:c>
      <x:c r="I1767" s="137" t="n">
        <x:v>957.2119172841554</x:v>
      </x:c>
      <x:c r="J1767" s="137" t="n">
        <x:v>924.8766524931334</x:v>
      </x:c>
      <x:c r="K1767" s="136" t="str">
        <x:v>map-82</x:v>
      </x:c>
      <x:c r="L1767" s="136" t="str">
        <x:v>HarpersFerry | Skirmish | Shenandoah Street||Spawn | USA Spawnpoint_SS_Defend_USA_65thIL [map-82/012]</x:v>
      </x:c>
      <x:c r="M1767" s="35"/>
      <x:c r="N1767" s="35"/>
      <x:c r="O1767" s="35"/>
      <x:c r="P1767" s="35"/>
      <x:c r="Q1767" s="35"/>
      <x:c r="R1767" s="35"/>
      <x:c r="S1767" s="35"/>
      <x:c r="T1767" s="35"/>
      <x:c r="U1767" s="35"/>
      <x:c r="V1767" s="35"/>
      <x:c r="W1767" s="35"/>
      <x:c r="X1767" s="35"/>
      <x:c r="Y1767" s="35"/>
      <x:c r="Z1767" s="35"/>
      <x:c r="AA1767" s="35"/>
    </x:row>
    <x:row r="1768">
      <x:c r="A1768" s="136" t="str">
        <x:v>HarpersFerry | Skirmish | Shenandoah Street</x:v>
      </x:c>
      <x:c r="B1768" s="136" t="str">
        <x:v>Spawn | USA Spawnpoint_SS_Defend_USA_1stMD [map-82/013]</x:v>
      </x:c>
      <x:c r="C1768" s="136" t="str">
        <x:v>spawn</x:v>
      </x:c>
      <x:c r="D1768" s="136" t="str">
        <x:v>USA</x:v>
      </x:c>
      <x:c r="E1768" s="136" t="str">
        <x:v>Spawnpoint_SS_Defend_USA_1stMD</x:v>
      </x:c>
      <x:c r="F1768" s="137" t="n">
        <x:v>2455.3095703125</x:v>
      </x:c>
      <x:c r="G1768" s="137" t="n">
        <x:v>1807.77001953125</x:v>
      </x:c>
      <x:c r="H1768" s="137" t="n">
        <x:v>87.51590728759766</x:v>
      </x:c>
      <x:c r="I1768" s="137" t="n">
        <x:v>876.9072817948573</x:v>
      </x:c>
      <x:c r="J1768" s="137" t="n">
        <x:v>991.6523145183709</x:v>
      </x:c>
      <x:c r="K1768" s="136" t="str">
        <x:v>map-82</x:v>
      </x:c>
      <x:c r="L1768" s="136" t="str">
        <x:v>HarpersFerry | Skirmish | Shenandoah Street||Spawn | USA Spawnpoint_SS_Defend_USA_1stMD [map-82/013]</x:v>
      </x:c>
      <x:c r="M1768" s="35"/>
      <x:c r="N1768" s="35"/>
      <x:c r="O1768" s="35"/>
      <x:c r="P1768" s="35"/>
      <x:c r="Q1768" s="35"/>
      <x:c r="R1768" s="35"/>
      <x:c r="S1768" s="35"/>
      <x:c r="T1768" s="35"/>
      <x:c r="U1768" s="35"/>
      <x:c r="V1768" s="35"/>
      <x:c r="W1768" s="35"/>
      <x:c r="X1768" s="35"/>
      <x:c r="Y1768" s="35"/>
      <x:c r="Z1768" s="35"/>
      <x:c r="AA1768" s="35"/>
    </x:row>
    <x:row r="1769">
      <x:c r="A1769" s="136" t="str">
        <x:v>HarpersFerry | Skirmish | Harpers Graveyard</x:v>
      </x:c>
      <x:c r="B1769" s="136" t="str">
        <x:v>Spawn | CSA Spawnpoint_HG_Base_CSA_22ndVAbtl [map-83/001]</x:v>
      </x:c>
      <x:c r="C1769" s="136" t="str">
        <x:v>spawn</x:v>
      </x:c>
      <x:c r="D1769" s="136" t="str">
        <x:v>CSA</x:v>
      </x:c>
      <x:c r="E1769" s="136" t="str">
        <x:v>Spawnpoint_HG_Base_CSA_22ndVAbtl</x:v>
      </x:c>
      <x:c r="F1769" s="137" t="n">
        <x:v>2443.13232421875</x:v>
      </x:c>
      <x:c r="G1769" s="137" t="n">
        <x:v>1876.60205078125</x:v>
      </x:c>
      <x:c r="H1769" s="137" t="n">
        <x:v>115.04651641845703</x:v>
      </x:c>
      <x:c r="I1769" s="137" t="n">
        <x:v>1688.2015306122448</x:v>
      </x:c>
      <x:c r="J1769" s="137" t="n">
        <x:v>1445.5750654965252</x:v>
      </x:c>
      <x:c r="K1769" s="136" t="str">
        <x:v>map-83</x:v>
      </x:c>
      <x:c r="L1769" s="136" t="str">
        <x:v>HarpersFerry | Skirmish | Harpers Graveyard||Spawn | CSA Spawnpoint_HG_Base_CSA_22ndVAbtl [map-83/001]</x:v>
      </x:c>
      <x:c r="M1769" s="35"/>
      <x:c r="N1769" s="35"/>
      <x:c r="O1769" s="35"/>
      <x:c r="P1769" s="35"/>
      <x:c r="Q1769" s="35"/>
      <x:c r="R1769" s="35"/>
      <x:c r="S1769" s="35"/>
      <x:c r="T1769" s="35"/>
      <x:c r="U1769" s="35"/>
      <x:c r="V1769" s="35"/>
      <x:c r="W1769" s="35"/>
      <x:c r="X1769" s="35"/>
      <x:c r="Y1769" s="35"/>
      <x:c r="Z1769" s="35"/>
      <x:c r="AA1769" s="35"/>
    </x:row>
    <x:row r="1770">
      <x:c r="A1770" s="136" t="str">
        <x:v>HarpersFerry | Skirmish | Harpers Graveyard</x:v>
      </x:c>
      <x:c r="B1770" s="136" t="str">
        <x:v>Spawn | USA Spawnpoint_HG_Base_USA_9thVT [map-83/002]</x:v>
      </x:c>
      <x:c r="C1770" s="136" t="str">
        <x:v>spawn</x:v>
      </x:c>
      <x:c r="D1770" s="136" t="str">
        <x:v>USA</x:v>
      </x:c>
      <x:c r="E1770" s="136" t="str">
        <x:v>Spawnpoint_HG_Base_USA_9thVT</x:v>
      </x:c>
      <x:c r="F1770" s="137" t="n">
        <x:v>2167.941650390625</x:v>
      </x:c>
      <x:c r="G1770" s="137" t="n">
        <x:v>1942.48388671875</x:v>
      </x:c>
      <x:c r="H1770" s="137" t="n">
        <x:v>140.00241088867188</x:v>
      </x:c>
      <x:c r="I1770" s="137" t="n">
        <x:v>250.47066326530614</x:v>
      </x:c>
      <x:c r="J1770" s="137" t="n">
        <x:v>1102.2519098329592</x:v>
      </x:c>
      <x:c r="K1770" s="136" t="str">
        <x:v>map-83</x:v>
      </x:c>
      <x:c r="L1770" s="136" t="str">
        <x:v>HarpersFerry | Skirmish | Harpers Graveyard||Spawn | USA Spawnpoint_HG_Base_USA_9thVT [map-83/002]</x:v>
      </x:c>
      <x:c r="M1770" s="35"/>
      <x:c r="N1770" s="35"/>
      <x:c r="O1770" s="35"/>
      <x:c r="P1770" s="35"/>
      <x:c r="Q1770" s="35"/>
      <x:c r="R1770" s="35"/>
      <x:c r="S1770" s="35"/>
      <x:c r="T1770" s="35"/>
      <x:c r="U1770" s="35"/>
      <x:c r="V1770" s="35"/>
      <x:c r="W1770" s="35"/>
      <x:c r="X1770" s="35"/>
      <x:c r="Y1770" s="35"/>
      <x:c r="Z1770" s="35"/>
      <x:c r="AA1770" s="35"/>
    </x:row>
    <x:row r="1771">
      <x:c r="A1771" s="136" t="str">
        <x:v>HarpersFerry | Skirmish | Harpers Graveyard</x:v>
      </x:c>
      <x:c r="B1771" s="136" t="str">
        <x:v>Spawn | USA Spawnpoint_HG_Defend_USA_9thVT [map-83/003]</x:v>
      </x:c>
      <x:c r="C1771" s="136" t="str">
        <x:v>spawn</x:v>
      </x:c>
      <x:c r="D1771" s="136" t="str">
        <x:v>USA</x:v>
      </x:c>
      <x:c r="E1771" s="136" t="str">
        <x:v>Spawnpoint_HG_Defend_USA_9thVT</x:v>
      </x:c>
      <x:c r="F1771" s="137" t="n">
        <x:v>2268.842041015625</x:v>
      </x:c>
      <x:c r="G1771" s="137" t="n">
        <x:v>1951.3726806640625</x:v>
      </x:c>
      <x:c r="H1771" s="137" t="n">
        <x:v>140.99559020996094</x:v>
      </x:c>
      <x:c r="I1771" s="137" t="n">
        <x:v>777.623724489796</x:v>
      </x:c>
      <x:c r="J1771" s="137" t="n">
        <x:v>1055.9306629532734</x:v>
      </x:c>
      <x:c r="K1771" s="136" t="str">
        <x:v>map-83</x:v>
      </x:c>
      <x:c r="L1771" s="136" t="str">
        <x:v>HarpersFerry | Skirmish | Harpers Graveyard||Spawn | USA Spawnpoint_HG_Defend_USA_9thVT [map-83/003]</x:v>
      </x:c>
      <x:c r="M1771" s="35"/>
      <x:c r="N1771" s="35"/>
      <x:c r="O1771" s="35"/>
      <x:c r="P1771" s="35"/>
      <x:c r="Q1771" s="35"/>
      <x:c r="R1771" s="35"/>
      <x:c r="S1771" s="35"/>
      <x:c r="T1771" s="35"/>
      <x:c r="U1771" s="35"/>
      <x:c r="V1771" s="35"/>
      <x:c r="W1771" s="35"/>
      <x:c r="X1771" s="35"/>
      <x:c r="Y1771" s="35"/>
      <x:c r="Z1771" s="35"/>
      <x:c r="AA1771" s="35"/>
    </x:row>
    <x:row r="1772">
      <x:c r="A1772" s="136" t="str">
        <x:v>HarpersFerry | Skirmish | Harpers Graveyard</x:v>
      </x:c>
      <x:c r="B1772" s="136" t="str">
        <x:v>Spawn | USA Spawnpoint_HG_Defend_USA_3rdMD-2 [map-83/004]</x:v>
      </x:c>
      <x:c r="C1772" s="136" t="str">
        <x:v>spawn</x:v>
      </x:c>
      <x:c r="D1772" s="136" t="str">
        <x:v>USA</x:v>
      </x:c>
      <x:c r="E1772" s="136" t="str">
        <x:v>Spawnpoint_HG_Defend_USA_3rdMD-2</x:v>
      </x:c>
      <x:c r="F1772" s="137" t="n">
        <x:v>2233.294921875</x:v>
      </x:c>
      <x:c r="G1772" s="137" t="n">
        <x:v>1947.0638427734375</x:v>
      </x:c>
      <x:c r="H1772" s="137" t="n">
        <x:v>141.40945434570312</x:v>
      </x:c>
      <x:c r="I1772" s="137" t="n">
        <x:v>591.9081632653061</x:v>
      </x:c>
      <x:c r="J1772" s="137" t="n">
        <x:v>1078.3848614558092</x:v>
      </x:c>
      <x:c r="K1772" s="136" t="str">
        <x:v>map-83</x:v>
      </x:c>
      <x:c r="L1772" s="136" t="str">
        <x:v>HarpersFerry | Skirmish | Harpers Graveyard||Spawn | USA Spawnpoint_HG_Defend_USA_3rdMD-2 [map-83/004]</x:v>
      </x:c>
      <x:c r="M1772" s="35"/>
      <x:c r="N1772" s="35"/>
      <x:c r="O1772" s="35"/>
      <x:c r="P1772" s="35"/>
      <x:c r="Q1772" s="35"/>
      <x:c r="R1772" s="35"/>
      <x:c r="S1772" s="35"/>
      <x:c r="T1772" s="35"/>
      <x:c r="U1772" s="35"/>
      <x:c r="V1772" s="35"/>
      <x:c r="W1772" s="35"/>
      <x:c r="X1772" s="35"/>
      <x:c r="Y1772" s="35"/>
      <x:c r="Z1772" s="35"/>
      <x:c r="AA1772" s="35"/>
    </x:row>
    <x:row r="1773">
      <x:c r="A1773" s="136" t="str">
        <x:v>HarpersFerry | Skirmish | Harpers Graveyard</x:v>
      </x:c>
      <x:c r="B1773" s="136" t="str">
        <x:v>Artillery | USA Spawnpoint_HG_USA_Arty_Base [map-83/005]</x:v>
      </x:c>
      <x:c r="C1773" s="136" t="str">
        <x:v>battery</x:v>
      </x:c>
      <x:c r="D1773" s="136" t="str">
        <x:v>USA</x:v>
      </x:c>
      <x:c r="E1773" s="136" t="str">
        <x:v>Spawnpoint_HG_USA_Arty_Base</x:v>
      </x:c>
      <x:c r="F1773" s="137" t="n">
        <x:v>2182.05029296875</x:v>
      </x:c>
      <x:c r="G1773" s="137" t="n">
        <x:v>1998.8958740234375</x:v>
      </x:c>
      <x:c r="H1773" s="137" t="n">
        <x:v>131.9381103515625</x:v>
      </x:c>
      <x:c r="I1773" s="137" t="n">
        <x:v>324.18112244897964</x:v>
      </x:c>
      <x:c r="J1773" s="137" t="n">
        <x:v>808.2779908749067</x:v>
      </x:c>
      <x:c r="K1773" s="136" t="str">
        <x:v>map-83</x:v>
      </x:c>
      <x:c r="L1773" s="136" t="str">
        <x:v>HarpersFerry | Skirmish | Harpers Graveyard||Artillery | USA Spawnpoint_HG_USA_Arty_Base [map-83/005]</x:v>
      </x:c>
      <x:c r="M1773" s="35"/>
      <x:c r="N1773" s="35"/>
      <x:c r="O1773" s="35"/>
      <x:c r="P1773" s="35"/>
      <x:c r="Q1773" s="35"/>
      <x:c r="R1773" s="35"/>
      <x:c r="S1773" s="35"/>
      <x:c r="T1773" s="35"/>
      <x:c r="U1773" s="35"/>
      <x:c r="V1773" s="35"/>
      <x:c r="W1773" s="35"/>
      <x:c r="X1773" s="35"/>
      <x:c r="Y1773" s="35"/>
      <x:c r="Z1773" s="35"/>
      <x:c r="AA1773" s="35"/>
    </x:row>
    <x:row r="1774">
      <x:c r="A1774" s="136" t="str">
        <x:v>HarpersFerry | Skirmish | Harpers Graveyard</x:v>
      </x:c>
      <x:c r="B1774" s="136" t="str">
        <x:v>Spawn | CSA Spawnpoint_HG_Base_CSA_22ndVAbtl-2 [map-83/006]</x:v>
      </x:c>
      <x:c r="C1774" s="136" t="str">
        <x:v>spawn</x:v>
      </x:c>
      <x:c r="D1774" s="136" t="str">
        <x:v>CSA</x:v>
      </x:c>
      <x:c r="E1774" s="136" t="str">
        <x:v>Spawnpoint_HG_Base_CSA_22ndVAbtl-2</x:v>
      </x:c>
      <x:c r="F1774" s="137" t="n">
        <x:v>2457.181396484375</x:v>
      </x:c>
      <x:c r="G1774" s="137" t="n">
        <x:v>1863.4649658203125</x:v>
      </x:c>
      <x:c r="H1774" s="137" t="n">
        <x:v>111.77156829833984</x:v>
      </x:c>
      <x:c r="I1774" s="137" t="n">
        <x:v>1761.6007653061224</x:v>
      </x:c>
      <x:c r="J1774" s="137" t="n">
        <x:v>1514.034989249837</x:v>
      </x:c>
      <x:c r="K1774" s="136" t="str">
        <x:v>map-83</x:v>
      </x:c>
      <x:c r="L1774" s="136" t="str">
        <x:v>HarpersFerry | Skirmish | Harpers Graveyard||Spawn | CSA Spawnpoint_HG_Base_CSA_22ndVAbtl-2 [map-83/006]</x:v>
      </x:c>
      <x:c r="M1774" s="35"/>
      <x:c r="N1774" s="35"/>
      <x:c r="O1774" s="35"/>
      <x:c r="P1774" s="35"/>
      <x:c r="Q1774" s="35"/>
      <x:c r="R1774" s="35"/>
      <x:c r="S1774" s="35"/>
      <x:c r="T1774" s="35"/>
      <x:c r="U1774" s="35"/>
      <x:c r="V1774" s="35"/>
      <x:c r="W1774" s="35"/>
      <x:c r="X1774" s="35"/>
      <x:c r="Y1774" s="35"/>
      <x:c r="Z1774" s="35"/>
      <x:c r="AA1774" s="35"/>
    </x:row>
    <x:row r="1775">
      <x:c r="A1775" s="136" t="str">
        <x:v>HarpersFerry | Skirmish | Harpers Graveyard</x:v>
      </x:c>
      <x:c r="B1775" s="136" t="str">
        <x:v>Spawn | USA Spawnpoint_HG_Base_USA_3rdMD [map-83/007]</x:v>
      </x:c>
      <x:c r="C1775" s="136" t="str">
        <x:v>spawn</x:v>
      </x:c>
      <x:c r="D1775" s="136" t="str">
        <x:v>USA</x:v>
      </x:c>
      <x:c r="E1775" s="136" t="str">
        <x:v>Spawnpoint_HG_Base_USA_3rdMD</x:v>
      </x:c>
      <x:c r="F1775" s="137" t="n">
        <x:v>2179.962890625</x:v>
      </x:c>
      <x:c r="G1775" s="137" t="n">
        <x:v>1981.457763671875</x:v>
      </x:c>
      <x:c r="H1775" s="137" t="n">
        <x:v>135.1776580810547</x:v>
      </x:c>
      <x:c r="I1775" s="137" t="n">
        <x:v>313.2755102040817</x:v>
      </x:c>
      <x:c r="J1775" s="137" t="n">
        <x:v>899.1514006625077</x:v>
      </x:c>
      <x:c r="K1775" s="136" t="str">
        <x:v>map-83</x:v>
      </x:c>
      <x:c r="L1775" s="136" t="str">
        <x:v>HarpersFerry | Skirmish | Harpers Graveyard||Spawn | USA Spawnpoint_HG_Base_USA_3rdMD [map-83/007]</x:v>
      </x:c>
      <x:c r="M1775" s="35"/>
      <x:c r="N1775" s="35"/>
      <x:c r="O1775" s="35"/>
      <x:c r="P1775" s="35"/>
      <x:c r="Q1775" s="35"/>
      <x:c r="R1775" s="35"/>
      <x:c r="S1775" s="35"/>
      <x:c r="T1775" s="35"/>
      <x:c r="U1775" s="35"/>
      <x:c r="V1775" s="35"/>
      <x:c r="W1775" s="35"/>
      <x:c r="X1775" s="35"/>
      <x:c r="Y1775" s="35"/>
      <x:c r="Z1775" s="35"/>
      <x:c r="AA1775" s="35"/>
    </x:row>
    <x:row r="1776">
      <x:c r="A1776" s="136" t="str">
        <x:v>HarpersFerry | Skirmish | Harpers Graveyard</x:v>
      </x:c>
      <x:c r="B1776" s="136" t="str">
        <x:v>Spawn | USA Spawnpoint_HG_Base_USA_3rdMD-2 [map-83/008]</x:v>
      </x:c>
      <x:c r="C1776" s="136" t="str">
        <x:v>spawn</x:v>
      </x:c>
      <x:c r="D1776" s="136" t="str">
        <x:v>USA</x:v>
      </x:c>
      <x:c r="E1776" s="136" t="str">
        <x:v>Spawnpoint_HG_Base_USA_3rdMD-2</x:v>
      </x:c>
      <x:c r="F1776" s="137" t="n">
        <x:v>2177.72119140625</x:v>
      </x:c>
      <x:c r="G1776" s="137" t="n">
        <x:v>1966.8111572265625</x:v>
      </x:c>
      <x:c r="H1776" s="137" t="n">
        <x:v>137.8721466064453</x:v>
      </x:c>
      <x:c r="I1776" s="137" t="n">
        <x:v>301.5637755102041</x:v>
      </x:c>
      <x:c r="J1776" s="137" t="n">
        <x:v>975.4777366398082</x:v>
      </x:c>
      <x:c r="K1776" s="136" t="str">
        <x:v>map-83</x:v>
      </x:c>
      <x:c r="L1776" s="136" t="str">
        <x:v>HarpersFerry | Skirmish | Harpers Graveyard||Spawn | USA Spawnpoint_HG_Base_USA_3rdMD-2 [map-83/008]</x:v>
      </x:c>
      <x:c r="M1776" s="35"/>
      <x:c r="N1776" s="35"/>
      <x:c r="O1776" s="35"/>
      <x:c r="P1776" s="35"/>
      <x:c r="Q1776" s="35"/>
      <x:c r="R1776" s="35"/>
      <x:c r="S1776" s="35"/>
      <x:c r="T1776" s="35"/>
      <x:c r="U1776" s="35"/>
      <x:c r="V1776" s="35"/>
      <x:c r="W1776" s="35"/>
      <x:c r="X1776" s="35"/>
      <x:c r="Y1776" s="35"/>
      <x:c r="Z1776" s="35"/>
      <x:c r="AA1776" s="35"/>
    </x:row>
    <x:row r="1777">
      <x:c r="A1777" s="136" t="str">
        <x:v>HarpersFerry | Skirmish | Harpers Graveyard</x:v>
      </x:c>
      <x:c r="B1777" s="136" t="str">
        <x:v>Objective | Victory_Harpers_Graveyard [map-83/009]</x:v>
      </x:c>
      <x:c r="C1777" s="136" t="str">
        <x:v>objective</x:v>
      </x:c>
      <x:c r="D1777" s="136" t="str"/>
      <x:c r="E1777" s="136" t="str">
        <x:v>Victory_Harpers_Graveyard</x:v>
      </x:c>
      <x:c r="F1777" s="137" t="n">
        <x:v>2289.375</x:v>
      </x:c>
      <x:c r="G1777" s="137" t="n">
        <x:v>1930.37890625</x:v>
      </x:c>
      <x:c r="H1777" s="137" t="n">
        <x:v>139.9414520263672</x:v>
      </x:c>
      <x:c r="I1777" s="137" t="n">
        <x:v>884.8979591836735</x:v>
      </x:c>
      <x:c r="J1777" s="137" t="n">
        <x:v>1165.3333348515284</x:v>
      </x:c>
      <x:c r="K1777" s="136" t="str">
        <x:v>map-83</x:v>
      </x:c>
      <x:c r="L1777" s="136" t="str">
        <x:v>HarpersFerry | Skirmish | Harpers Graveyard||Objective | Victory_Harpers_Graveyard [map-83/009]</x:v>
      </x:c>
      <x:c r="M1777" s="35"/>
      <x:c r="N1777" s="35"/>
      <x:c r="O1777" s="35"/>
      <x:c r="P1777" s="35"/>
      <x:c r="Q1777" s="35"/>
      <x:c r="R1777" s="35"/>
      <x:c r="S1777" s="35"/>
      <x:c r="T1777" s="35"/>
      <x:c r="U1777" s="35"/>
      <x:c r="V1777" s="35"/>
      <x:c r="W1777" s="35"/>
      <x:c r="X1777" s="35"/>
      <x:c r="Y1777" s="35"/>
      <x:c r="Z1777" s="35"/>
      <x:c r="AA1777" s="35"/>
    </x:row>
    <x:row r="1778">
      <x:c r="A1778" s="136" t="str">
        <x:v>HarpersFerry | Skirmish | Harpers Graveyard</x:v>
      </x:c>
      <x:c r="B1778" s="136" t="str">
        <x:v>Spawn | USA Spawnpoint_HG_Base_USA_9thVT-2 [map-83/010]</x:v>
      </x:c>
      <x:c r="C1778" s="136" t="str">
        <x:v>spawn</x:v>
      </x:c>
      <x:c r="D1778" s="136" t="str">
        <x:v>USA</x:v>
      </x:c>
      <x:c r="E1778" s="136" t="str">
        <x:v>Spawnpoint_HG_Base_USA_9thVT-2</x:v>
      </x:c>
      <x:c r="F1778" s="137" t="n">
        <x:v>2165.69873046875</x:v>
      </x:c>
      <x:c r="G1778" s="137" t="n">
        <x:v>1933.3917236328125</x:v>
      </x:c>
      <x:c r="H1778" s="137" t="n">
        <x:v>139.64747619628906</x:v>
      </x:c>
      <x:c r="I1778" s="137" t="n">
        <x:v>238.7525510204082</x:v>
      </x:c>
      <x:c r="J1778" s="137" t="n">
        <x:v>1149.6329531516847</x:v>
      </x:c>
      <x:c r="K1778" s="136" t="str">
        <x:v>map-83</x:v>
      </x:c>
      <x:c r="L1778" s="136" t="str">
        <x:v>HarpersFerry | Skirmish | Harpers Graveyard||Spawn | USA Spawnpoint_HG_Base_USA_9thVT-2 [map-83/010]</x:v>
      </x:c>
      <x:c r="M1778" s="35"/>
      <x:c r="N1778" s="35"/>
      <x:c r="O1778" s="35"/>
      <x:c r="P1778" s="35"/>
      <x:c r="Q1778" s="35"/>
      <x:c r="R1778" s="35"/>
      <x:c r="S1778" s="35"/>
      <x:c r="T1778" s="35"/>
      <x:c r="U1778" s="35"/>
      <x:c r="V1778" s="35"/>
      <x:c r="W1778" s="35"/>
      <x:c r="X1778" s="35"/>
      <x:c r="Y1778" s="35"/>
      <x:c r="Z1778" s="35"/>
      <x:c r="AA1778" s="35"/>
    </x:row>
    <x:row r="1779">
      <x:c r="A1779" s="136" t="str">
        <x:v>HarpersFerry | Skirmish | Harpers Graveyard</x:v>
      </x:c>
      <x:c r="B1779" s="136" t="str">
        <x:v>Artillery | USA Spawnpoint_HG_USA_Arty_Graham_Forward [map-83/011]</x:v>
      </x:c>
      <x:c r="C1779" s="136" t="str">
        <x:v>battery</x:v>
      </x:c>
      <x:c r="D1779" s="136" t="str">
        <x:v>USA</x:v>
      </x:c>
      <x:c r="E1779" s="136" t="str">
        <x:v>Spawnpoint_HG_USA_Arty_Graham_Forward</x:v>
      </x:c>
      <x:c r="F1779" s="137" t="n">
        <x:v>2198.044189453125</x:v>
      </x:c>
      <x:c r="G1779" s="137" t="n">
        <x:v>1921.436279296875</x:v>
      </x:c>
      <x:c r="H1779" s="137" t="n">
        <x:v>142.3731231689453</x:v>
      </x:c>
      <x:c r="I1779" s="137" t="n">
        <x:v>407.74107142857144</x:v>
      </x:c>
      <x:c r="J1779" s="137" t="n">
        <x:v>1211.9351160827246</x:v>
      </x:c>
      <x:c r="K1779" s="136" t="str">
        <x:v>map-83</x:v>
      </x:c>
      <x:c r="L1779" s="136" t="str">
        <x:v>HarpersFerry | Skirmish | Harpers Graveyard||Artillery | USA Spawnpoint_HG_USA_Arty_Graham_Forward [map-83/011]</x:v>
      </x:c>
      <x:c r="M1779" s="35"/>
      <x:c r="N1779" s="35"/>
      <x:c r="O1779" s="35"/>
      <x:c r="P1779" s="35"/>
      <x:c r="Q1779" s="35"/>
      <x:c r="R1779" s="35"/>
      <x:c r="S1779" s="35"/>
      <x:c r="T1779" s="35"/>
      <x:c r="U1779" s="35"/>
      <x:c r="V1779" s="35"/>
      <x:c r="W1779" s="35"/>
      <x:c r="X1779" s="35"/>
      <x:c r="Y1779" s="35"/>
      <x:c r="Z1779" s="35"/>
      <x:c r="AA1779" s="35"/>
    </x:row>
    <x:row r="1780">
      <x:c r="A1780" s="136" t="str">
        <x:v>HarpersFerry | Skirmish | Harpers Graveyard</x:v>
      </x:c>
      <x:c r="B1780" s="136" t="str">
        <x:v>Spawn | CSA Spawnpoint_HG_Base_CSA_2ndSC-2 [map-83/012]</x:v>
      </x:c>
      <x:c r="C1780" s="136" t="str">
        <x:v>spawn</x:v>
      </x:c>
      <x:c r="D1780" s="136" t="str">
        <x:v>CSA</x:v>
      </x:c>
      <x:c r="E1780" s="136" t="str">
        <x:v>Spawnpoint_HG_Base_CSA_2ndSC-2</x:v>
      </x:c>
      <x:c r="F1780" s="137" t="n">
        <x:v>2398.307861328125</x:v>
      </x:c>
      <x:c r="G1780" s="137" t="n">
        <x:v>1884.2420654296875</x:v>
      </x:c>
      <x:c r="H1780" s="137" t="n">
        <x:v>121.849609375</x:v>
      </x:c>
      <x:c r="I1780" s="137" t="n">
        <x:v>1454.0165816326532</x:v>
      </x:c>
      <x:c r="J1780" s="137" t="n">
        <x:v>1405.761452213104</x:v>
      </x:c>
      <x:c r="K1780" s="136" t="str">
        <x:v>map-83</x:v>
      </x:c>
      <x:c r="L1780" s="136" t="str">
        <x:v>HarpersFerry | Skirmish | Harpers Graveyard||Spawn | CSA Spawnpoint_HG_Base_CSA_2ndSC-2 [map-83/012]</x:v>
      </x:c>
      <x:c r="M1780" s="35"/>
      <x:c r="N1780" s="35"/>
      <x:c r="O1780" s="35"/>
      <x:c r="P1780" s="35"/>
      <x:c r="Q1780" s="35"/>
      <x:c r="R1780" s="35"/>
      <x:c r="S1780" s="35"/>
      <x:c r="T1780" s="35"/>
      <x:c r="U1780" s="35"/>
      <x:c r="V1780" s="35"/>
      <x:c r="W1780" s="35"/>
      <x:c r="X1780" s="35"/>
      <x:c r="Y1780" s="35"/>
      <x:c r="Z1780" s="35"/>
      <x:c r="AA1780" s="35"/>
    </x:row>
    <x:row r="1781">
      <x:c r="A1781" s="136" t="str">
        <x:v>HarpersFerry | Skirmish | Harpers Graveyard</x:v>
      </x:c>
      <x:c r="B1781" s="136" t="str">
        <x:v>Spawn | CSA Spawnpoint_HG_Base_CSA_2ndSC [map-83/013]</x:v>
      </x:c>
      <x:c r="C1781" s="136" t="str">
        <x:v>spawn</x:v>
      </x:c>
      <x:c r="D1781" s="136" t="str">
        <x:v>CSA</x:v>
      </x:c>
      <x:c r="E1781" s="136" t="str">
        <x:v>Spawnpoint_HG_Base_CSA_2ndSC</x:v>
      </x:c>
      <x:c r="F1781" s="137" t="n">
        <x:v>2416.5029296875</x:v>
      </x:c>
      <x:c r="G1781" s="137" t="n">
        <x:v>1882.8258056640625</x:v>
      </x:c>
      <x:c r="H1781" s="137" t="n">
        <x:v>120.68280792236328</x:v>
      </x:c>
      <x:c r="I1781" s="137" t="n">
        <x:v>1549.076530612245</x:v>
      </x:c>
      <x:c r="J1781" s="137" t="n">
        <x:v>1413.1418593474011</x:v>
      </x:c>
      <x:c r="K1781" s="136" t="str">
        <x:v>map-83</x:v>
      </x:c>
      <x:c r="L1781" s="136" t="str">
        <x:v>HarpersFerry | Skirmish | Harpers Graveyard||Spawn | CSA Spawnpoint_HG_Base_CSA_2ndSC [map-83/013]</x:v>
      </x:c>
      <x:c r="M1781" s="35"/>
      <x:c r="N1781" s="35"/>
      <x:c r="O1781" s="35"/>
      <x:c r="P1781" s="35"/>
      <x:c r="Q1781" s="35"/>
      <x:c r="R1781" s="35"/>
      <x:c r="S1781" s="35"/>
      <x:c r="T1781" s="35"/>
      <x:c r="U1781" s="35"/>
      <x:c r="V1781" s="35"/>
      <x:c r="W1781" s="35"/>
      <x:c r="X1781" s="35"/>
      <x:c r="Y1781" s="35"/>
      <x:c r="Z1781" s="35"/>
      <x:c r="AA1781" s="35"/>
    </x:row>
    <x:row r="1782">
      <x:c r="A1782" s="136" t="str">
        <x:v>HarpersFerry | Skirmish | Harpers Graveyard</x:v>
      </x:c>
      <x:c r="B1782" s="136" t="str">
        <x:v>Spawn | USA Spawnpoint_HG_Defend_USA_9thVT-2 [map-83/014]</x:v>
      </x:c>
      <x:c r="C1782" s="136" t="str">
        <x:v>spawn</x:v>
      </x:c>
      <x:c r="D1782" s="136" t="str">
        <x:v>USA</x:v>
      </x:c>
      <x:c r="E1782" s="136" t="str">
        <x:v>Spawnpoint_HG_Defend_USA_9thVT-2</x:v>
      </x:c>
      <x:c r="F1782" s="137" t="n">
        <x:v>2267.161376953125</x:v>
      </x:c>
      <x:c r="G1782" s="137" t="n">
        <x:v>1926.790771484375</x:v>
      </x:c>
      <x:c r="H1782" s="137" t="n">
        <x:v>142.49319458007812</x:v>
      </x:c>
      <x:c r="I1782" s="137" t="n">
        <x:v>768.843112244898</x:v>
      </x:c>
      <x:c r="J1782" s="137" t="n">
        <x:v>1184.0318081583316</x:v>
      </x:c>
      <x:c r="K1782" s="136" t="str">
        <x:v>map-83</x:v>
      </x:c>
      <x:c r="L1782" s="136" t="str">
        <x:v>HarpersFerry | Skirmish | Harpers Graveyard||Spawn | USA Spawnpoint_HG_Defend_USA_9thVT-2 [map-83/014]</x:v>
      </x:c>
      <x:c r="M1782" s="35"/>
      <x:c r="N1782" s="35"/>
      <x:c r="O1782" s="35"/>
      <x:c r="P1782" s="35"/>
      <x:c r="Q1782" s="35"/>
      <x:c r="R1782" s="35"/>
      <x:c r="S1782" s="35"/>
      <x:c r="T1782" s="35"/>
      <x:c r="U1782" s="35"/>
      <x:c r="V1782" s="35"/>
      <x:c r="W1782" s="35"/>
      <x:c r="X1782" s="35"/>
      <x:c r="Y1782" s="35"/>
      <x:c r="Z1782" s="35"/>
      <x:c r="AA1782" s="35"/>
    </x:row>
    <x:row r="1783">
      <x:c r="A1783" s="136" t="str">
        <x:v>HarpersFerry | Skirmish | Harpers Graveyard</x:v>
      </x:c>
      <x:c r="B1783" s="136" t="str">
        <x:v>Spawn | USA Spawnpoint_HG_Defend_USA_3rdMD [map-83/015]</x:v>
      </x:c>
      <x:c r="C1783" s="136" t="str">
        <x:v>spawn</x:v>
      </x:c>
      <x:c r="D1783" s="136" t="str">
        <x:v>USA</x:v>
      </x:c>
      <x:c r="E1783" s="136" t="str">
        <x:v>Spawnpoint_HG_Defend_USA_3rdMD</x:v>
      </x:c>
      <x:c r="F1783" s="137" t="n">
        <x:v>2251.671630859375</x:v>
      </x:c>
      <x:c r="G1783" s="137" t="n">
        <x:v>1944.3056640625</x:v>
      </x:c>
      <x:c r="H1783" s="137" t="n">
        <x:v>141.6855926513672</x:v>
      </x:c>
      <x:c r="I1783" s="137" t="n">
        <x:v>687.9170918367347</x:v>
      </x:c>
      <x:c r="J1783" s="137" t="n">
        <x:v>1092.7582711437462</x:v>
      </x:c>
      <x:c r="K1783" s="136" t="str">
        <x:v>map-83</x:v>
      </x:c>
      <x:c r="L1783" s="136" t="str">
        <x:v>HarpersFerry | Skirmish | Harpers Graveyard||Spawn | USA Spawnpoint_HG_Defend_USA_3rdMD [map-83/015]</x:v>
      </x:c>
      <x:c r="M1783" s="35"/>
      <x:c r="N1783" s="35"/>
      <x:c r="O1783" s="35"/>
      <x:c r="P1783" s="35"/>
      <x:c r="Q1783" s="35"/>
      <x:c r="R1783" s="35"/>
      <x:c r="S1783" s="35"/>
      <x:c r="T1783" s="35"/>
      <x:c r="U1783" s="35"/>
      <x:c r="V1783" s="35"/>
      <x:c r="W1783" s="35"/>
      <x:c r="X1783" s="35"/>
      <x:c r="Y1783" s="35"/>
      <x:c r="Z1783" s="35"/>
      <x:c r="AA1783" s="35"/>
    </x:row>
    <x:row r="1784">
      <x:c r="A1784" s="136" t="str">
        <x:v>HarpersFerry | Skirmish | Harpers Graveyard</x:v>
      </x:c>
      <x:c r="B1784" s="136" t="str">
        <x:v>Gun | 3-inch Ordnance · 3InchOrdnanceRifle-42 [map-83/016]</x:v>
      </x:c>
      <x:c r="C1784" s="136" t="str">
        <x:v>gun_spawn</x:v>
      </x:c>
      <x:c r="D1784" s="136" t="str"/>
      <x:c r="E1784" s="136" t="str">
        <x:v>3-inch Ordnance · 3InchOrdnanceRifle-42</x:v>
      </x:c>
      <x:c r="F1784" s="137" t="n">
        <x:v>2216.03759765625</x:v>
      </x:c>
      <x:c r="G1784" s="137" t="n">
        <x:v>1912.3897705078125</x:v>
      </x:c>
      <x:c r="H1784" s="137" t="n">
        <x:v>142.24322509765625</x:v>
      </x:c>
      <x:c r="I1784" s="137" t="n">
        <x:v>501.74744897959187</x:v>
      </x:c>
      <x:c r="J1784" s="137" t="n">
        <x:v>1259.078245915135</x:v>
      </x:c>
      <x:c r="K1784" s="136" t="str">
        <x:v>map-83</x:v>
      </x:c>
      <x:c r="L1784" s="136" t="str">
        <x:v>HarpersFerry | Skirmish | Harpers Graveyard||Gun | 3-inch Ordnance · 3InchOrdnanceRifle-42 [map-83/016]</x:v>
      </x:c>
      <x:c r="M1784" s="35"/>
      <x:c r="N1784" s="35"/>
      <x:c r="O1784" s="35"/>
      <x:c r="P1784" s="35"/>
      <x:c r="Q1784" s="35"/>
      <x:c r="R1784" s="35"/>
      <x:c r="S1784" s="35"/>
      <x:c r="T1784" s="35"/>
      <x:c r="U1784" s="35"/>
      <x:c r="V1784" s="35"/>
      <x:c r="W1784" s="35"/>
      <x:c r="X1784" s="35"/>
      <x:c r="Y1784" s="35"/>
      <x:c r="Z1784" s="35"/>
      <x:c r="AA1784" s="35"/>
    </x:row>
    <x:row r="1785">
      <x:c r="A1785" s="136" t="str">
        <x:v>HarpersFerry | Skirmish | Harpers Graveyard</x:v>
      </x:c>
      <x:c r="B1785" s="136" t="str">
        <x:v>Gun | 12-pounder Napoleon (USA) · 3InchOrdnanceRifle-40 [map-83/017]</x:v>
      </x:c>
      <x:c r="C1785" s="136" t="str">
        <x:v>gun_spawn</x:v>
      </x:c>
      <x:c r="D1785" s="136" t="str"/>
      <x:c r="E1785" s="136" t="str">
        <x:v>12-pounder Napoleon (USA) · 3InchOrdnanceRifle-40</x:v>
      </x:c>
      <x:c r="F1785" s="137" t="n">
        <x:v>2228.6044921875</x:v>
      </x:c>
      <x:c r="G1785" s="137" t="n">
        <x:v>1916.3702392578125</x:v>
      </x:c>
      <x:c r="H1785" s="137" t="n">
        <x:v>143.1739501953125</x:v>
      </x:c>
      <x:c r="I1785" s="137" t="n">
        <x:v>567.4030612244898</x:v>
      </x:c>
      <x:c r="J1785" s="137" t="n">
        <x:v>1238.3352433435819</x:v>
      </x:c>
      <x:c r="K1785" s="136" t="str">
        <x:v>map-83</x:v>
      </x:c>
      <x:c r="L1785" s="136" t="str">
        <x:v>HarpersFerry | Skirmish | Harpers Graveyard||Gun | 12-pounder Napoleon (USA) · 3InchOrdnanceRifle-40 [map-83/017]</x:v>
      </x:c>
      <x:c r="M1785" s="35"/>
      <x:c r="N1785" s="35"/>
      <x:c r="O1785" s="35"/>
      <x:c r="P1785" s="35"/>
      <x:c r="Q1785" s="35"/>
      <x:c r="R1785" s="35"/>
      <x:c r="S1785" s="35"/>
      <x:c r="T1785" s="35"/>
      <x:c r="U1785" s="35"/>
      <x:c r="V1785" s="35"/>
      <x:c r="W1785" s="35"/>
      <x:c r="X1785" s="35"/>
      <x:c r="Y1785" s="35"/>
      <x:c r="Z1785" s="35"/>
      <x:c r="AA1785" s="35"/>
    </x:row>
    <x:row r="1786">
      <x:c r="A1786" s="136" t="str">
        <x:v>HarpersFerry | Skirmish | Harpers Graveyard</x:v>
      </x:c>
      <x:c r="B1786" s="136" t="str">
        <x:v>Gun | 3-inch Ordnance · 3InchOrdnanceRifle-41 [map-83/018]</x:v>
      </x:c>
      <x:c r="C1786" s="136" t="str">
        <x:v>gun_spawn</x:v>
      </x:c>
      <x:c r="D1786" s="136" t="str"/>
      <x:c r="E1786" s="136" t="str">
        <x:v>3-inch Ordnance · 3InchOrdnanceRifle-41</x:v>
      </x:c>
      <x:c r="F1786" s="137" t="n">
        <x:v>2222.4296875</x:v>
      </x:c>
      <x:c r="G1786" s="137" t="n">
        <x:v>1914.132568359375</x:v>
      </x:c>
      <x:c r="H1786" s="137" t="n">
        <x:v>142.7737274169922</x:v>
      </x:c>
      <x:c r="I1786" s="137" t="n">
        <x:v>535.1428571428572</x:v>
      </x:c>
      <x:c r="J1786" s="137" t="n">
        <x:v>1249.9961848346006</x:v>
      </x:c>
      <x:c r="K1786" s="136" t="str">
        <x:v>map-83</x:v>
      </x:c>
      <x:c r="L1786" s="136" t="str">
        <x:v>HarpersFerry | Skirmish | Harpers Graveyard||Gun | 3-inch Ordnance · 3InchOrdnanceRifle-41 [map-83/018]</x:v>
      </x:c>
      <x:c r="M1786" s="35"/>
      <x:c r="N1786" s="35"/>
      <x:c r="O1786" s="35"/>
      <x:c r="P1786" s="35"/>
      <x:c r="Q1786" s="35"/>
      <x:c r="R1786" s="35"/>
      <x:c r="S1786" s="35"/>
      <x:c r="T1786" s="35"/>
      <x:c r="U1786" s="35"/>
      <x:c r="V1786" s="35"/>
      <x:c r="W1786" s="35"/>
      <x:c r="X1786" s="35"/>
      <x:c r="Y1786" s="35"/>
      <x:c r="Z1786" s="35"/>
      <x:c r="AA1786" s="35"/>
    </x:row>
    <x:row r="1787">
      <x:c r="A1787" s="136" t="str">
        <x:v>HarpersFerry | Skirmish | Bolivar Heights Redoubt</x:v>
      </x:c>
      <x:c r="B1787" s="136" t="str">
        <x:v>Spawn | USA Spawnpoint_BHR_Defend_USA_39thNY-2 [map-84/001]</x:v>
      </x:c>
      <x:c r="C1787" s="136" t="str">
        <x:v>spawn</x:v>
      </x:c>
      <x:c r="D1787" s="136" t="str">
        <x:v>USA</x:v>
      </x:c>
      <x:c r="E1787" s="136" t="str">
        <x:v>Spawnpoint_BHR_Defend_USA_39thNY-2</x:v>
      </x:c>
      <x:c r="F1787" s="137" t="n">
        <x:v>682.118896484375</x:v>
      </x:c>
      <x:c r="G1787" s="137" t="n">
        <x:v>1711.454833984375</x:v>
      </x:c>
      <x:c r="H1787" s="137" t="n">
        <x:v>162.40867614746094</x:v>
      </x:c>
      <x:c r="I1787" s="137" t="n">
        <x:v>1026.4586909871246</x:v>
      </x:c>
      <x:c r="J1787" s="137" t="n">
        <x:v>859.4689179421738</x:v>
      </x:c>
      <x:c r="K1787" s="136" t="str">
        <x:v>map-84</x:v>
      </x:c>
      <x:c r="L1787" s="136" t="str">
        <x:v>HarpersFerry | Skirmish | Bolivar Heights Redoubt||Spawn | USA Spawnpoint_BHR_Defend_USA_39thNY-2 [map-84/001]</x:v>
      </x:c>
      <x:c r="M1787" s="35"/>
      <x:c r="N1787" s="35"/>
      <x:c r="O1787" s="35"/>
      <x:c r="P1787" s="35"/>
      <x:c r="Q1787" s="35"/>
      <x:c r="R1787" s="35"/>
      <x:c r="S1787" s="35"/>
      <x:c r="T1787" s="35"/>
      <x:c r="U1787" s="35"/>
      <x:c r="V1787" s="35"/>
      <x:c r="W1787" s="35"/>
      <x:c r="X1787" s="35"/>
      <x:c r="Y1787" s="35"/>
      <x:c r="Z1787" s="35"/>
      <x:c r="AA1787" s="35"/>
    </x:row>
    <x:row r="1788">
      <x:c r="A1788" s="136" t="str">
        <x:v>HarpersFerry | Skirmish | Bolivar Heights Redoubt</x:v>
      </x:c>
      <x:c r="B1788" s="136" t="str">
        <x:v>Spawn | USA Spawnpoint_BHR_Defend_USA_32ndOH-2 [map-84/002]</x:v>
      </x:c>
      <x:c r="C1788" s="136" t="str">
        <x:v>spawn</x:v>
      </x:c>
      <x:c r="D1788" s="136" t="str">
        <x:v>USA</x:v>
      </x:c>
      <x:c r="E1788" s="136" t="str">
        <x:v>Spawnpoint_BHR_Defend_USA_32ndOH-2</x:v>
      </x:c>
      <x:c r="F1788" s="137" t="n">
        <x:v>705.8856811523438</x:v>
      </x:c>
      <x:c r="G1788" s="137" t="n">
        <x:v>1751.5538330078125</x:v>
      </x:c>
      <x:c r="H1788" s="137" t="n">
        <x:v>161.58839416503906</x:v>
      </x:c>
      <x:c r="I1788" s="137" t="n">
        <x:v>1078.6844152360516</x:v>
      </x:c>
      <x:c r="J1788" s="137" t="n">
        <x:v>771.4488214308487</x:v>
      </x:c>
      <x:c r="K1788" s="136" t="str">
        <x:v>map-84</x:v>
      </x:c>
      <x:c r="L1788" s="136" t="str">
        <x:v>HarpersFerry | Skirmish | Bolivar Heights Redoubt||Spawn | USA Spawnpoint_BHR_Defend_USA_32ndOH-2 [map-84/002]</x:v>
      </x:c>
      <x:c r="M1788" s="35"/>
      <x:c r="N1788" s="35"/>
      <x:c r="O1788" s="35"/>
      <x:c r="P1788" s="35"/>
      <x:c r="Q1788" s="35"/>
      <x:c r="R1788" s="35"/>
      <x:c r="S1788" s="35"/>
      <x:c r="T1788" s="35"/>
      <x:c r="U1788" s="35"/>
      <x:c r="V1788" s="35"/>
      <x:c r="W1788" s="35"/>
      <x:c r="X1788" s="35"/>
      <x:c r="Y1788" s="35"/>
      <x:c r="Z1788" s="35"/>
      <x:c r="AA1788" s="35"/>
    </x:row>
    <x:row r="1789">
      <x:c r="A1789" s="136" t="str">
        <x:v>HarpersFerry | Skirmish | Bolivar Heights Redoubt</x:v>
      </x:c>
      <x:c r="B1789" s="136" t="str">
        <x:v>Spawn | USA Spawnpoint_BHR_Defend_USA_39thNY [map-84/003]</x:v>
      </x:c>
      <x:c r="C1789" s="136" t="str">
        <x:v>spawn</x:v>
      </x:c>
      <x:c r="D1789" s="136" t="str">
        <x:v>USA</x:v>
      </x:c>
      <x:c r="E1789" s="136" t="str">
        <x:v>Spawnpoint_BHR_Defend_USA_39thNY</x:v>
      </x:c>
      <x:c r="F1789" s="137" t="n">
        <x:v>702.4207763671875</x:v>
      </x:c>
      <x:c r="G1789" s="137" t="n">
        <x:v>1703.8289794921875</x:v>
      </x:c>
      <x:c r="H1789" s="137" t="n">
        <x:v>158.8720245361328</x:v>
      </x:c>
      <x:c r="I1789" s="137" t="n">
        <x:v>1071.0705472103004</x:v>
      </x:c>
      <x:c r="J1789" s="137" t="n">
        <x:v>876.2081998377478</x:v>
      </x:c>
      <x:c r="K1789" s="136" t="str">
        <x:v>map-84</x:v>
      </x:c>
      <x:c r="L1789" s="136" t="str">
        <x:v>HarpersFerry | Skirmish | Bolivar Heights Redoubt||Spawn | USA Spawnpoint_BHR_Defend_USA_39thNY [map-84/003]</x:v>
      </x:c>
      <x:c r="M1789" s="35"/>
      <x:c r="N1789" s="35"/>
      <x:c r="O1789" s="35"/>
      <x:c r="P1789" s="35"/>
      <x:c r="Q1789" s="35"/>
      <x:c r="R1789" s="35"/>
      <x:c r="S1789" s="35"/>
      <x:c r="T1789" s="35"/>
      <x:c r="U1789" s="35"/>
      <x:c r="V1789" s="35"/>
      <x:c r="W1789" s="35"/>
      <x:c r="X1789" s="35"/>
      <x:c r="Y1789" s="35"/>
      <x:c r="Z1789" s="35"/>
      <x:c r="AA1789" s="35"/>
    </x:row>
    <x:row r="1790">
      <x:c r="A1790" s="136" t="str">
        <x:v>HarpersFerry | Skirmish | Bolivar Heights Redoubt</x:v>
      </x:c>
      <x:c r="B1790" s="136" t="str">
        <x:v>Spawn | CSA Spawnpoint_BHR_Base_CSA_1stLaZo-2 [map-84/004]</x:v>
      </x:c>
      <x:c r="C1790" s="136" t="str">
        <x:v>spawn</x:v>
      </x:c>
      <x:c r="D1790" s="136" t="str">
        <x:v>CSA</x:v>
      </x:c>
      <x:c r="E1790" s="136" t="str">
        <x:v>Spawnpoint_BHR_Base_CSA_1stLaZo-2</x:v>
      </x:c>
      <x:c r="F1790" s="137" t="n">
        <x:v>461.6058349609375</x:v>
      </x:c>
      <x:c r="G1790" s="137" t="n">
        <x:v>1470.095458984375</x:v>
      </x:c>
      <x:c r="H1790" s="137" t="n">
        <x:v>145.53546142578125</x:v>
      </x:c>
      <x:c r="I1790" s="137" t="n">
        <x:v>541.8978004291846</x:v>
      </x:c>
      <x:c r="J1790" s="137" t="n">
        <x:v>1389.269561319728</x:v>
      </x:c>
      <x:c r="K1790" s="136" t="str">
        <x:v>map-84</x:v>
      </x:c>
      <x:c r="L1790" s="136" t="str">
        <x:v>HarpersFerry | Skirmish | Bolivar Heights Redoubt||Spawn | CSA Spawnpoint_BHR_Base_CSA_1stLaZo-2 [map-84/004]</x:v>
      </x:c>
      <x:c r="M1790" s="35"/>
      <x:c r="N1790" s="35"/>
      <x:c r="O1790" s="35"/>
      <x:c r="P1790" s="35"/>
      <x:c r="Q1790" s="35"/>
      <x:c r="R1790" s="35"/>
      <x:c r="S1790" s="35"/>
      <x:c r="T1790" s="35"/>
      <x:c r="U1790" s="35"/>
      <x:c r="V1790" s="35"/>
      <x:c r="W1790" s="35"/>
      <x:c r="X1790" s="35"/>
      <x:c r="Y1790" s="35"/>
      <x:c r="Z1790" s="35"/>
      <x:c r="AA1790" s="35"/>
    </x:row>
    <x:row r="1791">
      <x:c r="A1791" s="136" t="str">
        <x:v>HarpersFerry | Skirmish | Bolivar Heights Redoubt</x:v>
      </x:c>
      <x:c r="B1791" s="136" t="str">
        <x:v>Spawn | CSA Spawnpoint_BHR_Base_CSA_9thLA [map-84/005]</x:v>
      </x:c>
      <x:c r="C1791" s="136" t="str">
        <x:v>spawn</x:v>
      </x:c>
      <x:c r="D1791" s="136" t="str">
        <x:v>CSA</x:v>
      </x:c>
      <x:c r="E1791" s="136" t="str">
        <x:v>Spawnpoint_BHR_Base_CSA_9thLA</x:v>
      </x:c>
      <x:c r="F1791" s="137" t="n">
        <x:v>426.9620361328125</x:v>
      </x:c>
      <x:c r="G1791" s="137" t="n">
        <x:v>1474.147216796875</x:v>
      </x:c>
      <x:c r="H1791" s="137" t="n">
        <x:v>143.73825073242188</x:v>
      </x:c>
      <x:c r="I1791" s="137" t="n">
        <x:v>465.7706545064378</x:v>
      </x:c>
      <x:c r="J1791" s="137" t="n">
        <x:v>1380.3756706396061</x:v>
      </x:c>
      <x:c r="K1791" s="136" t="str">
        <x:v>map-84</x:v>
      </x:c>
      <x:c r="L1791" s="136" t="str">
        <x:v>HarpersFerry | Skirmish | Bolivar Heights Redoubt||Spawn | CSA Spawnpoint_BHR_Base_CSA_9thLA [map-84/005]</x:v>
      </x:c>
      <x:c r="M1791" s="35"/>
      <x:c r="N1791" s="35"/>
      <x:c r="O1791" s="35"/>
      <x:c r="P1791" s="35"/>
      <x:c r="Q1791" s="35"/>
      <x:c r="R1791" s="35"/>
      <x:c r="S1791" s="35"/>
      <x:c r="T1791" s="35"/>
      <x:c r="U1791" s="35"/>
      <x:c r="V1791" s="35"/>
      <x:c r="W1791" s="35"/>
      <x:c r="X1791" s="35"/>
      <x:c r="Y1791" s="35"/>
      <x:c r="Z1791" s="35"/>
      <x:c r="AA1791" s="35"/>
    </x:row>
    <x:row r="1792">
      <x:c r="A1792" s="136" t="str">
        <x:v>HarpersFerry | Skirmish | Bolivar Heights Redoubt</x:v>
      </x:c>
      <x:c r="B1792" s="136" t="str">
        <x:v>Objective | Victory_Bolivar_Heights_Redoubt [map-84/006]</x:v>
      </x:c>
      <x:c r="C1792" s="136" t="str">
        <x:v>objective</x:v>
      </x:c>
      <x:c r="D1792" s="136" t="str"/>
      <x:c r="E1792" s="136" t="str">
        <x:v>Victory_Bolivar_Heights_Redoubt</x:v>
      </x:c>
      <x:c r="F1792" s="137" t="n">
        <x:v>681.91455078125</x:v>
      </x:c>
      <x:c r="G1792" s="137" t="n">
        <x:v>1705.7783203125</x:v>
      </x:c>
      <x:c r="H1792" s="137" t="n">
        <x:v>161.94509887695312</x:v>
      </x:c>
      <x:c r="I1792" s="137" t="n">
        <x:v>1026.0096566523605</x:v>
      </x:c>
      <x:c r="J1792" s="137" t="n">
        <x:v>871.9292609286472</x:v>
      </x:c>
      <x:c r="K1792" s="136" t="str">
        <x:v>map-84</x:v>
      </x:c>
      <x:c r="L1792" s="136" t="str">
        <x:v>HarpersFerry | Skirmish | Bolivar Heights Redoubt||Objective | Victory_Bolivar_Heights_Redoubt [map-84/006]</x:v>
      </x:c>
      <x:c r="M1792" s="35"/>
      <x:c r="N1792" s="35"/>
      <x:c r="O1792" s="35"/>
      <x:c r="P1792" s="35"/>
      <x:c r="Q1792" s="35"/>
      <x:c r="R1792" s="35"/>
      <x:c r="S1792" s="35"/>
      <x:c r="T1792" s="35"/>
      <x:c r="U1792" s="35"/>
      <x:c r="V1792" s="35"/>
      <x:c r="W1792" s="35"/>
      <x:c r="X1792" s="35"/>
      <x:c r="Y1792" s="35"/>
      <x:c r="Z1792" s="35"/>
      <x:c r="AA1792" s="35"/>
    </x:row>
    <x:row r="1793">
      <x:c r="A1793" s="136" t="str">
        <x:v>HarpersFerry | Skirmish | Bolivar Heights Redoubt</x:v>
      </x:c>
      <x:c r="B1793" s="136" t="str">
        <x:v>Artillery | USA Spawnpoint_BHR_USA_Arty_Rigby_Forward [map-84/007]</x:v>
      </x:c>
      <x:c r="C1793" s="136" t="str">
        <x:v>battery</x:v>
      </x:c>
      <x:c r="D1793" s="136" t="str">
        <x:v>USA</x:v>
      </x:c>
      <x:c r="E1793" s="136" t="str">
        <x:v>Spawnpoint_BHR_USA_Arty_Rigby_Forward</x:v>
      </x:c>
      <x:c r="F1793" s="137" t="n">
        <x:v>719.0620727539062</x:v>
      </x:c>
      <x:c r="G1793" s="137" t="n">
        <x:v>1764.3050537109375</x:v>
      </x:c>
      <x:c r="H1793" s="137" t="n">
        <x:v>160.90609741210938</x:v>
      </x:c>
      <x:c r="I1793" s="137" t="n">
        <x:v>1107.638546137339</x:v>
      </x:c>
      <x:c r="J1793" s="137" t="n">
        <x:v>743.4590036234202</x:v>
      </x:c>
      <x:c r="K1793" s="136" t="str">
        <x:v>map-84</x:v>
      </x:c>
      <x:c r="L1793" s="136" t="str">
        <x:v>HarpersFerry | Skirmish | Bolivar Heights Redoubt||Artillery | USA Spawnpoint_BHR_USA_Arty_Rigby_Forward [map-84/007]</x:v>
      </x:c>
      <x:c r="M1793" s="35"/>
      <x:c r="N1793" s="35"/>
      <x:c r="O1793" s="35"/>
      <x:c r="P1793" s="35"/>
      <x:c r="Q1793" s="35"/>
      <x:c r="R1793" s="35"/>
      <x:c r="S1793" s="35"/>
      <x:c r="T1793" s="35"/>
      <x:c r="U1793" s="35"/>
      <x:c r="V1793" s="35"/>
      <x:c r="W1793" s="35"/>
      <x:c r="X1793" s="35"/>
      <x:c r="Y1793" s="35"/>
      <x:c r="Z1793" s="35"/>
      <x:c r="AA1793" s="35"/>
    </x:row>
    <x:row r="1794">
      <x:c r="A1794" s="136" t="str">
        <x:v>HarpersFerry | Skirmish | Bolivar Heights Redoubt</x:v>
      </x:c>
      <x:c r="B1794" s="136" t="str">
        <x:v>Artillery | USA Spawnpoint_BHR_USA_Arty_Potts_Forward [map-84/008]</x:v>
      </x:c>
      <x:c r="C1794" s="136" t="str">
        <x:v>battery</x:v>
      </x:c>
      <x:c r="D1794" s="136" t="str">
        <x:v>USA</x:v>
      </x:c>
      <x:c r="E1794" s="136" t="str">
        <x:v>Spawnpoint_BHR_USA_Arty_Potts_Forward</x:v>
      </x:c>
      <x:c r="F1794" s="137" t="n">
        <x:v>735.2102661132812</x:v>
      </x:c>
      <x:c r="G1794" s="137" t="n">
        <x:v>1720.2200927734375</x:v>
      </x:c>
      <x:c r="H1794" s="137" t="n">
        <x:v>154.56317138671875</x:v>
      </x:c>
      <x:c r="I1794" s="137" t="n">
        <x:v>1143.122988197425</x:v>
      </x:c>
      <x:c r="J1794" s="137" t="n">
        <x:v>840.2285642338661</x:v>
      </x:c>
      <x:c r="K1794" s="136" t="str">
        <x:v>map-84</x:v>
      </x:c>
      <x:c r="L1794" s="136" t="str">
        <x:v>HarpersFerry | Skirmish | Bolivar Heights Redoubt||Artillery | USA Spawnpoint_BHR_USA_Arty_Potts_Forward [map-84/008]</x:v>
      </x:c>
      <x:c r="M1794" s="35"/>
      <x:c r="N1794" s="35"/>
      <x:c r="O1794" s="35"/>
      <x:c r="P1794" s="35"/>
      <x:c r="Q1794" s="35"/>
      <x:c r="R1794" s="35"/>
      <x:c r="S1794" s="35"/>
      <x:c r="T1794" s="35"/>
      <x:c r="U1794" s="35"/>
      <x:c r="V1794" s="35"/>
      <x:c r="W1794" s="35"/>
      <x:c r="X1794" s="35"/>
      <x:c r="Y1794" s="35"/>
      <x:c r="Z1794" s="35"/>
      <x:c r="AA1794" s="35"/>
    </x:row>
    <x:row r="1795">
      <x:c r="A1795" s="136" t="str">
        <x:v>HarpersFerry | Skirmish | Bolivar Heights Redoubt</x:v>
      </x:c>
      <x:c r="B1795" s="136" t="str">
        <x:v>Spawn | USA Spawnpoint_BHR_Base_USA_39thNY [map-84/009]</x:v>
      </x:c>
      <x:c r="C1795" s="136" t="str">
        <x:v>spawn</x:v>
      </x:c>
      <x:c r="D1795" s="136" t="str">
        <x:v>USA</x:v>
      </x:c>
      <x:c r="E1795" s="136" t="str">
        <x:v>Spawnpoint_BHR_Base_USA_39thNY</x:v>
      </x:c>
      <x:c r="F1795" s="137" t="n">
        <x:v>797.99462890625</x:v>
      </x:c>
      <x:c r="G1795" s="137" t="n">
        <x:v>1901.4202880859375</x:v>
      </x:c>
      <x:c r="H1795" s="137" t="n">
        <x:v>160.45477294921875</x:v>
      </x:c>
      <x:c r="I1795" s="137" t="n">
        <x:v>1281.0869098712446</x:v>
      </x:c>
      <x:c r="J1795" s="137" t="n">
        <x:v>442.4815114968388</x:v>
      </x:c>
      <x:c r="K1795" s="136" t="str">
        <x:v>map-84</x:v>
      </x:c>
      <x:c r="L1795" s="136" t="str">
        <x:v>HarpersFerry | Skirmish | Bolivar Heights Redoubt||Spawn | USA Spawnpoint_BHR_Base_USA_39thNY [map-84/009]</x:v>
      </x:c>
      <x:c r="M1795" s="35"/>
      <x:c r="N1795" s="35"/>
      <x:c r="O1795" s="35"/>
      <x:c r="P1795" s="35"/>
      <x:c r="Q1795" s="35"/>
      <x:c r="R1795" s="35"/>
      <x:c r="S1795" s="35"/>
      <x:c r="T1795" s="35"/>
      <x:c r="U1795" s="35"/>
      <x:c r="V1795" s="35"/>
      <x:c r="W1795" s="35"/>
      <x:c r="X1795" s="35"/>
      <x:c r="Y1795" s="35"/>
      <x:c r="Z1795" s="35"/>
      <x:c r="AA1795" s="35"/>
    </x:row>
    <x:row r="1796">
      <x:c r="A1796" s="136" t="str">
        <x:v>HarpersFerry | Skirmish | Bolivar Heights Redoubt</x:v>
      </x:c>
      <x:c r="B1796" s="136" t="str">
        <x:v>Artillery | USA Spawnpoint_BHR_USA_Arty_Base [map-84/010]</x:v>
      </x:c>
      <x:c r="C1796" s="136" t="str">
        <x:v>battery</x:v>
      </x:c>
      <x:c r="D1796" s="136" t="str">
        <x:v>USA</x:v>
      </x:c>
      <x:c r="E1796" s="136" t="str">
        <x:v>Spawnpoint_BHR_USA_Arty_Base</x:v>
      </x:c>
      <x:c r="F1796" s="137" t="n">
        <x:v>790.8760375976562</x:v>
      </x:c>
      <x:c r="G1796" s="137" t="n">
        <x:v>1920.928466796875</x:v>
      </x:c>
      <x:c r="H1796" s="137" t="n">
        <x:v>162.14572143554688</x:v>
      </x:c>
      <x:c r="I1796" s="137" t="n">
        <x:v>1265.4443401287554</x:v>
      </x:c>
      <x:c r="J1796" s="137" t="n">
        <x:v>399.6597001121391</x:v>
      </x:c>
      <x:c r="K1796" s="136" t="str">
        <x:v>map-84</x:v>
      </x:c>
      <x:c r="L1796" s="136" t="str">
        <x:v>HarpersFerry | Skirmish | Bolivar Heights Redoubt||Artillery | USA Spawnpoint_BHR_USA_Arty_Base [map-84/010]</x:v>
      </x:c>
      <x:c r="M1796" s="35"/>
      <x:c r="N1796" s="35"/>
      <x:c r="O1796" s="35"/>
      <x:c r="P1796" s="35"/>
      <x:c r="Q1796" s="35"/>
      <x:c r="R1796" s="35"/>
      <x:c r="S1796" s="35"/>
      <x:c r="T1796" s="35"/>
      <x:c r="U1796" s="35"/>
      <x:c r="V1796" s="35"/>
      <x:c r="W1796" s="35"/>
      <x:c r="X1796" s="35"/>
      <x:c r="Y1796" s="35"/>
      <x:c r="Z1796" s="35"/>
      <x:c r="AA1796" s="35"/>
    </x:row>
    <x:row r="1797">
      <x:c r="A1797" s="136" t="str">
        <x:v>HarpersFerry | Skirmish | Bolivar Heights Redoubt</x:v>
      </x:c>
      <x:c r="B1797" s="136" t="str">
        <x:v>Spawn | USA Spawnpoint_BHR_Base_USA_39thNY-2 [map-84/011]</x:v>
      </x:c>
      <x:c r="C1797" s="136" t="str">
        <x:v>spawn</x:v>
      </x:c>
      <x:c r="D1797" s="136" t="str">
        <x:v>USA</x:v>
      </x:c>
      <x:c r="E1797" s="136" t="str">
        <x:v>Spawnpoint_BHR_Base_USA_39thNY-2</x:v>
      </x:c>
      <x:c r="F1797" s="137" t="n">
        <x:v>815.7382202148438</x:v>
      </x:c>
      <x:c r="G1797" s="137" t="n">
        <x:v>1896.2489013671875</x:v>
      </x:c>
      <x:c r="H1797" s="137" t="n">
        <x:v>157.94805908203125</x:v>
      </x:c>
      <x:c r="I1797" s="137" t="n">
        <x:v>1320.0771190987125</x:v>
      </x:c>
      <x:c r="J1797" s="137" t="n">
        <x:v>453.83306562954186</x:v>
      </x:c>
      <x:c r="K1797" s="136" t="str">
        <x:v>map-84</x:v>
      </x:c>
      <x:c r="L1797" s="136" t="str">
        <x:v>HarpersFerry | Skirmish | Bolivar Heights Redoubt||Spawn | USA Spawnpoint_BHR_Base_USA_39thNY-2 [map-84/011]</x:v>
      </x:c>
      <x:c r="M1797" s="35"/>
      <x:c r="N1797" s="35"/>
      <x:c r="O1797" s="35"/>
      <x:c r="P1797" s="35"/>
      <x:c r="Q1797" s="35"/>
      <x:c r="R1797" s="35"/>
      <x:c r="S1797" s="35"/>
      <x:c r="T1797" s="35"/>
      <x:c r="U1797" s="35"/>
      <x:c r="V1797" s="35"/>
      <x:c r="W1797" s="35"/>
      <x:c r="X1797" s="35"/>
      <x:c r="Y1797" s="35"/>
      <x:c r="Z1797" s="35"/>
      <x:c r="AA1797" s="35"/>
    </x:row>
    <x:row r="1798">
      <x:c r="A1798" s="136" t="str">
        <x:v>HarpersFerry | Skirmish | Bolivar Heights Redoubt</x:v>
      </x:c>
      <x:c r="B1798" s="136" t="str">
        <x:v>Spawn | USA Spawnpoint_BHR_Base_USA_32ndOH [map-84/012]</x:v>
      </x:c>
      <x:c r="C1798" s="136" t="str">
        <x:v>spawn</x:v>
      </x:c>
      <x:c r="D1798" s="136" t="str">
        <x:v>USA</x:v>
      </x:c>
      <x:c r="E1798" s="136" t="str">
        <x:v>Spawnpoint_BHR_Base_USA_32ndOH</x:v>
      </x:c>
      <x:c r="F1798" s="137" t="n">
        <x:v>775.8555908203125</x:v>
      </x:c>
      <x:c r="G1798" s="137" t="n">
        <x:v>1904.45947265625</x:v>
      </x:c>
      <x:c r="H1798" s="137" t="n">
        <x:v>162.5306396484375</x:v>
      </x:c>
      <x:c r="I1798" s="137" t="n">
        <x:v>1232.4380364806868</x:v>
      </x:c>
      <x:c r="J1798" s="137" t="n">
        <x:v>435.81028962822603</x:v>
      </x:c>
      <x:c r="K1798" s="136" t="str">
        <x:v>map-84</x:v>
      </x:c>
      <x:c r="L1798" s="136" t="str">
        <x:v>HarpersFerry | Skirmish | Bolivar Heights Redoubt||Spawn | USA Spawnpoint_BHR_Base_USA_32ndOH [map-84/012]</x:v>
      </x:c>
      <x:c r="M1798" s="35"/>
      <x:c r="N1798" s="35"/>
      <x:c r="O1798" s="35"/>
      <x:c r="P1798" s="35"/>
      <x:c r="Q1798" s="35"/>
      <x:c r="R1798" s="35"/>
      <x:c r="S1798" s="35"/>
      <x:c r="T1798" s="35"/>
      <x:c r="U1798" s="35"/>
      <x:c r="V1798" s="35"/>
      <x:c r="W1798" s="35"/>
      <x:c r="X1798" s="35"/>
      <x:c r="Y1798" s="35"/>
      <x:c r="Z1798" s="35"/>
      <x:c r="AA1798" s="35"/>
    </x:row>
    <x:row r="1799">
      <x:c r="A1799" s="136" t="str">
        <x:v>HarpersFerry | Skirmish | Bolivar Heights Redoubt</x:v>
      </x:c>
      <x:c r="B1799" s="136" t="str">
        <x:v>Spawn | CSA Spawnpoint_BHR_Base_CSA_1stLaZo [map-84/013]</x:v>
      </x:c>
      <x:c r="C1799" s="136" t="str">
        <x:v>spawn</x:v>
      </x:c>
      <x:c r="D1799" s="136" t="str">
        <x:v>CSA</x:v>
      </x:c>
      <x:c r="E1799" s="136" t="str">
        <x:v>Spawnpoint_BHR_Base_CSA_1stLaZo</x:v>
      </x:c>
      <x:c r="F1799" s="137" t="n">
        <x:v>461.5650939941406</x:v>
      </x:c>
      <x:c r="G1799" s="137" t="n">
        <x:v>1463.4119873046875</x:v>
      </x:c>
      <x:c r="H1799" s="137" t="n">
        <x:v>145.53944396972656</x:v>
      </x:c>
      <x:c r="I1799" s="137" t="n">
        <x:v>541.8082752145923</x:v>
      </x:c>
      <x:c r="J1799" s="137" t="n">
        <x:v>1403.94024728705</x:v>
      </x:c>
      <x:c r="K1799" s="136" t="str">
        <x:v>map-84</x:v>
      </x:c>
      <x:c r="L1799" s="136" t="str">
        <x:v>HarpersFerry | Skirmish | Bolivar Heights Redoubt||Spawn | CSA Spawnpoint_BHR_Base_CSA_1stLaZo [map-84/013]</x:v>
      </x:c>
      <x:c r="M1799" s="35"/>
      <x:c r="N1799" s="35"/>
      <x:c r="O1799" s="35"/>
      <x:c r="P1799" s="35"/>
      <x:c r="Q1799" s="35"/>
      <x:c r="R1799" s="35"/>
      <x:c r="S1799" s="35"/>
      <x:c r="T1799" s="35"/>
      <x:c r="U1799" s="35"/>
      <x:c r="V1799" s="35"/>
      <x:c r="W1799" s="35"/>
      <x:c r="X1799" s="35"/>
      <x:c r="Y1799" s="35"/>
      <x:c r="Z1799" s="35"/>
      <x:c r="AA1799" s="35"/>
    </x:row>
    <x:row r="1800">
      <x:c r="A1800" s="136" t="str">
        <x:v>HarpersFerry | Skirmish | Bolivar Heights Redoubt</x:v>
      </x:c>
      <x:c r="B1800" s="136" t="str">
        <x:v>Artillery | CSA Spawnpoint_BHR_CSA_Arty_Base [map-84/014]</x:v>
      </x:c>
      <x:c r="C1800" s="136" t="str">
        <x:v>battery</x:v>
      </x:c>
      <x:c r="D1800" s="136" t="str">
        <x:v>CSA</x:v>
      </x:c>
      <x:c r="E1800" s="136" t="str">
        <x:v>Spawnpoint_BHR_CSA_Arty_Base</x:v>
      </x:c>
      <x:c r="F1800" s="137" t="n">
        <x:v>408.6539611816406</x:v>
      </x:c>
      <x:c r="G1800" s="137" t="n">
        <x:v>1483.5819091796875</x:v>
      </x:c>
      <x:c r="H1800" s="137" t="n">
        <x:v>142.09254455566406</x:v>
      </x:c>
      <x:c r="I1800" s="137" t="n">
        <x:v>425.54003487124464</x:v>
      </x:c>
      <x:c r="J1800" s="137" t="n">
        <x:v>1359.6658635542863</x:v>
      </x:c>
      <x:c r="K1800" s="136" t="str">
        <x:v>map-84</x:v>
      </x:c>
      <x:c r="L1800" s="136" t="str">
        <x:v>HarpersFerry | Skirmish | Bolivar Heights Redoubt||Artillery | CSA Spawnpoint_BHR_CSA_Arty_Base [map-84/014]</x:v>
      </x:c>
      <x:c r="M1800" s="35"/>
      <x:c r="N1800" s="35"/>
      <x:c r="O1800" s="35"/>
      <x:c r="P1800" s="35"/>
      <x:c r="Q1800" s="35"/>
      <x:c r="R1800" s="35"/>
      <x:c r="S1800" s="35"/>
      <x:c r="T1800" s="35"/>
      <x:c r="U1800" s="35"/>
      <x:c r="V1800" s="35"/>
      <x:c r="W1800" s="35"/>
      <x:c r="X1800" s="35"/>
      <x:c r="Y1800" s="35"/>
      <x:c r="Z1800" s="35"/>
      <x:c r="AA1800" s="35"/>
    </x:row>
    <x:row r="1801">
      <x:c r="A1801" s="136" t="str">
        <x:v>HarpersFerry | Skirmish | Bolivar Heights Redoubt</x:v>
      </x:c>
      <x:c r="B1801" s="136" t="str">
        <x:v>Spawn | CSA Spawnpoint_BHR_Base_CSA_9thLA-2 [map-84/015]</x:v>
      </x:c>
      <x:c r="C1801" s="136" t="str">
        <x:v>spawn</x:v>
      </x:c>
      <x:c r="D1801" s="136" t="str">
        <x:v>CSA</x:v>
      </x:c>
      <x:c r="E1801" s="136" t="str">
        <x:v>Spawnpoint_BHR_Base_CSA_9thLA-2</x:v>
      </x:c>
      <x:c r="F1801" s="137" t="n">
        <x:v>443.68994140625</x:v>
      </x:c>
      <x:c r="G1801" s="137" t="n">
        <x:v>1469.0316162109375</x:v>
      </x:c>
      <x:c r="H1801" s="137" t="n">
        <x:v>144.4588623046875</x:v>
      </x:c>
      <x:c r="I1801" s="137" t="n">
        <x:v>502.5289699570816</x:v>
      </x:c>
      <x:c r="J1801" s="137" t="n">
        <x:v>1391.6047703242248</x:v>
      </x:c>
      <x:c r="K1801" s="136" t="str">
        <x:v>map-84</x:v>
      </x:c>
      <x:c r="L1801" s="136" t="str">
        <x:v>HarpersFerry | Skirmish | Bolivar Heights Redoubt||Spawn | CSA Spawnpoint_BHR_Base_CSA_9thLA-2 [map-84/015]</x:v>
      </x:c>
      <x:c r="M1801" s="35"/>
      <x:c r="N1801" s="35"/>
      <x:c r="O1801" s="35"/>
      <x:c r="P1801" s="35"/>
      <x:c r="Q1801" s="35"/>
      <x:c r="R1801" s="35"/>
      <x:c r="S1801" s="35"/>
      <x:c r="T1801" s="35"/>
      <x:c r="U1801" s="35"/>
      <x:c r="V1801" s="35"/>
      <x:c r="W1801" s="35"/>
      <x:c r="X1801" s="35"/>
      <x:c r="Y1801" s="35"/>
      <x:c r="Z1801" s="35"/>
      <x:c r="AA1801" s="35"/>
    </x:row>
    <x:row r="1802">
      <x:c r="A1802" s="136" t="str">
        <x:v>HarpersFerry | Skirmish | Bolivar Heights Redoubt</x:v>
      </x:c>
      <x:c r="B1802" s="136" t="str">
        <x:v>Artillery | CSA Spawnpoint_BHR_CSA_Arty_Walker_Forward [map-84/016]</x:v>
      </x:c>
      <x:c r="C1802" s="136" t="str">
        <x:v>battery</x:v>
      </x:c>
      <x:c r="D1802" s="136" t="str">
        <x:v>CSA</x:v>
      </x:c>
      <x:c r="E1802" s="136" t="str">
        <x:v>Spawnpoint_BHR_CSA_Arty_Walker_Forward</x:v>
      </x:c>
      <x:c r="F1802" s="137" t="n">
        <x:v>679.4701538085938</x:v>
      </x:c>
      <x:c r="G1802" s="137" t="n">
        <x:v>1318.199951171875</x:v>
      </x:c>
      <x:c r="H1802" s="137" t="n">
        <x:v>140.48220825195312</x:v>
      </x:c>
      <x:c r="I1802" s="137" t="n">
        <x:v>1020.6382778969958</x:v>
      </x:c>
      <x:c r="J1802" s="137" t="n">
        <x:v>1722.6907833676505</x:v>
      </x:c>
      <x:c r="K1802" s="136" t="str">
        <x:v>map-84</x:v>
      </x:c>
      <x:c r="L1802" s="136" t="str">
        <x:v>HarpersFerry | Skirmish | Bolivar Heights Redoubt||Artillery | CSA Spawnpoint_BHR_CSA_Arty_Walker_Forward [map-84/016]</x:v>
      </x:c>
      <x:c r="M1802" s="35"/>
      <x:c r="N1802" s="35"/>
      <x:c r="O1802" s="35"/>
      <x:c r="P1802" s="35"/>
      <x:c r="Q1802" s="35"/>
      <x:c r="R1802" s="35"/>
      <x:c r="S1802" s="35"/>
      <x:c r="T1802" s="35"/>
      <x:c r="U1802" s="35"/>
      <x:c r="V1802" s="35"/>
      <x:c r="W1802" s="35"/>
      <x:c r="X1802" s="35"/>
      <x:c r="Y1802" s="35"/>
      <x:c r="Z1802" s="35"/>
      <x:c r="AA1802" s="35"/>
    </x:row>
    <x:row r="1803">
      <x:c r="A1803" s="136" t="str">
        <x:v>HarpersFerry | Skirmish | Bolivar Heights Redoubt</x:v>
      </x:c>
      <x:c r="B1803" s="136" t="str">
        <x:v>Spawn | USA Spawnpoint_BHR_Defend_USA_32ndOH [map-84/017]</x:v>
      </x:c>
      <x:c r="C1803" s="136" t="str">
        <x:v>spawn</x:v>
      </x:c>
      <x:c r="D1803" s="136" t="str">
        <x:v>USA</x:v>
      </x:c>
      <x:c r="E1803" s="136" t="str">
        <x:v>Spawnpoint_BHR_Defend_USA_32ndOH</x:v>
      </x:c>
      <x:c r="F1803" s="137" t="n">
        <x:v>691.3885498046875</x:v>
      </x:c>
      <x:c r="G1803" s="137" t="n">
        <x:v>1734.65869140625</x:v>
      </x:c>
      <x:c r="H1803" s="137" t="n">
        <x:v>162.8641815185547</x:v>
      </x:c>
      <x:c r="I1803" s="137" t="n">
        <x:v>1046.8280579399143</x:v>
      </x:c>
      <x:c r="J1803" s="137" t="n">
        <x:v>808.5348343129367</x:v>
      </x:c>
      <x:c r="K1803" s="136" t="str">
        <x:v>map-84</x:v>
      </x:c>
      <x:c r="L1803" s="136" t="str">
        <x:v>HarpersFerry | Skirmish | Bolivar Heights Redoubt||Spawn | USA Spawnpoint_BHR_Defend_USA_32ndOH [map-84/017]</x:v>
      </x:c>
      <x:c r="M1803" s="35"/>
      <x:c r="N1803" s="35"/>
      <x:c r="O1803" s="35"/>
      <x:c r="P1803" s="35"/>
      <x:c r="Q1803" s="35"/>
      <x:c r="R1803" s="35"/>
      <x:c r="S1803" s="35"/>
      <x:c r="T1803" s="35"/>
      <x:c r="U1803" s="35"/>
      <x:c r="V1803" s="35"/>
      <x:c r="W1803" s="35"/>
      <x:c r="X1803" s="35"/>
      <x:c r="Y1803" s="35"/>
      <x:c r="Z1803" s="35"/>
      <x:c r="AA1803" s="35"/>
    </x:row>
    <x:row r="1804">
      <x:c r="A1804" s="136" t="str">
        <x:v>HarpersFerry | Skirmish | Bolivar Heights Redoubt</x:v>
      </x:c>
      <x:c r="B1804" s="136" t="str">
        <x:v>Spawn | USA Spawnpoint_BHR_Base_USA_32ndOH-2 [map-84/018]</x:v>
      </x:c>
      <x:c r="C1804" s="136" t="str">
        <x:v>spawn</x:v>
      </x:c>
      <x:c r="D1804" s="136" t="str">
        <x:v>USA</x:v>
      </x:c>
      <x:c r="E1804" s="136" t="str">
        <x:v>Spawnpoint_BHR_Base_USA_32ndOH-2</x:v>
      </x:c>
      <x:c r="F1804" s="137" t="n">
        <x:v>761.6884765625</x:v>
      </x:c>
      <x:c r="G1804" s="137" t="n">
        <x:v>1908.5819091796875</x:v>
      </x:c>
      <x:c r="H1804" s="137" t="n">
        <x:v>163.24380493164062</x:v>
      </x:c>
      <x:c r="I1804" s="137" t="n">
        <x:v>1201.3068669527897</x:v>
      </x:c>
      <x:c r="J1804" s="137" t="n">
        <x:v>426.76125425348533</x:v>
      </x:c>
      <x:c r="K1804" s="136" t="str">
        <x:v>map-84</x:v>
      </x:c>
      <x:c r="L1804" s="136" t="str">
        <x:v>HarpersFerry | Skirmish | Bolivar Heights Redoubt||Spawn | USA Spawnpoint_BHR_Base_USA_32ndOH-2 [map-84/018]</x:v>
      </x:c>
      <x:c r="M1804" s="35"/>
      <x:c r="N1804" s="35"/>
      <x:c r="O1804" s="35"/>
      <x:c r="P1804" s="35"/>
      <x:c r="Q1804" s="35"/>
      <x:c r="R1804" s="35"/>
      <x:c r="S1804" s="35"/>
      <x:c r="T1804" s="35"/>
      <x:c r="U1804" s="35"/>
      <x:c r="V1804" s="35"/>
      <x:c r="W1804" s="35"/>
      <x:c r="X1804" s="35"/>
      <x:c r="Y1804" s="35"/>
      <x:c r="Z1804" s="35"/>
      <x:c r="AA1804" s="35"/>
    </x:row>
    <x:row r="1805">
      <x:c r="A1805" s="136" t="str">
        <x:v>HarpersFerry | Skirmish | Bolivar Heights Redoubt</x:v>
      </x:c>
      <x:c r="B1805" s="136" t="str">
        <x:v>Gun | 12-pounder Napoleon (CSA) · 3InchOrdnanceRifle-31 [map-84/019]</x:v>
      </x:c>
      <x:c r="C1805" s="136" t="str">
        <x:v>gun_spawn</x:v>
      </x:c>
      <x:c r="D1805" s="136" t="str"/>
      <x:c r="E1805" s="136" t="str">
        <x:v>12-pounder Napoleon (CSA) · 3InchOrdnanceRifle-31</x:v>
      </x:c>
      <x:c r="F1805" s="137" t="n">
        <x:v>510.0087585449219</x:v>
      </x:c>
      <x:c r="G1805" s="137" t="n">
        <x:v>1495.8790283203125</x:v>
      </x:c>
      <x:c r="H1805" s="137" t="n">
        <x:v>149.85244750976562</x:v>
      </x:c>
      <x:c r="I1805" s="137" t="n">
        <x:v>648.2595895922747</x:v>
      </x:c>
      <x:c r="J1805" s="137" t="n">
        <x:v>1332.6728303133211</x:v>
      </x:c>
      <x:c r="K1805" s="136" t="str">
        <x:v>map-84</x:v>
      </x:c>
      <x:c r="L1805" s="136" t="str">
        <x:v>HarpersFerry | Skirmish | Bolivar Heights Redoubt||Gun | 12-pounder Napoleon (CSA) · 3InchOrdnanceRifle-31 [map-84/019]</x:v>
      </x:c>
      <x:c r="M1805" s="35"/>
      <x:c r="N1805" s="35"/>
      <x:c r="O1805" s="35"/>
      <x:c r="P1805" s="35"/>
      <x:c r="Q1805" s="35"/>
      <x:c r="R1805" s="35"/>
      <x:c r="S1805" s="35"/>
      <x:c r="T1805" s="35"/>
      <x:c r="U1805" s="35"/>
      <x:c r="V1805" s="35"/>
      <x:c r="W1805" s="35"/>
      <x:c r="X1805" s="35"/>
      <x:c r="Y1805" s="35"/>
      <x:c r="Z1805" s="35"/>
      <x:c r="AA1805" s="35"/>
    </x:row>
    <x:row r="1806">
      <x:c r="A1806" s="136" t="str">
        <x:v>HarpersFerry | Skirmish | Bolivar Heights Redoubt</x:v>
      </x:c>
      <x:c r="B1806" s="136" t="str">
        <x:v>Gun | 10-pounder Parrott · 3InchOrdnanceRifle-32 [map-84/020]</x:v>
      </x:c>
      <x:c r="C1806" s="136" t="str">
        <x:v>gun_spawn</x:v>
      </x:c>
      <x:c r="D1806" s="136" t="str"/>
      <x:c r="E1806" s="136" t="str">
        <x:v>10-pounder Parrott · 3InchOrdnanceRifle-32</x:v>
      </x:c>
      <x:c r="F1806" s="137" t="n">
        <x:v>491.6592102050781</x:v>
      </x:c>
      <x:c r="G1806" s="137" t="n">
        <x:v>1511.5816650390625</x:v>
      </x:c>
      <x:c r="H1806" s="137" t="n">
        <x:v>149.04957580566406</x:v>
      </x:c>
      <x:c r="I1806" s="137" t="n">
        <x:v>607.9378353004292</x:v>
      </x:c>
      <x:c r="J1806" s="137" t="n">
        <x:v>1298.2044487295614</x:v>
      </x:c>
      <x:c r="K1806" s="136" t="str">
        <x:v>map-84</x:v>
      </x:c>
      <x:c r="L1806" s="136" t="str">
        <x:v>HarpersFerry | Skirmish | Bolivar Heights Redoubt||Gun | 10-pounder Parrott · 3InchOrdnanceRifle-32 [map-84/020]</x:v>
      </x:c>
      <x:c r="M1806" s="35"/>
      <x:c r="N1806" s="35"/>
      <x:c r="O1806" s="35"/>
      <x:c r="P1806" s="35"/>
      <x:c r="Q1806" s="35"/>
      <x:c r="R1806" s="35"/>
      <x:c r="S1806" s="35"/>
      <x:c r="T1806" s="35"/>
      <x:c r="U1806" s="35"/>
      <x:c r="V1806" s="35"/>
      <x:c r="W1806" s="35"/>
      <x:c r="X1806" s="35"/>
      <x:c r="Y1806" s="35"/>
      <x:c r="Z1806" s="35"/>
      <x:c r="AA1806" s="35"/>
    </x:row>
    <x:row r="1807">
      <x:c r="A1807" s="136" t="str">
        <x:v>HarpersFerry | Skirmish | Bolivar Heights Redoubt</x:v>
      </x:c>
      <x:c r="B1807" s="136" t="str">
        <x:v>Gun | 3-inch Ordnance · 3InchOrdnanceRifle-26 [map-84/021]</x:v>
      </x:c>
      <x:c r="C1807" s="136" t="str">
        <x:v>gun_spawn</x:v>
      </x:c>
      <x:c r="D1807" s="136" t="str"/>
      <x:c r="E1807" s="136" t="str">
        <x:v>3-inch Ordnance · 3InchOrdnanceRifle-26</x:v>
      </x:c>
      <x:c r="F1807" s="137" t="n">
        <x:v>662.2481689453125</x:v>
      </x:c>
      <x:c r="G1807" s="137" t="n">
        <x:v>1358.450439453125</x:v>
      </x:c>
      <x:c r="H1807" s="137" t="n">
        <x:v>143.09640502929688</x:v>
      </x:c>
      <x:c r="I1807" s="137" t="n">
        <x:v>982.7942596566523</x:v>
      </x:c>
      <x:c r="J1807" s="137" t="n">
        <x:v>1634.3381573813303</x:v>
      </x:c>
      <x:c r="K1807" s="136" t="str">
        <x:v>map-84</x:v>
      </x:c>
      <x:c r="L1807" s="136" t="str">
        <x:v>HarpersFerry | Skirmish | Bolivar Heights Redoubt||Gun | 3-inch Ordnance · 3InchOrdnanceRifle-26 [map-84/021]</x:v>
      </x:c>
      <x:c r="M1807" s="35"/>
      <x:c r="N1807" s="35"/>
      <x:c r="O1807" s="35"/>
      <x:c r="P1807" s="35"/>
      <x:c r="Q1807" s="35"/>
      <x:c r="R1807" s="35"/>
      <x:c r="S1807" s="35"/>
      <x:c r="T1807" s="35"/>
      <x:c r="U1807" s="35"/>
      <x:c r="V1807" s="35"/>
      <x:c r="W1807" s="35"/>
      <x:c r="X1807" s="35"/>
      <x:c r="Y1807" s="35"/>
      <x:c r="Z1807" s="35"/>
      <x:c r="AA1807" s="35"/>
    </x:row>
    <x:row r="1808">
      <x:c r="A1808" s="136" t="str">
        <x:v>HarpersFerry | Skirmish | Bolivar Heights Redoubt</x:v>
      </x:c>
      <x:c r="B1808" s="136" t="str">
        <x:v>Gun | 10-pounder Parrott · 3InchOrdnanceRifle-28 [map-84/022]</x:v>
      </x:c>
      <x:c r="C1808" s="136" t="str">
        <x:v>gun_spawn</x:v>
      </x:c>
      <x:c r="D1808" s="136" t="str"/>
      <x:c r="E1808" s="136" t="str">
        <x:v>10-pounder Parrott · 3InchOrdnanceRifle-28</x:v>
      </x:c>
      <x:c r="F1808" s="137" t="n">
        <x:v>496.2392578125</x:v>
      </x:c>
      <x:c r="G1808" s="137" t="n">
        <x:v>1507.783447265625</x:v>
      </x:c>
      <x:c r="H1808" s="137" t="n">
        <x:v>149.51611328125</x:v>
      </x:c>
      <x:c r="I1808" s="137" t="n">
        <x:v>618.0021459227468</x:v>
      </x:c>
      <x:c r="J1808" s="137" t="n">
        <x:v>1306.5418013600745</x:v>
      </x:c>
      <x:c r="K1808" s="136" t="str">
        <x:v>map-84</x:v>
      </x:c>
      <x:c r="L1808" s="136" t="str">
        <x:v>HarpersFerry | Skirmish | Bolivar Heights Redoubt||Gun | 10-pounder Parrott · 3InchOrdnanceRifle-28 [map-84/022]</x:v>
      </x:c>
      <x:c r="M1808" s="35"/>
      <x:c r="N1808" s="35"/>
      <x:c r="O1808" s="35"/>
      <x:c r="P1808" s="35"/>
      <x:c r="Q1808" s="35"/>
      <x:c r="R1808" s="35"/>
      <x:c r="S1808" s="35"/>
      <x:c r="T1808" s="35"/>
      <x:c r="U1808" s="35"/>
      <x:c r="V1808" s="35"/>
      <x:c r="W1808" s="35"/>
      <x:c r="X1808" s="35"/>
      <x:c r="Y1808" s="35"/>
      <x:c r="Z1808" s="35"/>
      <x:c r="AA1808" s="35"/>
    </x:row>
    <x:row r="1809">
      <x:c r="A1809" s="136" t="str">
        <x:v>HarpersFerry | Skirmish | Bolivar Heights Redoubt</x:v>
      </x:c>
      <x:c r="B1809" s="136" t="str">
        <x:v>Gun | 12-pounder Napoleon (USA) · 3InchOrdnanceRifle-33 [map-84/023]</x:v>
      </x:c>
      <x:c r="C1809" s="136" t="str">
        <x:v>gun_spawn</x:v>
      </x:c>
      <x:c r="D1809" s="136" t="str"/>
      <x:c r="E1809" s="136" t="str">
        <x:v>12-pounder Napoleon (USA) · 3InchOrdnanceRifle-33</x:v>
      </x:c>
      <x:c r="F1809" s="137" t="n">
        <x:v>516.3684692382812</x:v>
      </x:c>
      <x:c r="G1809" s="137" t="n">
        <x:v>1490.2115478515625</x:v>
      </x:c>
      <x:c r="H1809" s="137" t="n">
        <x:v>149.70982360839844</x:v>
      </x:c>
      <x:c r="I1809" s="137" t="n">
        <x:v>662.2345761802576</x:v>
      </x:c>
      <x:c r="J1809" s="137" t="n">
        <x:v>1345.1133447896013</x:v>
      </x:c>
      <x:c r="K1809" s="136" t="str">
        <x:v>map-84</x:v>
      </x:c>
      <x:c r="L1809" s="136" t="str">
        <x:v>HarpersFerry | Skirmish | Bolivar Heights Redoubt||Gun | 12-pounder Napoleon (USA) · 3InchOrdnanceRifle-33 [map-84/023]</x:v>
      </x:c>
      <x:c r="M1809" s="35"/>
      <x:c r="N1809" s="35"/>
      <x:c r="O1809" s="35"/>
      <x:c r="P1809" s="35"/>
      <x:c r="Q1809" s="35"/>
      <x:c r="R1809" s="35"/>
      <x:c r="S1809" s="35"/>
      <x:c r="T1809" s="35"/>
      <x:c r="U1809" s="35"/>
      <x:c r="V1809" s="35"/>
      <x:c r="W1809" s="35"/>
      <x:c r="X1809" s="35"/>
      <x:c r="Y1809" s="35"/>
      <x:c r="Z1809" s="35"/>
      <x:c r="AA1809" s="35"/>
    </x:row>
    <x:row r="1810">
      <x:c r="A1810" s="136" t="str">
        <x:v>HarpersFerry | Skirmish | Bolivar Heights Redoubt</x:v>
      </x:c>
      <x:c r="B1810" s="136" t="str">
        <x:v>Gun | 10-pounder Parrott · 3InchOrdnanceRifle-16 [map-84/024]</x:v>
      </x:c>
      <x:c r="C1810" s="136" t="str">
        <x:v>gun_spawn</x:v>
      </x:c>
      <x:c r="D1810" s="136" t="str"/>
      <x:c r="E1810" s="136" t="str">
        <x:v>10-pounder Parrott · 3InchOrdnanceRifle-16</x:v>
      </x:c>
      <x:c r="F1810" s="137" t="n">
        <x:v>681.71484375</x:v>
      </x:c>
      <x:c r="G1810" s="137" t="n">
        <x:v>1692.87060546875</x:v>
      </x:c>
      <x:c r="H1810" s="137" t="n">
        <x:v>160.7949676513672</x:v>
      </x:c>
      <x:c r="I1810" s="137" t="n">
        <x:v>1025.5708154506437</x:v>
      </x:c>
      <x:c r="J1810" s="137" t="n">
        <x:v>900.2625942775289</x:v>
      </x:c>
      <x:c r="K1810" s="136" t="str">
        <x:v>map-84</x:v>
      </x:c>
      <x:c r="L1810" s="136" t="str">
        <x:v>HarpersFerry | Skirmish | Bolivar Heights Redoubt||Gun | 10-pounder Parrott · 3InchOrdnanceRifle-16 [map-84/024]</x:v>
      </x:c>
      <x:c r="M1810" s="35"/>
      <x:c r="N1810" s="35"/>
      <x:c r="O1810" s="35"/>
      <x:c r="P1810" s="35"/>
      <x:c r="Q1810" s="35"/>
      <x:c r="R1810" s="35"/>
      <x:c r="S1810" s="35"/>
      <x:c r="T1810" s="35"/>
      <x:c r="U1810" s="35"/>
      <x:c r="V1810" s="35"/>
      <x:c r="W1810" s="35"/>
      <x:c r="X1810" s="35"/>
      <x:c r="Y1810" s="35"/>
      <x:c r="Z1810" s="35"/>
      <x:c r="AA1810" s="35"/>
    </x:row>
    <x:row r="1811">
      <x:c r="A1811" s="136" t="str">
        <x:v>HarpersFerry | Skirmish | Bolivar Heights Redoubt</x:v>
      </x:c>
      <x:c r="B1811" s="136" t="str">
        <x:v>Gun | 3-inch Ordnance · 3InchOrdnanceRifle-10 [map-84/025]</x:v>
      </x:c>
      <x:c r="C1811" s="136" t="str">
        <x:v>gun_spawn</x:v>
      </x:c>
      <x:c r="D1811" s="136" t="str"/>
      <x:c r="E1811" s="136" t="str">
        <x:v>3-inch Ordnance · 3InchOrdnanceRifle-10</x:v>
      </x:c>
      <x:c r="F1811" s="137" t="n">
        <x:v>683.3240966796875</x:v>
      </x:c>
      <x:c r="G1811" s="137" t="n">
        <x:v>1756.951416015625</x:v>
      </x:c>
      <x:c r="H1811" s="137" t="n">
        <x:v>163.32745361328125</x:v>
      </x:c>
      <x:c r="I1811" s="137" t="n">
        <x:v>1029.1070278969958</x:v>
      </x:c>
      <x:c r="J1811" s="137" t="n">
        <x:v>759.600750684797</x:v>
      </x:c>
      <x:c r="K1811" s="136" t="str">
        <x:v>map-84</x:v>
      </x:c>
      <x:c r="L1811" s="136" t="str">
        <x:v>HarpersFerry | Skirmish | Bolivar Heights Redoubt||Gun | 3-inch Ordnance · 3InchOrdnanceRifle-10 [map-84/025]</x:v>
      </x:c>
      <x:c r="M1811" s="35"/>
      <x:c r="N1811" s="35"/>
      <x:c r="O1811" s="35"/>
      <x:c r="P1811" s="35"/>
      <x:c r="Q1811" s="35"/>
      <x:c r="R1811" s="35"/>
      <x:c r="S1811" s="35"/>
      <x:c r="T1811" s="35"/>
      <x:c r="U1811" s="35"/>
      <x:c r="V1811" s="35"/>
      <x:c r="W1811" s="35"/>
      <x:c r="X1811" s="35"/>
      <x:c r="Y1811" s="35"/>
      <x:c r="Z1811" s="35"/>
      <x:c r="AA1811" s="35"/>
    </x:row>
    <x:row r="1812">
      <x:c r="A1812" s="136" t="str">
        <x:v>HarpersFerry | Skirmish | Bolivar Heights Redoubt</x:v>
      </x:c>
      <x:c r="B1812" s="136" t="str">
        <x:v>Gun | 12-pounder Napoleon (CSA) · 3InchOrdnanceRifle-22 [map-84/026]</x:v>
      </x:c>
      <x:c r="C1812" s="136" t="str">
        <x:v>gun_spawn</x:v>
      </x:c>
      <x:c r="D1812" s="136" t="str"/>
      <x:c r="E1812" s="136" t="str">
        <x:v>12-pounder Napoleon (CSA) · 3InchOrdnanceRifle-22</x:v>
      </x:c>
      <x:c r="F1812" s="137" t="n">
        <x:v>694.1466064453125</x:v>
      </x:c>
      <x:c r="G1812" s="137" t="n">
        <x:v>1357.201416015625</x:v>
      </x:c>
      <x:c r="H1812" s="137" t="n">
        <x:v>141.60894775390625</x:v>
      </x:c>
      <x:c r="I1812" s="137" t="n">
        <x:v>1052.888680257511</x:v>
      </x:c>
      <x:c r="J1812" s="137" t="n">
        <x:v>1637.0798508447856</x:v>
      </x:c>
      <x:c r="K1812" s="136" t="str">
        <x:v>map-84</x:v>
      </x:c>
      <x:c r="L1812" s="136" t="str">
        <x:v>HarpersFerry | Skirmish | Bolivar Heights Redoubt||Gun | 12-pounder Napoleon (CSA) · 3InchOrdnanceRifle-22 [map-84/026]</x:v>
      </x:c>
      <x:c r="M1812" s="35"/>
      <x:c r="N1812" s="35"/>
      <x:c r="O1812" s="35"/>
      <x:c r="P1812" s="35"/>
      <x:c r="Q1812" s="35"/>
      <x:c r="R1812" s="35"/>
      <x:c r="S1812" s="35"/>
      <x:c r="T1812" s="35"/>
      <x:c r="U1812" s="35"/>
      <x:c r="V1812" s="35"/>
      <x:c r="W1812" s="35"/>
      <x:c r="X1812" s="35"/>
      <x:c r="Y1812" s="35"/>
      <x:c r="Z1812" s="35"/>
      <x:c r="AA1812" s="35"/>
    </x:row>
    <x:row r="1813">
      <x:c r="A1813" s="136" t="str">
        <x:v>HarpersFerry | Skirmish | Bolivar Heights Redoubt</x:v>
      </x:c>
      <x:c r="B1813" s="136" t="str">
        <x:v>Gun | 12-pounder Napoleon (CSA) · 3InchOrdnanceRifle-30 [map-84/027]</x:v>
      </x:c>
      <x:c r="C1813" s="136" t="str">
        <x:v>gun_spawn</x:v>
      </x:c>
      <x:c r="D1813" s="136" t="str"/>
      <x:c r="E1813" s="136" t="str">
        <x:v>12-pounder Napoleon (CSA) · 3InchOrdnanceRifle-30</x:v>
      </x:c>
      <x:c r="F1813" s="137" t="n">
        <x:v>505.7222595214844</x:v>
      </x:c>
      <x:c r="G1813" s="137" t="n">
        <x:v>1499.9208984375</x:v>
      </x:c>
      <x:c r="H1813" s="137" t="n">
        <x:v>149.88626098632812</x:v>
      </x:c>
      <x:c r="I1813" s="137" t="n">
        <x:v>638.8403299356224</x:v>
      </x:c>
      <x:c r="J1813" s="137" t="n">
        <x:v>1323.8006438132754</x:v>
      </x:c>
      <x:c r="K1813" s="136" t="str">
        <x:v>map-84</x:v>
      </x:c>
      <x:c r="L1813" s="136" t="str">
        <x:v>HarpersFerry | Skirmish | Bolivar Heights Redoubt||Gun | 12-pounder Napoleon (CSA) · 3InchOrdnanceRifle-30 [map-84/027]</x:v>
      </x:c>
      <x:c r="M1813" s="35"/>
      <x:c r="N1813" s="35"/>
      <x:c r="O1813" s="35"/>
      <x:c r="P1813" s="35"/>
      <x:c r="Q1813" s="35"/>
      <x:c r="R1813" s="35"/>
      <x:c r="S1813" s="35"/>
      <x:c r="T1813" s="35"/>
      <x:c r="U1813" s="35"/>
      <x:c r="V1813" s="35"/>
      <x:c r="W1813" s="35"/>
      <x:c r="X1813" s="35"/>
      <x:c r="Y1813" s="35"/>
      <x:c r="Z1813" s="35"/>
      <x:c r="AA1813" s="35"/>
    </x:row>
    <x:row r="1814">
      <x:c r="A1814" s="136" t="str">
        <x:v>HarpersFerry | Skirmish | Bolivar Heights Redoubt</x:v>
      </x:c>
      <x:c r="B1814" s="136" t="str">
        <x:v>Gun | 12-pounder Napoleon (USA) · 3InchOrdnanceRifle-21 [map-84/028]</x:v>
      </x:c>
      <x:c r="C1814" s="136" t="str">
        <x:v>gun_spawn</x:v>
      </x:c>
      <x:c r="D1814" s="136" t="str"/>
      <x:c r="E1814" s="136" t="str">
        <x:v>12-pounder Napoleon (USA) · 3InchOrdnanceRifle-21</x:v>
      </x:c>
      <x:c r="F1814" s="137" t="n">
        <x:v>734.99072265625</x:v>
      </x:c>
      <x:c r="G1814" s="137" t="n">
        <x:v>1692.052490234375</x:v>
      </x:c>
      <x:c r="H1814" s="137" t="n">
        <x:v>152.57833862304688</x:v>
      </x:c>
      <x:c r="I1814" s="137" t="n">
        <x:v>1142.6405579399143</x:v>
      </x:c>
      <x:c r="J1814" s="137" t="n">
        <x:v>902.0584142142058</x:v>
      </x:c>
      <x:c r="K1814" s="136" t="str">
        <x:v>map-84</x:v>
      </x:c>
      <x:c r="L1814" s="136" t="str">
        <x:v>HarpersFerry | Skirmish | Bolivar Heights Redoubt||Gun | 12-pounder Napoleon (USA) · 3InchOrdnanceRifle-21 [map-84/028]</x:v>
      </x:c>
      <x:c r="M1814" s="35"/>
      <x:c r="N1814" s="35"/>
      <x:c r="O1814" s="35"/>
      <x:c r="P1814" s="35"/>
      <x:c r="Q1814" s="35"/>
      <x:c r="R1814" s="35"/>
      <x:c r="S1814" s="35"/>
      <x:c r="T1814" s="35"/>
      <x:c r="U1814" s="35"/>
      <x:c r="V1814" s="35"/>
      <x:c r="W1814" s="35"/>
      <x:c r="X1814" s="35"/>
      <x:c r="Y1814" s="35"/>
      <x:c r="Z1814" s="35"/>
      <x:c r="AA1814" s="35"/>
    </x:row>
    <x:row r="1815">
      <x:c r="A1815" s="136" t="str">
        <x:v>HarpersFerry | Skirmish | Bolivar Heights Redoubt</x:v>
      </x:c>
      <x:c r="B1815" s="136" t="str">
        <x:v>Gun | 10-pounder Parrott · 3InchOrdnanceRifle-18 [map-84/029]</x:v>
      </x:c>
      <x:c r="C1815" s="136" t="str">
        <x:v>gun_spawn</x:v>
      </x:c>
      <x:c r="D1815" s="136" t="str"/>
      <x:c r="E1815" s="136" t="str">
        <x:v>10-pounder Parrott · 3InchOrdnanceRifle-18</x:v>
      </x:c>
      <x:c r="F1815" s="137" t="n">
        <x:v>702.0743408203125</x:v>
      </x:c>
      <x:c r="G1815" s="137" t="n">
        <x:v>1682.8011474609375</x:v>
      </x:c>
      <x:c r="H1815" s="137" t="n">
        <x:v>156.67416381835938</x:v>
      </x:c>
      <x:c r="I1815" s="137" t="n">
        <x:v>1070.30928111588</x:v>
      </x:c>
      <x:c r="J1815" s="137" t="n">
        <x:v>922.365756133174</x:v>
      </x:c>
      <x:c r="K1815" s="136" t="str">
        <x:v>map-84</x:v>
      </x:c>
      <x:c r="L1815" s="136" t="str">
        <x:v>HarpersFerry | Skirmish | Bolivar Heights Redoubt||Gun | 10-pounder Parrott · 3InchOrdnanceRifle-18 [map-84/029]</x:v>
      </x:c>
      <x:c r="M1815" s="35"/>
      <x:c r="N1815" s="35"/>
      <x:c r="O1815" s="35"/>
      <x:c r="P1815" s="35"/>
      <x:c r="Q1815" s="35"/>
      <x:c r="R1815" s="35"/>
      <x:c r="S1815" s="35"/>
      <x:c r="T1815" s="35"/>
      <x:c r="U1815" s="35"/>
      <x:c r="V1815" s="35"/>
      <x:c r="W1815" s="35"/>
      <x:c r="X1815" s="35"/>
      <x:c r="Y1815" s="35"/>
      <x:c r="Z1815" s="35"/>
      <x:c r="AA1815" s="35"/>
    </x:row>
    <x:row r="1816">
      <x:c r="A1816" s="136" t="str">
        <x:v>HarpersFerry | Skirmish | Bolivar Heights Redoubt</x:v>
      </x:c>
      <x:c r="B1816" s="136" t="str">
        <x:v>Gun | 12-pounder Napoleon (CSA) · 3InchOrdnanceRifle-36 [map-84/030]</x:v>
      </x:c>
      <x:c r="C1816" s="136" t="str">
        <x:v>gun_spawn</x:v>
      </x:c>
      <x:c r="D1816" s="136" t="str"/>
      <x:c r="E1816" s="136" t="str">
        <x:v>12-pounder Napoleon (CSA) · 3InchOrdnanceRifle-36</x:v>
      </x:c>
      <x:c r="F1816" s="137" t="n">
        <x:v>291.93316650390625</x:v>
      </x:c>
      <x:c r="G1816" s="137" t="n">
        <x:v>1513.095703125</x:v>
      </x:c>
      <x:c r="H1816" s="137" t="n">
        <x:v>122.18932342529297</x:v>
      </x:c>
      <x:c r="I1816" s="137" t="n">
        <x:v>169.05485515021462</x:v>
      </x:c>
      <x:c r="J1816" s="137" t="n">
        <x:v>1294.8810296494953</x:v>
      </x:c>
      <x:c r="K1816" s="136" t="str">
        <x:v>map-84</x:v>
      </x:c>
      <x:c r="L1816" s="136" t="str">
        <x:v>HarpersFerry | Skirmish | Bolivar Heights Redoubt||Gun | 12-pounder Napoleon (CSA) · 3InchOrdnanceRifle-36 [map-84/030]</x:v>
      </x:c>
      <x:c r="M1816" s="35"/>
      <x:c r="N1816" s="35"/>
      <x:c r="O1816" s="35"/>
      <x:c r="P1816" s="35"/>
      <x:c r="Q1816" s="35"/>
      <x:c r="R1816" s="35"/>
      <x:c r="S1816" s="35"/>
      <x:c r="T1816" s="35"/>
      <x:c r="U1816" s="35"/>
      <x:c r="V1816" s="35"/>
      <x:c r="W1816" s="35"/>
      <x:c r="X1816" s="35"/>
      <x:c r="Y1816" s="35"/>
      <x:c r="Z1816" s="35"/>
      <x:c r="AA1816" s="35"/>
    </x:row>
    <x:row r="1817">
      <x:c r="A1817" s="136" t="str">
        <x:v>HarpersFerry | Skirmish | Bolivar Heights Redoubt</x:v>
      </x:c>
      <x:c r="B1817" s="136" t="str">
        <x:v>Gun | 3-inch Ordnance · 3InchOrdnanceRifle-27 [map-84/031]</x:v>
      </x:c>
      <x:c r="C1817" s="136" t="str">
        <x:v>gun_spawn</x:v>
      </x:c>
      <x:c r="D1817" s="136" t="str"/>
      <x:c r="E1817" s="136" t="str">
        <x:v>3-inch Ordnance · 3InchOrdnanceRifle-27</x:v>
      </x:c>
      <x:c r="F1817" s="137" t="n">
        <x:v>655.5888061523438</x:v>
      </x:c>
      <x:c r="G1817" s="137" t="n">
        <x:v>1358.535400390625</x:v>
      </x:c>
      <x:c r="H1817" s="137" t="n">
        <x:v>143.1363525390625</x:v>
      </x:c>
      <x:c r="I1817" s="137" t="n">
        <x:v>968.160810085837</x:v>
      </x:c>
      <x:c r="J1817" s="137" t="n">
        <x:v>1634.1516622043791</x:v>
      </x:c>
      <x:c r="K1817" s="136" t="str">
        <x:v>map-84</x:v>
      </x:c>
      <x:c r="L1817" s="136" t="str">
        <x:v>HarpersFerry | Skirmish | Bolivar Heights Redoubt||Gun | 3-inch Ordnance · 3InchOrdnanceRifle-27 [map-84/031]</x:v>
      </x:c>
      <x:c r="M1817" s="35"/>
      <x:c r="N1817" s="35"/>
      <x:c r="O1817" s="35"/>
      <x:c r="P1817" s="35"/>
      <x:c r="Q1817" s="35"/>
      <x:c r="R1817" s="35"/>
      <x:c r="S1817" s="35"/>
      <x:c r="T1817" s="35"/>
      <x:c r="U1817" s="35"/>
      <x:c r="V1817" s="35"/>
      <x:c r="W1817" s="35"/>
      <x:c r="X1817" s="35"/>
      <x:c r="Y1817" s="35"/>
      <x:c r="Z1817" s="35"/>
      <x:c r="AA1817" s="35"/>
    </x:row>
    <x:row r="1818">
      <x:c r="A1818" s="136" t="str">
        <x:v>HarpersFerry | Skirmish | Bolivar Heights Redoubt</x:v>
      </x:c>
      <x:c r="B1818" s="136" t="str">
        <x:v>Gun | 10-pounder Parrott · 3InchOrdnanceRifle-29 [map-84/032]</x:v>
      </x:c>
      <x:c r="C1818" s="136" t="str">
        <x:v>gun_spawn</x:v>
      </x:c>
      <x:c r="D1818" s="136" t="str"/>
      <x:c r="E1818" s="136" t="str">
        <x:v>10-pounder Parrott · 3InchOrdnanceRifle-29</x:v>
      </x:c>
      <x:c r="F1818" s="137" t="n">
        <x:v>501.07818603515625</x:v>
      </x:c>
      <x:c r="G1818" s="137" t="n">
        <x:v>1503.574951171875</x:v>
      </x:c>
      <x:c r="H1818" s="137" t="n">
        <x:v>149.9287567138672</x:v>
      </x:c>
      <x:c r="I1818" s="137" t="n">
        <x:v>628.6353272532189</x:v>
      </x:c>
      <x:c r="J1818" s="137" t="n">
        <x:v>1315.7797434873305</x:v>
      </x:c>
      <x:c r="K1818" s="136" t="str">
        <x:v>map-84</x:v>
      </x:c>
      <x:c r="L1818" s="136" t="str">
        <x:v>HarpersFerry | Skirmish | Bolivar Heights Redoubt||Gun | 10-pounder Parrott · 3InchOrdnanceRifle-29 [map-84/032]</x:v>
      </x:c>
      <x:c r="M1818" s="35"/>
      <x:c r="N1818" s="35"/>
      <x:c r="O1818" s="35"/>
      <x:c r="P1818" s="35"/>
      <x:c r="Q1818" s="35"/>
      <x:c r="R1818" s="35"/>
      <x:c r="S1818" s="35"/>
      <x:c r="T1818" s="35"/>
      <x:c r="U1818" s="35"/>
      <x:c r="V1818" s="35"/>
      <x:c r="W1818" s="35"/>
      <x:c r="X1818" s="35"/>
      <x:c r="Y1818" s="35"/>
      <x:c r="Z1818" s="35"/>
      <x:c r="AA1818" s="35"/>
    </x:row>
    <x:row r="1819">
      <x:c r="A1819" s="136" t="str">
        <x:v>HarpersFerry | Skirmish | Bolivar Heights Redoubt</x:v>
      </x:c>
      <x:c r="B1819" s="136" t="str">
        <x:v>Gun | 12-pounder Napoleon (USA) · 3InchOrdnanceRifle-12 [map-84/033]</x:v>
      </x:c>
      <x:c r="C1819" s="136" t="str">
        <x:v>gun_spawn</x:v>
      </x:c>
      <x:c r="D1819" s="136" t="str"/>
      <x:c r="E1819" s="136" t="str">
        <x:v>12-pounder Napoleon (USA) · 3InchOrdnanceRifle-12</x:v>
      </x:c>
      <x:c r="F1819" s="137" t="n">
        <x:v>671.7979736328125</x:v>
      </x:c>
      <x:c r="G1819" s="137" t="n">
        <x:v>1745.715087890625</x:v>
      </x:c>
      <x:c r="H1819" s="137" t="n">
        <x:v>163.29696655273438</x:v>
      </x:c>
      <x:c r="I1819" s="137" t="n">
        <x:v>1003.7792381974249</x:v>
      </x:c>
      <x:c r="J1819" s="137" t="n">
        <x:v>784.2652737422763</x:v>
      </x:c>
      <x:c r="K1819" s="136" t="str">
        <x:v>map-84</x:v>
      </x:c>
      <x:c r="L1819" s="136" t="str">
        <x:v>HarpersFerry | Skirmish | Bolivar Heights Redoubt||Gun | 12-pounder Napoleon (USA) · 3InchOrdnanceRifle-12 [map-84/033]</x:v>
      </x:c>
      <x:c r="M1819" s="35"/>
      <x:c r="N1819" s="35"/>
      <x:c r="O1819" s="35"/>
      <x:c r="P1819" s="35"/>
      <x:c r="Q1819" s="35"/>
      <x:c r="R1819" s="35"/>
      <x:c r="S1819" s="35"/>
      <x:c r="T1819" s="35"/>
      <x:c r="U1819" s="35"/>
      <x:c r="V1819" s="35"/>
      <x:c r="W1819" s="35"/>
      <x:c r="X1819" s="35"/>
      <x:c r="Y1819" s="35"/>
      <x:c r="Z1819" s="35"/>
      <x:c r="AA1819" s="35"/>
    </x:row>
    <x:row r="1820">
      <x:c r="A1820" s="136" t="str">
        <x:v>HarpersFerry | Skirmish | Bolivar Heights Redoubt</x:v>
      </x:c>
      <x:c r="B1820" s="136" t="str">
        <x:v>Gun | 12-pounder Napoleon (USA) · 3InchOrdnanceRifle-19 [map-84/034]</x:v>
      </x:c>
      <x:c r="C1820" s="136" t="str">
        <x:v>gun_spawn</x:v>
      </x:c>
      <x:c r="D1820" s="136" t="str"/>
      <x:c r="E1820" s="136" t="str">
        <x:v>12-pounder Napoleon (USA) · 3InchOrdnanceRifle-19</x:v>
      </x:c>
      <x:c r="F1820" s="137" t="n">
        <x:v>712.4551391601562</x:v>
      </x:c>
      <x:c r="G1820" s="137" t="n">
        <x:v>1678.02978515625</x:v>
      </x:c>
      <x:c r="H1820" s="137" t="n">
        <x:v>154.80905151367188</x:v>
      </x:c>
      <x:c r="I1820" s="137" t="n">
        <x:v>1093.1203057939915</x:v>
      </x:c>
      <x:c r="J1820" s="137" t="n">
        <x:v>932.8392288077318</x:v>
      </x:c>
      <x:c r="K1820" s="136" t="str">
        <x:v>map-84</x:v>
      </x:c>
      <x:c r="L1820" s="136" t="str">
        <x:v>HarpersFerry | Skirmish | Bolivar Heights Redoubt||Gun | 12-pounder Napoleon (USA) · 3InchOrdnanceRifle-19 [map-84/034]</x:v>
      </x:c>
      <x:c r="M1820" s="35"/>
      <x:c r="N1820" s="35"/>
      <x:c r="O1820" s="35"/>
      <x:c r="P1820" s="35"/>
      <x:c r="Q1820" s="35"/>
      <x:c r="R1820" s="35"/>
      <x:c r="S1820" s="35"/>
      <x:c r="T1820" s="35"/>
      <x:c r="U1820" s="35"/>
      <x:c r="V1820" s="35"/>
      <x:c r="W1820" s="35"/>
      <x:c r="X1820" s="35"/>
      <x:c r="Y1820" s="35"/>
      <x:c r="Z1820" s="35"/>
      <x:c r="AA1820" s="35"/>
    </x:row>
    <x:row r="1821">
      <x:c r="A1821" s="136" t="str">
        <x:v>HarpersFerry | Skirmish | Bolivar Heights Redoubt</x:v>
      </x:c>
      <x:c r="B1821" s="136" t="str">
        <x:v>Gun | 12-pounder Napoleon (USA) · 3InchOrdnanceRifle-34 [map-84/035]</x:v>
      </x:c>
      <x:c r="C1821" s="136" t="str">
        <x:v>gun_spawn</x:v>
      </x:c>
      <x:c r="D1821" s="136" t="str"/>
      <x:c r="E1821" s="136" t="str">
        <x:v>12-pounder Napoleon (USA) · 3InchOrdnanceRifle-34</x:v>
      </x:c>
      <x:c r="F1821" s="137" t="n">
        <x:v>286.8682861328125</x:v>
      </x:c>
      <x:c r="G1821" s="137" t="n">
        <x:v>1523.9847412109375</x:v>
      </x:c>
      <x:c r="H1821" s="137" t="n">
        <x:v>121.17780303955078</x:v>
      </x:c>
      <x:c r="I1821" s="137" t="n">
        <x:v>157.925160944206</x:v>
      </x:c>
      <x:c r="J1821" s="137" t="n">
        <x:v>1270.978832423088</x:v>
      </x:c>
      <x:c r="K1821" s="136" t="str">
        <x:v>map-84</x:v>
      </x:c>
      <x:c r="L1821" s="136" t="str">
        <x:v>HarpersFerry | Skirmish | Bolivar Heights Redoubt||Gun | 12-pounder Napoleon (USA) · 3InchOrdnanceRifle-34 [map-84/035]</x:v>
      </x:c>
      <x:c r="M1821" s="35"/>
      <x:c r="N1821" s="35"/>
      <x:c r="O1821" s="35"/>
      <x:c r="P1821" s="35"/>
      <x:c r="Q1821" s="35"/>
      <x:c r="R1821" s="35"/>
      <x:c r="S1821" s="35"/>
      <x:c r="T1821" s="35"/>
      <x:c r="U1821" s="35"/>
      <x:c r="V1821" s="35"/>
      <x:c r="W1821" s="35"/>
      <x:c r="X1821" s="35"/>
      <x:c r="Y1821" s="35"/>
      <x:c r="Z1821" s="35"/>
      <x:c r="AA1821" s="35"/>
    </x:row>
    <x:row r="1822">
      <x:c r="A1822" s="136" t="str">
        <x:v>HarpersFerry | Skirmish | Bolivar Heights Redoubt</x:v>
      </x:c>
      <x:c r="B1822" s="136" t="str">
        <x:v>Gun | 12-pounder Napoleon (USA) · 3InchOrdnanceRifle-20 [map-84/036]</x:v>
      </x:c>
      <x:c r="C1822" s="136" t="str">
        <x:v>gun_spawn</x:v>
      </x:c>
      <x:c r="D1822" s="136" t="str"/>
      <x:c r="E1822" s="136" t="str">
        <x:v>12-pounder Napoleon (USA) · 3InchOrdnanceRifle-20</x:v>
      </x:c>
      <x:c r="F1822" s="137" t="n">
        <x:v>725.10302734375</x:v>
      </x:c>
      <x:c r="G1822" s="137" t="n">
        <x:v>1684.9974365234375</x:v>
      </x:c>
      <x:c r="H1822" s="137" t="n">
        <x:v>153.45875549316406</x:v>
      </x:c>
      <x:c r="I1822" s="137" t="n">
        <x:v>1120.9130901287554</x:v>
      </x:c>
      <x:c r="J1822" s="137" t="n">
        <x:v>917.5447486278489</x:v>
      </x:c>
      <x:c r="K1822" s="136" t="str">
        <x:v>map-84</x:v>
      </x:c>
      <x:c r="L1822" s="136" t="str">
        <x:v>HarpersFerry | Skirmish | Bolivar Heights Redoubt||Gun | 12-pounder Napoleon (USA) · 3InchOrdnanceRifle-20 [map-84/036]</x:v>
      </x:c>
      <x:c r="M1822" s="35"/>
      <x:c r="N1822" s="35"/>
      <x:c r="O1822" s="35"/>
      <x:c r="P1822" s="35"/>
      <x:c r="Q1822" s="35"/>
      <x:c r="R1822" s="35"/>
      <x:c r="S1822" s="35"/>
      <x:c r="T1822" s="35"/>
      <x:c r="U1822" s="35"/>
      <x:c r="V1822" s="35"/>
      <x:c r="W1822" s="35"/>
      <x:c r="X1822" s="35"/>
      <x:c r="Y1822" s="35"/>
      <x:c r="Z1822" s="35"/>
      <x:c r="AA1822" s="35"/>
    </x:row>
    <x:row r="1823">
      <x:c r="A1823" s="136" t="str">
        <x:v>HarpersFerry | Skirmish | Bolivar Heights Redoubt</x:v>
      </x:c>
      <x:c r="B1823" s="136" t="str">
        <x:v>Gun | 10-pounder Parrott · 3InchOrdnanceRifle-17 [map-84/037]</x:v>
      </x:c>
      <x:c r="C1823" s="136" t="str">
        <x:v>gun_spawn</x:v>
      </x:c>
      <x:c r="D1823" s="136" t="str"/>
      <x:c r="E1823" s="136" t="str">
        <x:v>10-pounder Parrott · 3InchOrdnanceRifle-17</x:v>
      </x:c>
      <x:c r="F1823" s="137" t="n">
        <x:v>691.8099975585938</x:v>
      </x:c>
      <x:c r="G1823" s="137" t="n">
        <x:v>1688.9019775390625</x:v>
      </x:c>
      <x:c r="H1823" s="137" t="n">
        <x:v>158.93873596191406</x:v>
      </x:c>
      <x:c r="I1823" s="137" t="n">
        <x:v>1047.754157725322</x:v>
      </x:c>
      <x:c r="J1823" s="137" t="n">
        <x:v>908.9740090733063</x:v>
      </x:c>
      <x:c r="K1823" s="136" t="str">
        <x:v>map-84</x:v>
      </x:c>
      <x:c r="L1823" s="136" t="str">
        <x:v>HarpersFerry | Skirmish | Bolivar Heights Redoubt||Gun | 10-pounder Parrott · 3InchOrdnanceRifle-17 [map-84/037]</x:v>
      </x:c>
      <x:c r="M1823" s="35"/>
      <x:c r="N1823" s="35"/>
      <x:c r="O1823" s="35"/>
      <x:c r="P1823" s="35"/>
      <x:c r="Q1823" s="35"/>
      <x:c r="R1823" s="35"/>
      <x:c r="S1823" s="35"/>
      <x:c r="T1823" s="35"/>
      <x:c r="U1823" s="35"/>
      <x:c r="V1823" s="35"/>
      <x:c r="W1823" s="35"/>
      <x:c r="X1823" s="35"/>
      <x:c r="Y1823" s="35"/>
      <x:c r="Z1823" s="35"/>
      <x:c r="AA1823" s="35"/>
    </x:row>
    <x:row r="1824">
      <x:c r="A1824" s="136" t="str">
        <x:v>HarpersFerry | Skirmish | Bolivar Heights Redoubt</x:v>
      </x:c>
      <x:c r="B1824" s="136" t="str">
        <x:v>Gun | 12-pounder Napoleon (USA) · 3InchOrdnanceRifle-24 [map-84/038]</x:v>
      </x:c>
      <x:c r="C1824" s="136" t="str">
        <x:v>gun_spawn</x:v>
      </x:c>
      <x:c r="D1824" s="136" t="str"/>
      <x:c r="E1824" s="136" t="str">
        <x:v>12-pounder Napoleon (USA) · 3InchOrdnanceRifle-24</x:v>
      </x:c>
      <x:c r="F1824" s="137" t="n">
        <x:v>676.1146850585938</x:v>
      </x:c>
      <x:c r="G1824" s="137" t="n">
        <x:v>1357.7657470703125</x:v>
      </x:c>
      <x:c r="H1824" s="137" t="n">
        <x:v>142.71966552734375</x:v>
      </x:c>
      <x:c r="I1824" s="137" t="n">
        <x:v>1013.2648873390558</x:v>
      </x:c>
      <x:c r="J1824" s="137" t="n">
        <x:v>1635.8411048633984</x:v>
      </x:c>
      <x:c r="K1824" s="136" t="str">
        <x:v>map-84</x:v>
      </x:c>
      <x:c r="L1824" s="136" t="str">
        <x:v>HarpersFerry | Skirmish | Bolivar Heights Redoubt||Gun | 12-pounder Napoleon (USA) · 3InchOrdnanceRifle-24 [map-84/038]</x:v>
      </x:c>
      <x:c r="M1824" s="35"/>
      <x:c r="N1824" s="35"/>
      <x:c r="O1824" s="35"/>
      <x:c r="P1824" s="35"/>
      <x:c r="Q1824" s="35"/>
      <x:c r="R1824" s="35"/>
      <x:c r="S1824" s="35"/>
      <x:c r="T1824" s="35"/>
      <x:c r="U1824" s="35"/>
      <x:c r="V1824" s="35"/>
      <x:c r="W1824" s="35"/>
      <x:c r="X1824" s="35"/>
      <x:c r="Y1824" s="35"/>
      <x:c r="Z1824" s="35"/>
      <x:c r="AA1824" s="35"/>
    </x:row>
    <x:row r="1825">
      <x:c r="A1825" s="136" t="str">
        <x:v>HarpersFerry | Skirmish | Bolivar Heights Redoubt</x:v>
      </x:c>
      <x:c r="B1825" s="136" t="str">
        <x:v>Gun | 12-pounder Napoleon (CSA) · 3InchOrdnanceRifle-35 [map-84/039]</x:v>
      </x:c>
      <x:c r="C1825" s="136" t="str">
        <x:v>gun_spawn</x:v>
      </x:c>
      <x:c r="D1825" s="136" t="str"/>
      <x:c r="E1825" s="136" t="str">
        <x:v>12-pounder Napoleon (CSA) · 3InchOrdnanceRifle-35</x:v>
      </x:c>
      <x:c r="F1825" s="137" t="n">
        <x:v>289.6768493652344</x:v>
      </x:c>
      <x:c r="G1825" s="137" t="n">
        <x:v>1518.9447021484375</x:v>
      </x:c>
      <x:c r="H1825" s="137" t="n">
        <x:v>121.78739166259766</x:v>
      </x:c>
      <x:c r="I1825" s="137" t="n">
        <x:v>164.09676770386267</x:v>
      </x:c>
      <x:c r="J1825" s="137" t="n">
        <x:v>1282.04206929947</x:v>
      </x:c>
      <x:c r="K1825" s="136" t="str">
        <x:v>map-84</x:v>
      </x:c>
      <x:c r="L1825" s="136" t="str">
        <x:v>HarpersFerry | Skirmish | Bolivar Heights Redoubt||Gun | 12-pounder Napoleon (CSA) · 3InchOrdnanceRifle-35 [map-84/039]</x:v>
      </x:c>
      <x:c r="M1825" s="35"/>
      <x:c r="N1825" s="35"/>
      <x:c r="O1825" s="35"/>
      <x:c r="P1825" s="35"/>
      <x:c r="Q1825" s="35"/>
      <x:c r="R1825" s="35"/>
      <x:c r="S1825" s="35"/>
      <x:c r="T1825" s="35"/>
      <x:c r="U1825" s="35"/>
      <x:c r="V1825" s="35"/>
      <x:c r="W1825" s="35"/>
      <x:c r="X1825" s="35"/>
      <x:c r="Y1825" s="35"/>
      <x:c r="Z1825" s="35"/>
      <x:c r="AA1825" s="35"/>
    </x:row>
    <x:row r="1826">
      <x:c r="A1826" s="136" t="str">
        <x:v>HarpersFerry | Skirmish | Bolivar Heights Redoubt</x:v>
      </x:c>
      <x:c r="B1826" s="136" t="str">
        <x:v>Gun | 12-pounder Napoleon (USA) · 3InchOrdnanceRifle-15 [map-84/040]</x:v>
      </x:c>
      <x:c r="C1826" s="136" t="str">
        <x:v>gun_spawn</x:v>
      </x:c>
      <x:c r="D1826" s="136" t="str"/>
      <x:c r="E1826" s="136" t="str">
        <x:v>12-pounder Napoleon (USA) · 3InchOrdnanceRifle-15</x:v>
      </x:c>
      <x:c r="F1826" s="137" t="n">
        <x:v>668.074951171875</x:v>
      </x:c>
      <x:c r="G1826" s="137" t="n">
        <x:v>1715.5125732421875</x:v>
      </x:c>
      <x:c r="H1826" s="137" t="n">
        <x:v>163.3070831298828</x:v>
      </x:c>
      <x:c r="I1826" s="137" t="n">
        <x:v>995.5981759656653</x:v>
      </x:c>
      <x:c r="J1826" s="137" t="n">
        <x:v>850.5618975728701</x:v>
      </x:c>
      <x:c r="K1826" s="136" t="str">
        <x:v>map-84</x:v>
      </x:c>
      <x:c r="L1826" s="136" t="str">
        <x:v>HarpersFerry | Skirmish | Bolivar Heights Redoubt||Gun | 12-pounder Napoleon (USA) · 3InchOrdnanceRifle-15 [map-84/040]</x:v>
      </x:c>
      <x:c r="M1826" s="35"/>
      <x:c r="N1826" s="35"/>
      <x:c r="O1826" s="35"/>
      <x:c r="P1826" s="35"/>
      <x:c r="Q1826" s="35"/>
      <x:c r="R1826" s="35"/>
      <x:c r="S1826" s="35"/>
      <x:c r="T1826" s="35"/>
      <x:c r="U1826" s="35"/>
      <x:c r="V1826" s="35"/>
      <x:c r="W1826" s="35"/>
      <x:c r="X1826" s="35"/>
      <x:c r="Y1826" s="35"/>
      <x:c r="Z1826" s="35"/>
      <x:c r="AA1826" s="35"/>
    </x:row>
    <x:row r="1827">
      <x:c r="A1827" s="136" t="str">
        <x:v>HarpersFerry | Skirmish | Bolivar Heights Redoubt</x:v>
      </x:c>
      <x:c r="B1827" s="136" t="str">
        <x:v>Gun | 3-inch Ordnance · 3InchOrdnanceRifle-11 [map-84/041]</x:v>
      </x:c>
      <x:c r="C1827" s="136" t="str">
        <x:v>gun_spawn</x:v>
      </x:c>
      <x:c r="D1827" s="136" t="str"/>
      <x:c r="E1827" s="136" t="str">
        <x:v>3-inch Ordnance · 3InchOrdnanceRifle-11</x:v>
      </x:c>
      <x:c r="F1827" s="137" t="n">
        <x:v>675.4078369140625</x:v>
      </x:c>
      <x:c r="G1827" s="137" t="n">
        <x:v>1749.2274169921875</x:v>
      </x:c>
      <x:c r="H1827" s="137" t="n">
        <x:v>163.32745361328125</x:v>
      </x:c>
      <x:c r="I1827" s="137" t="n">
        <x:v>1011.7116416309015</x:v>
      </x:c>
      <x:c r="J1827" s="137" t="n">
        <x:v>776.5554666640905</x:v>
      </x:c>
      <x:c r="K1827" s="136" t="str">
        <x:v>map-84</x:v>
      </x:c>
      <x:c r="L1827" s="136" t="str">
        <x:v>HarpersFerry | Skirmish | Bolivar Heights Redoubt||Gun | 3-inch Ordnance · 3InchOrdnanceRifle-11 [map-84/041]</x:v>
      </x:c>
      <x:c r="M1827" s="35"/>
      <x:c r="N1827" s="35"/>
      <x:c r="O1827" s="35"/>
      <x:c r="P1827" s="35"/>
      <x:c r="Q1827" s="35"/>
      <x:c r="R1827" s="35"/>
      <x:c r="S1827" s="35"/>
      <x:c r="T1827" s="35"/>
      <x:c r="U1827" s="35"/>
      <x:c r="V1827" s="35"/>
      <x:c r="W1827" s="35"/>
      <x:c r="X1827" s="35"/>
      <x:c r="Y1827" s="35"/>
      <x:c r="Z1827" s="35"/>
      <x:c r="AA1827" s="35"/>
    </x:row>
    <x:row r="1828">
      <x:c r="A1828" s="136" t="str">
        <x:v>HarpersFerry | Skirmish | Bolivar Heights Redoubt</x:v>
      </x:c>
      <x:c r="B1828" s="136" t="str">
        <x:v>Gun | 3-inch Ordnance · 3InchOrdnanceRifle-8 [map-84/042]</x:v>
      </x:c>
      <x:c r="C1828" s="136" t="str">
        <x:v>gun_spawn</x:v>
      </x:c>
      <x:c r="D1828" s="136" t="str"/>
      <x:c r="E1828" s="136" t="str">
        <x:v>3-inch Ordnance · 3InchOrdnanceRifle-8</x:v>
      </x:c>
      <x:c r="F1828" s="137" t="n">
        <x:v>692.5941162109375</x:v>
      </x:c>
      <x:c r="G1828" s="137" t="n">
        <x:v>1764.5723876953125</x:v>
      </x:c>
      <x:c r="H1828" s="137" t="n">
        <x:v>163.27745056152344</x:v>
      </x:c>
      <x:c r="I1828" s="137" t="n">
        <x:v>1049.4771995708154</x:v>
      </x:c>
      <x:c r="J1828" s="137" t="n">
        <x:v>742.872186902841</x:v>
      </x:c>
      <x:c r="K1828" s="136" t="str">
        <x:v>map-84</x:v>
      </x:c>
      <x:c r="L1828" s="136" t="str">
        <x:v>HarpersFerry | Skirmish | Bolivar Heights Redoubt||Gun | 3-inch Ordnance · 3InchOrdnanceRifle-8 [map-84/042]</x:v>
      </x:c>
      <x:c r="M1828" s="35"/>
      <x:c r="N1828" s="35"/>
      <x:c r="O1828" s="35"/>
      <x:c r="P1828" s="35"/>
      <x:c r="Q1828" s="35"/>
      <x:c r="R1828" s="35"/>
      <x:c r="S1828" s="35"/>
      <x:c r="T1828" s="35"/>
      <x:c r="U1828" s="35"/>
      <x:c r="V1828" s="35"/>
      <x:c r="W1828" s="35"/>
      <x:c r="X1828" s="35"/>
      <x:c r="Y1828" s="35"/>
      <x:c r="Z1828" s="35"/>
      <x:c r="AA1828" s="35"/>
    </x:row>
    <x:row r="1829">
      <x:c r="A1829" s="136" t="str">
        <x:v>HarpersFerry | Skirmish | Bolivar Heights Redoubt</x:v>
      </x:c>
      <x:c r="B1829" s="136" t="str">
        <x:v>Gun | 12-pounder Napoleon (USA) · 3InchOrdnanceRifle-13 [map-84/043]</x:v>
      </x:c>
      <x:c r="C1829" s="136" t="str">
        <x:v>gun_spawn</x:v>
      </x:c>
      <x:c r="D1829" s="136" t="str"/>
      <x:c r="E1829" s="136" t="str">
        <x:v>12-pounder Napoleon (USA) · 3InchOrdnanceRifle-13</x:v>
      </x:c>
      <x:c r="F1829" s="137" t="n">
        <x:v>665.6566772460938</x:v>
      </x:c>
      <x:c r="G1829" s="137" t="n">
        <x:v>1738.294189453125</x:v>
      </x:c>
      <x:c r="H1829" s="137" t="n">
        <x:v>163.29696655273438</x:v>
      </x:c>
      <x:c r="I1829" s="137" t="n">
        <x:v>990.2842006437769</x:v>
      </x:c>
      <x:c r="J1829" s="137" t="n">
        <x:v>800.5546628187396</x:v>
      </x:c>
      <x:c r="K1829" s="136" t="str">
        <x:v>map-84</x:v>
      </x:c>
      <x:c r="L1829" s="136" t="str">
        <x:v>HarpersFerry | Skirmish | Bolivar Heights Redoubt||Gun | 12-pounder Napoleon (USA) · 3InchOrdnanceRifle-13 [map-84/043]</x:v>
      </x:c>
      <x:c r="M1829" s="35"/>
      <x:c r="N1829" s="35"/>
      <x:c r="O1829" s="35"/>
      <x:c r="P1829" s="35"/>
      <x:c r="Q1829" s="35"/>
      <x:c r="R1829" s="35"/>
      <x:c r="S1829" s="35"/>
      <x:c r="T1829" s="35"/>
      <x:c r="U1829" s="35"/>
      <x:c r="V1829" s="35"/>
      <x:c r="W1829" s="35"/>
      <x:c r="X1829" s="35"/>
      <x:c r="Y1829" s="35"/>
      <x:c r="Z1829" s="35"/>
      <x:c r="AA1829" s="35"/>
    </x:row>
    <x:row r="1830">
      <x:c r="A1830" s="136" t="str">
        <x:v>HarpersFerry | Skirmish | Bolivar Heights Redoubt</x:v>
      </x:c>
      <x:c r="B1830" s="136" t="str">
        <x:v>Gun | 12-pounder Napoleon (USA) · 3InchOrdnanceRifle-14 [map-84/044]</x:v>
      </x:c>
      <x:c r="C1830" s="136" t="str">
        <x:v>gun_spawn</x:v>
      </x:c>
      <x:c r="D1830" s="136" t="str"/>
      <x:c r="E1830" s="136" t="str">
        <x:v>12-pounder Napoleon (USA) · 3InchOrdnanceRifle-14</x:v>
      </x:c>
      <x:c r="F1830" s="137" t="n">
        <x:v>666.2051391601562</x:v>
      </x:c>
      <x:c r="G1830" s="137" t="n">
        <x:v>1727.2857666015625</x:v>
      </x:c>
      <x:c r="H1830" s="137" t="n">
        <x:v>163.29696655273438</x:v>
      </x:c>
      <x:c r="I1830" s="137" t="n">
        <x:v>991.4894045064377</x:v>
      </x:c>
      <x:c r="J1830" s="137" t="n">
        <x:v>824.7189179231042</x:v>
      </x:c>
      <x:c r="K1830" s="136" t="str">
        <x:v>map-84</x:v>
      </x:c>
      <x:c r="L1830" s="136" t="str">
        <x:v>HarpersFerry | Skirmish | Bolivar Heights Redoubt||Gun | 12-pounder Napoleon (USA) · 3InchOrdnanceRifle-14 [map-84/044]</x:v>
      </x:c>
      <x:c r="M1830" s="35"/>
      <x:c r="N1830" s="35"/>
      <x:c r="O1830" s="35"/>
      <x:c r="P1830" s="35"/>
      <x:c r="Q1830" s="35"/>
      <x:c r="R1830" s="35"/>
      <x:c r="S1830" s="35"/>
      <x:c r="T1830" s="35"/>
      <x:c r="U1830" s="35"/>
      <x:c r="V1830" s="35"/>
      <x:c r="W1830" s="35"/>
      <x:c r="X1830" s="35"/>
      <x:c r="Y1830" s="35"/>
      <x:c r="Z1830" s="35"/>
      <x:c r="AA1830" s="35"/>
    </x:row>
    <x:row r="1831">
      <x:c r="A1831" s="136" t="str">
        <x:v>HarpersFerry | Skirmish | Bolivar Heights Redoubt</x:v>
      </x:c>
      <x:c r="B1831" s="136" t="str">
        <x:v>Gun | 12-pounder Napoleon (CSA) · 3InchOrdnanceRifle-23 [map-84/045]</x:v>
      </x:c>
      <x:c r="C1831" s="136" t="str">
        <x:v>gun_spawn</x:v>
      </x:c>
      <x:c r="D1831" s="136" t="str"/>
      <x:c r="E1831" s="136" t="str">
        <x:v>12-pounder Napoleon (CSA) · 3InchOrdnanceRifle-23</x:v>
      </x:c>
      <x:c r="F1831" s="137" t="n">
        <x:v>684.268310546875</x:v>
      </x:c>
      <x:c r="G1831" s="137" t="n">
        <x:v>1357.51904296875</x:v>
      </x:c>
      <x:c r="H1831" s="137" t="n">
        <x:v>142.3853759765625</x:v>
      </x:c>
      <x:c r="I1831" s="137" t="n">
        <x:v>1031.1818669527897</x:v>
      </x:c>
      <x:c r="J1831" s="137" t="n">
        <x:v>1636.3826375539422</x:v>
      </x:c>
      <x:c r="K1831" s="136" t="str">
        <x:v>map-84</x:v>
      </x:c>
      <x:c r="L1831" s="136" t="str">
        <x:v>HarpersFerry | Skirmish | Bolivar Heights Redoubt||Gun | 12-pounder Napoleon (CSA) · 3InchOrdnanceRifle-23 [map-84/045]</x:v>
      </x:c>
      <x:c r="M1831" s="35"/>
      <x:c r="N1831" s="35"/>
      <x:c r="O1831" s="35"/>
      <x:c r="P1831" s="35"/>
      <x:c r="Q1831" s="35"/>
      <x:c r="R1831" s="35"/>
      <x:c r="S1831" s="35"/>
      <x:c r="T1831" s="35"/>
      <x:c r="U1831" s="35"/>
      <x:c r="V1831" s="35"/>
      <x:c r="W1831" s="35"/>
      <x:c r="X1831" s="35"/>
      <x:c r="Y1831" s="35"/>
      <x:c r="Z1831" s="35"/>
      <x:c r="AA1831" s="35"/>
    </x:row>
    <x:row r="1832">
      <x:c r="A1832" s="136" t="str">
        <x:v>HarpersFerry | Skirmish | Bolivar Heights Redoubt</x:v>
      </x:c>
      <x:c r="B1832" s="136" t="str">
        <x:v>Gun | 3-inch Ordnance · 3InchOrdnanceRifle-25 [map-84/046]</x:v>
      </x:c>
      <x:c r="C1832" s="136" t="str">
        <x:v>gun_spawn</x:v>
      </x:c>
      <x:c r="D1832" s="136" t="str"/>
      <x:c r="E1832" s="136" t="str">
        <x:v>3-inch Ordnance · 3InchOrdnanceRifle-25</x:v>
      </x:c>
      <x:c r="F1832" s="137" t="n">
        <x:v>669.7433471679688</x:v>
      </x:c>
      <x:c r="G1832" s="137" t="n">
        <x:v>1358.270263671875</x:v>
      </x:c>
      <x:c r="H1832" s="137" t="n">
        <x:v>142.86199951171875</x:v>
      </x:c>
      <x:c r="I1832" s="137" t="n">
        <x:v>999.2643508583692</x:v>
      </x:c>
      <x:c r="J1832" s="137" t="n">
        <x:v>1634.7336557738304</x:v>
      </x:c>
      <x:c r="K1832" s="136" t="str">
        <x:v>map-84</x:v>
      </x:c>
      <x:c r="L1832" s="136" t="str">
        <x:v>HarpersFerry | Skirmish | Bolivar Heights Redoubt||Gun | 3-inch Ordnance · 3InchOrdnanceRifle-25 [map-84/046]</x:v>
      </x:c>
      <x:c r="M1832" s="35"/>
      <x:c r="N1832" s="35"/>
      <x:c r="O1832" s="35"/>
      <x:c r="P1832" s="35"/>
      <x:c r="Q1832" s="35"/>
      <x:c r="R1832" s="35"/>
      <x:c r="S1832" s="35"/>
      <x:c r="T1832" s="35"/>
      <x:c r="U1832" s="35"/>
      <x:c r="V1832" s="35"/>
      <x:c r="W1832" s="35"/>
      <x:c r="X1832" s="35"/>
      <x:c r="Y1832" s="35"/>
      <x:c r="Z1832" s="35"/>
      <x:c r="AA1832" s="35"/>
    </x:row>
    <x:row r="1833">
      <x:c r="A1833" s="136" t="str">
        <x:v>HarpersFerry | Skirmish | Bolivar Heights Redoubt</x:v>
      </x:c>
      <x:c r="B1833" s="136" t="str">
        <x:v>Gun | 3-inch Ordnance · 3InchOrdnanceRifle-9 [map-84/047]</x:v>
      </x:c>
      <x:c r="C1833" s="136" t="str">
        <x:v>gun_spawn</x:v>
      </x:c>
      <x:c r="D1833" s="136" t="str"/>
      <x:c r="E1833" s="136" t="str">
        <x:v>3-inch Ordnance · 3InchOrdnanceRifle-9</x:v>
      </x:c>
      <x:c r="F1833" s="137" t="n">
        <x:v>688.9786376953125</x:v>
      </x:c>
      <x:c r="G1833" s="137" t="n">
        <x:v>1761.396240234375</x:v>
      </x:c>
      <x:c r="H1833" s="137" t="n">
        <x:v>163.27745056152344</x:v>
      </x:c>
      <x:c r="I1833" s="137" t="n">
        <x:v>1041.532457081545</x:v>
      </x:c>
      <x:c r="J1833" s="137" t="n">
        <x:v>749.8440518584354</x:v>
      </x:c>
      <x:c r="K1833" s="136" t="str">
        <x:v>map-84</x:v>
      </x:c>
      <x:c r="L1833" s="136" t="str">
        <x:v>HarpersFerry | Skirmish | Bolivar Heights Redoubt||Gun | 3-inch Ordnance · 3InchOrdnanceRifle-9 [map-84/047]</x:v>
      </x:c>
      <x:c r="M1833" s="35"/>
      <x:c r="N1833" s="35"/>
      <x:c r="O1833" s="35"/>
      <x:c r="P1833" s="35"/>
      <x:c r="Q1833" s="35"/>
      <x:c r="R1833" s="35"/>
      <x:c r="S1833" s="35"/>
      <x:c r="T1833" s="35"/>
      <x:c r="U1833" s="35"/>
      <x:c r="V1833" s="35"/>
      <x:c r="W1833" s="35"/>
      <x:c r="X1833" s="35"/>
      <x:c r="Y1833" s="35"/>
      <x:c r="Z1833" s="35"/>
      <x:c r="AA1833" s="35"/>
    </x:row>
    <x:row r="1834">
      <x:c r="A1834" s="136" t="str">
        <x:v>HarpersFerry | Skirmish | Washington Street</x:v>
      </x:c>
      <x:c r="B1834" s="136" t="str">
        <x:v>Spawn | USA Spawnpoint_WS_Base_USA_87thOH [map-85/001]</x:v>
      </x:c>
      <x:c r="C1834" s="136" t="str">
        <x:v>spawn</x:v>
      </x:c>
      <x:c r="D1834" s="136" t="str">
        <x:v>USA</x:v>
      </x:c>
      <x:c r="E1834" s="136" t="str">
        <x:v>Spawnpoint_WS_Base_USA_87thOH</x:v>
      </x:c>
      <x:c r="F1834" s="137" t="n">
        <x:v>1971.0941162109375</x:v>
      </x:c>
      <x:c r="G1834" s="137" t="n">
        <x:v>2128.033935546875</x:v>
      </x:c>
      <x:c r="H1834" s="137" t="n">
        <x:v>139.1267852783203</x:v>
      </x:c>
      <x:c r="I1834" s="137" t="n">
        <x:v>501.0981487816352</x:v>
      </x:c>
      <x:c r="J1834" s="137" t="n">
        <x:v>530.7913586957164</x:v>
      </x:c>
      <x:c r="K1834" s="136" t="str">
        <x:v>map-85</x:v>
      </x:c>
      <x:c r="L1834" s="136" t="str">
        <x:v>HarpersFerry | Skirmish | Washington Street||Spawn | USA Spawnpoint_WS_Base_USA_87thOH [map-85/001]</x:v>
      </x:c>
      <x:c r="M1834" s="35"/>
      <x:c r="N1834" s="35"/>
      <x:c r="O1834" s="35"/>
      <x:c r="P1834" s="35"/>
      <x:c r="Q1834" s="35"/>
      <x:c r="R1834" s="35"/>
      <x:c r="S1834" s="35"/>
      <x:c r="T1834" s="35"/>
      <x:c r="U1834" s="35"/>
      <x:c r="V1834" s="35"/>
      <x:c r="W1834" s="35"/>
      <x:c r="X1834" s="35"/>
      <x:c r="Y1834" s="35"/>
      <x:c r="Z1834" s="35"/>
      <x:c r="AA1834" s="35"/>
    </x:row>
    <x:row r="1835">
      <x:c r="A1835" s="136" t="str">
        <x:v>HarpersFerry | Skirmish | Washington Street</x:v>
      </x:c>
      <x:c r="B1835" s="136" t="str">
        <x:v>Spawn | USA Spawnpoint_WS_Defend_USA_87thOH-2 [map-85/002]</x:v>
      </x:c>
      <x:c r="C1835" s="136" t="str">
        <x:v>spawn</x:v>
      </x:c>
      <x:c r="D1835" s="136" t="str">
        <x:v>USA</x:v>
      </x:c>
      <x:c r="E1835" s="136" t="str">
        <x:v>Spawnpoint_WS_Defend_USA_87thOH-2</x:v>
      </x:c>
      <x:c r="F1835" s="137" t="n">
        <x:v>2033.926025390625</x:v>
      </x:c>
      <x:c r="G1835" s="137" t="n">
        <x:v>2050.66552734375</x:v>
      </x:c>
      <x:c r="H1835" s="137" t="n">
        <x:v>138.1683349609375</x:v>
      </x:c>
      <x:c r="I1835" s="137" t="n">
        <x:v>818.8259269610836</x:v>
      </x:c>
      <x:c r="J1835" s="137" t="n">
        <x:v>922.0271616594515</x:v>
      </x:c>
      <x:c r="K1835" s="136" t="str">
        <x:v>map-85</x:v>
      </x:c>
      <x:c r="L1835" s="136" t="str">
        <x:v>HarpersFerry | Skirmish | Washington Street||Spawn | USA Spawnpoint_WS_Defend_USA_87thOH-2 [map-85/002]</x:v>
      </x:c>
      <x:c r="M1835" s="35"/>
      <x:c r="N1835" s="35"/>
      <x:c r="O1835" s="35"/>
      <x:c r="P1835" s="35"/>
      <x:c r="Q1835" s="35"/>
      <x:c r="R1835" s="35"/>
      <x:c r="S1835" s="35"/>
      <x:c r="T1835" s="35"/>
      <x:c r="U1835" s="35"/>
      <x:c r="V1835" s="35"/>
      <x:c r="W1835" s="35"/>
      <x:c r="X1835" s="35"/>
      <x:c r="Y1835" s="35"/>
      <x:c r="Z1835" s="35"/>
      <x:c r="AA1835" s="35"/>
    </x:row>
    <x:row r="1836">
      <x:c r="A1836" s="136" t="str">
        <x:v>HarpersFerry | Skirmish | Washington Street</x:v>
      </x:c>
      <x:c r="B1836" s="136" t="str">
        <x:v>Spawn | CSA Spawnpoint_WS_Base_CSA_3rdSC [map-85/003]</x:v>
      </x:c>
      <x:c r="C1836" s="136" t="str">
        <x:v>spawn</x:v>
      </x:c>
      <x:c r="D1836" s="136" t="str">
        <x:v>CSA</x:v>
      </x:c>
      <x:c r="E1836" s="136" t="str">
        <x:v>Spawnpoint_WS_Base_CSA_3rdSC</x:v>
      </x:c>
      <x:c r="F1836" s="137" t="n">
        <x:v>2203.188232421875</x:v>
      </x:c>
      <x:c r="G1836" s="137" t="n">
        <x:v>1936.8441162109375</x:v>
      </x:c>
      <x:c r="H1836" s="137" t="n">
        <x:v>142.53341674804688</x:v>
      </x:c>
      <x:c r="I1836" s="137" t="n">
        <x:v>1674.7493848332633</x:v>
      </x:c>
      <x:c r="J1836" s="137" t="n">
        <x:v>1497.5981500414077</x:v>
      </x:c>
      <x:c r="K1836" s="136" t="str">
        <x:v>map-85</x:v>
      </x:c>
      <x:c r="L1836" s="136" t="str">
        <x:v>HarpersFerry | Skirmish | Washington Street||Spawn | CSA Spawnpoint_WS_Base_CSA_3rdSC [map-85/003]</x:v>
      </x:c>
      <x:c r="M1836" s="35"/>
      <x:c r="N1836" s="35"/>
      <x:c r="O1836" s="35"/>
      <x:c r="P1836" s="35"/>
      <x:c r="Q1836" s="35"/>
      <x:c r="R1836" s="35"/>
      <x:c r="S1836" s="35"/>
      <x:c r="T1836" s="35"/>
      <x:c r="U1836" s="35"/>
      <x:c r="V1836" s="35"/>
      <x:c r="W1836" s="35"/>
      <x:c r="X1836" s="35"/>
      <x:c r="Y1836" s="35"/>
      <x:c r="Z1836" s="35"/>
      <x:c r="AA1836" s="35"/>
    </x:row>
    <x:row r="1837">
      <x:c r="A1837" s="136" t="str">
        <x:v>HarpersFerry | Skirmish | Washington Street</x:v>
      </x:c>
      <x:c r="B1837" s="136" t="str">
        <x:v>Spawn | USA Spawnpoint_WS_Defend_USA_3rdMD [map-85/004]</x:v>
      </x:c>
      <x:c r="C1837" s="136" t="str">
        <x:v>spawn</x:v>
      </x:c>
      <x:c r="D1837" s="136" t="str">
        <x:v>USA</x:v>
      </x:c>
      <x:c r="E1837" s="136" t="str">
        <x:v>Spawnpoint_WS_Defend_USA_3rdMD</x:v>
      </x:c>
      <x:c r="F1837" s="137" t="n">
        <x:v>2067.075439453125</x:v>
      </x:c>
      <x:c r="G1837" s="137" t="n">
        <x:v>2047.058349609375</x:v>
      </x:c>
      <x:c r="H1837" s="137" t="n">
        <x:v>135.8551025390625</x:v>
      </x:c>
      <x:c r="I1837" s="137" t="n">
        <x:v>986.4555568026301</x:v>
      </x:c>
      <x:c r="J1837" s="137" t="n">
        <x:v>940.2679024232522</x:v>
      </x:c>
      <x:c r="K1837" s="136" t="str">
        <x:v>map-85</x:v>
      </x:c>
      <x:c r="L1837" s="136" t="str">
        <x:v>HarpersFerry | Skirmish | Washington Street||Spawn | USA Spawnpoint_WS_Defend_USA_3rdMD [map-85/004]</x:v>
      </x:c>
      <x:c r="M1837" s="35"/>
      <x:c r="N1837" s="35"/>
      <x:c r="O1837" s="35"/>
      <x:c r="P1837" s="35"/>
      <x:c r="Q1837" s="35"/>
      <x:c r="R1837" s="35"/>
      <x:c r="S1837" s="35"/>
      <x:c r="T1837" s="35"/>
      <x:c r="U1837" s="35"/>
      <x:c r="V1837" s="35"/>
      <x:c r="W1837" s="35"/>
      <x:c r="X1837" s="35"/>
      <x:c r="Y1837" s="35"/>
      <x:c r="Z1837" s="35"/>
      <x:c r="AA1837" s="35"/>
    </x:row>
    <x:row r="1838">
      <x:c r="A1838" s="136" t="str">
        <x:v>HarpersFerry | Skirmish | Washington Street</x:v>
      </x:c>
      <x:c r="B1838" s="136" t="str">
        <x:v>Spawn | CSA Spawnpoint_WS_Base_CSA_3rdSC-2 [map-85/005]</x:v>
      </x:c>
      <x:c r="C1838" s="136" t="str">
        <x:v>spawn</x:v>
      </x:c>
      <x:c r="D1838" s="136" t="str">
        <x:v>CSA</x:v>
      </x:c>
      <x:c r="E1838" s="136" t="str">
        <x:v>Spawnpoint_WS_Base_CSA_3rdSC-2</x:v>
      </x:c>
      <x:c r="F1838" s="137" t="n">
        <x:v>2211.957275390625</x:v>
      </x:c>
      <x:c r="G1838" s="137" t="n">
        <x:v>1937.28564453125</x:v>
      </x:c>
      <x:c r="H1838" s="137" t="n">
        <x:v>142.55372619628906</x:v>
      </x:c>
      <x:c r="I1838" s="137" t="n">
        <x:v>1719.0925947658652</x:v>
      </x:c>
      <x:c r="J1838" s="137" t="n">
        <x:v>1495.3654339892025</x:v>
      </x:c>
      <x:c r="K1838" s="136" t="str">
        <x:v>map-85</x:v>
      </x:c>
      <x:c r="L1838" s="136" t="str">
        <x:v>HarpersFerry | Skirmish | Washington Street||Spawn | CSA Spawnpoint_WS_Base_CSA_3rdSC-2 [map-85/005]</x:v>
      </x:c>
      <x:c r="M1838" s="35"/>
      <x:c r="N1838" s="35"/>
      <x:c r="O1838" s="35"/>
      <x:c r="P1838" s="35"/>
      <x:c r="Q1838" s="35"/>
      <x:c r="R1838" s="35"/>
      <x:c r="S1838" s="35"/>
      <x:c r="T1838" s="35"/>
      <x:c r="U1838" s="35"/>
      <x:c r="V1838" s="35"/>
      <x:c r="W1838" s="35"/>
      <x:c r="X1838" s="35"/>
      <x:c r="Y1838" s="35"/>
      <x:c r="Z1838" s="35"/>
      <x:c r="AA1838" s="35"/>
    </x:row>
    <x:row r="1839">
      <x:c r="A1839" s="136" t="str">
        <x:v>HarpersFerry | Skirmish | Washington Street</x:v>
      </x:c>
      <x:c r="B1839" s="136" t="str">
        <x:v>Spawn | USA Spawnpoint_WS_Defend_USA_3rdMD-2 [map-85/006]</x:v>
      </x:c>
      <x:c r="C1839" s="136" t="str">
        <x:v>spawn</x:v>
      </x:c>
      <x:c r="D1839" s="136" t="str">
        <x:v>USA</x:v>
      </x:c>
      <x:c r="E1839" s="136" t="str">
        <x:v>Spawnpoint_WS_Defend_USA_3rdMD-2</x:v>
      </x:c>
      <x:c r="F1839" s="137" t="n">
        <x:v>2084.105712890625</x:v>
      </x:c>
      <x:c r="G1839" s="137" t="n">
        <x:v>2046.9854736328125</x:v>
      </x:c>
      <x:c r="H1839" s="137" t="n">
        <x:v>134.72869873046875</x:v>
      </x:c>
      <x:c r="I1839" s="137" t="n">
        <x:v>1072.5740754300195</x:v>
      </x:c>
      <x:c r="J1839" s="137" t="n">
        <x:v>940.6364209422366</x:v>
      </x:c>
      <x:c r="K1839" s="136" t="str">
        <x:v>map-85</x:v>
      </x:c>
      <x:c r="L1839" s="136" t="str">
        <x:v>HarpersFerry | Skirmish | Washington Street||Spawn | USA Spawnpoint_WS_Defend_USA_3rdMD-2 [map-85/006]</x:v>
      </x:c>
      <x:c r="M1839" s="35"/>
      <x:c r="N1839" s="35"/>
      <x:c r="O1839" s="35"/>
      <x:c r="P1839" s="35"/>
      <x:c r="Q1839" s="35"/>
      <x:c r="R1839" s="35"/>
      <x:c r="S1839" s="35"/>
      <x:c r="T1839" s="35"/>
      <x:c r="U1839" s="35"/>
      <x:c r="V1839" s="35"/>
      <x:c r="W1839" s="35"/>
      <x:c r="X1839" s="35"/>
      <x:c r="Y1839" s="35"/>
      <x:c r="Z1839" s="35"/>
      <x:c r="AA1839" s="35"/>
    </x:row>
    <x:row r="1840">
      <x:c r="A1840" s="136" t="str">
        <x:v>HarpersFerry | Skirmish | Washington Street</x:v>
      </x:c>
      <x:c r="B1840" s="136" t="str">
        <x:v>Objective | Victory_Washington_Street [map-85/007]</x:v>
      </x:c>
      <x:c r="C1840" s="136" t="str">
        <x:v>objective</x:v>
      </x:c>
      <x:c r="D1840" s="136" t="str"/>
      <x:c r="E1840" s="136" t="str">
        <x:v>Victory_Washington_Street</x:v>
      </x:c>
      <x:c r="F1840" s="137" t="n">
        <x:v>2108.1904296875</x:v>
      </x:c>
      <x:c r="G1840" s="137" t="n">
        <x:v>2043.340576171875</x:v>
      </x:c>
      <x:c r="H1840" s="137" t="n">
        <x:v>133.4973907470703</x:v>
      </x:c>
      <x:c r="I1840" s="137" t="n">
        <x:v>1194.365433608679</x:v>
      </x:c>
      <x:c r="J1840" s="137" t="n">
        <x:v>959.067902447019</x:v>
      </x:c>
      <x:c r="K1840" s="136" t="str">
        <x:v>map-85</x:v>
      </x:c>
      <x:c r="L1840" s="136" t="str">
        <x:v>HarpersFerry | Skirmish | Washington Street||Objective | Victory_Washington_Street [map-85/007]</x:v>
      </x:c>
      <x:c r="M1840" s="35"/>
      <x:c r="N1840" s="35"/>
      <x:c r="O1840" s="35"/>
      <x:c r="P1840" s="35"/>
      <x:c r="Q1840" s="35"/>
      <x:c r="R1840" s="35"/>
      <x:c r="S1840" s="35"/>
      <x:c r="T1840" s="35"/>
      <x:c r="U1840" s="35"/>
      <x:c r="V1840" s="35"/>
      <x:c r="W1840" s="35"/>
      <x:c r="X1840" s="35"/>
      <x:c r="Y1840" s="35"/>
      <x:c r="Z1840" s="35"/>
      <x:c r="AA1840" s="35"/>
    </x:row>
    <x:row r="1841">
      <x:c r="A1841" s="136" t="str">
        <x:v>HarpersFerry | Skirmish | Washington Street</x:v>
      </x:c>
      <x:c r="B1841" s="136" t="str">
        <x:v>Spawn | USA Spawnpoint_WS_Base_USA_3rdMD [map-85/008]</x:v>
      </x:c>
      <x:c r="C1841" s="136" t="str">
        <x:v>spawn</x:v>
      </x:c>
      <x:c r="D1841" s="136" t="str">
        <x:v>USA</x:v>
      </x:c>
      <x:c r="E1841" s="136" t="str">
        <x:v>Spawnpoint_WS_Base_USA_3rdMD</x:v>
      </x:c>
      <x:c r="F1841" s="137" t="n">
        <x:v>1952.7952880859375</x:v>
      </x:c>
      <x:c r="G1841" s="137" t="n">
        <x:v>2131.702880859375</x:v>
      </x:c>
      <x:c r="H1841" s="137" t="n">
        <x:v>138.087646484375</x:v>
      </x:c>
      <x:c r="I1841" s="137" t="n">
        <x:v>408.56481533132137</x:v>
      </x:c>
      <x:c r="J1841" s="137" t="n">
        <x:v>512.2382722525085</x:v>
      </x:c>
      <x:c r="K1841" s="136" t="str">
        <x:v>map-85</x:v>
      </x:c>
      <x:c r="L1841" s="136" t="str">
        <x:v>HarpersFerry | Skirmish | Washington Street||Spawn | USA Spawnpoint_WS_Base_USA_3rdMD [map-85/008]</x:v>
      </x:c>
      <x:c r="M1841" s="35"/>
      <x:c r="N1841" s="35"/>
      <x:c r="O1841" s="35"/>
      <x:c r="P1841" s="35"/>
      <x:c r="Q1841" s="35"/>
      <x:c r="R1841" s="35"/>
      <x:c r="S1841" s="35"/>
      <x:c r="T1841" s="35"/>
      <x:c r="U1841" s="35"/>
      <x:c r="V1841" s="35"/>
      <x:c r="W1841" s="35"/>
      <x:c r="X1841" s="35"/>
      <x:c r="Y1841" s="35"/>
      <x:c r="Z1841" s="35"/>
      <x:c r="AA1841" s="35"/>
    </x:row>
    <x:row r="1842">
      <x:c r="A1842" s="136" t="str">
        <x:v>HarpersFerry | Skirmish | Washington Street</x:v>
      </x:c>
      <x:c r="B1842" s="136" t="str">
        <x:v>Spawn | CSA Spawnpoint_WS_Base_CSA_22ndVaBt-2 [map-85/009]</x:v>
      </x:c>
      <x:c r="C1842" s="136" t="str">
        <x:v>spawn</x:v>
      </x:c>
      <x:c r="D1842" s="136" t="str">
        <x:v>CSA</x:v>
      </x:c>
      <x:c r="E1842" s="136" t="str">
        <x:v>Spawnpoint_WS_Base_CSA_22ndVaBt-2</x:v>
      </x:c>
      <x:c r="F1842" s="137" t="n">
        <x:v>2231.210693359375</x:v>
      </x:c>
      <x:c r="G1842" s="137" t="n">
        <x:v>1936.418701171875</x:v>
      </x:c>
      <x:c r="H1842" s="137" t="n">
        <x:v>143.21499633789062</x:v>
      </x:c>
      <x:c r="I1842" s="137" t="n">
        <x:v>1816.4530887161086</x:v>
      </x:c>
      <x:c r="J1842" s="137" t="n">
        <x:v>1499.7493846120287</x:v>
      </x:c>
      <x:c r="K1842" s="136" t="str">
        <x:v>map-85</x:v>
      </x:c>
      <x:c r="L1842" s="136" t="str">
        <x:v>HarpersFerry | Skirmish | Washington Street||Spawn | CSA Spawnpoint_WS_Base_CSA_22ndVaBt-2 [map-85/009]</x:v>
      </x:c>
      <x:c r="M1842" s="35"/>
      <x:c r="N1842" s="35"/>
      <x:c r="O1842" s="35"/>
      <x:c r="P1842" s="35"/>
      <x:c r="Q1842" s="35"/>
      <x:c r="R1842" s="35"/>
      <x:c r="S1842" s="35"/>
      <x:c r="T1842" s="35"/>
      <x:c r="U1842" s="35"/>
      <x:c r="V1842" s="35"/>
      <x:c r="W1842" s="35"/>
      <x:c r="X1842" s="35"/>
      <x:c r="Y1842" s="35"/>
      <x:c r="Z1842" s="35"/>
      <x:c r="AA1842" s="35"/>
    </x:row>
    <x:row r="1843">
      <x:c r="A1843" s="136" t="str">
        <x:v>HarpersFerry | Skirmish | Washington Street</x:v>
      </x:c>
      <x:c r="B1843" s="136" t="str">
        <x:v>Spawn | CSA Spawnpoint_WS_Base_CSA_22ndVaBt [map-85/010]</x:v>
      </x:c>
      <x:c r="C1843" s="136" t="str">
        <x:v>spawn</x:v>
      </x:c>
      <x:c r="D1843" s="136" t="str">
        <x:v>CSA</x:v>
      </x:c>
      <x:c r="E1843" s="136" t="str">
        <x:v>Spawnpoint_WS_Base_CSA_22ndVaBt</x:v>
      </x:c>
      <x:c r="F1843" s="137" t="n">
        <x:v>2221.934814453125</x:v>
      </x:c>
      <x:c r="G1843" s="137" t="n">
        <x:v>1935.955810546875</x:v>
      </x:c>
      <x:c r="H1843" s="137" t="n">
        <x:v>143.25216674804688</x:v>
      </x:c>
      <x:c r="I1843" s="137" t="n">
        <x:v>1769.5469158173037</x:v>
      </x:c>
      <x:c r="J1843" s="137" t="n">
        <x:v>1502.0901253557286</x:v>
      </x:c>
      <x:c r="K1843" s="136" t="str">
        <x:v>map-85</x:v>
      </x:c>
      <x:c r="L1843" s="136" t="str">
        <x:v>HarpersFerry | Skirmish | Washington Street||Spawn | CSA Spawnpoint_WS_Base_CSA_22ndVaBt [map-85/010]</x:v>
      </x:c>
      <x:c r="M1843" s="35"/>
      <x:c r="N1843" s="35"/>
      <x:c r="O1843" s="35"/>
      <x:c r="P1843" s="35"/>
      <x:c r="Q1843" s="35"/>
      <x:c r="R1843" s="35"/>
      <x:c r="S1843" s="35"/>
      <x:c r="T1843" s="35"/>
      <x:c r="U1843" s="35"/>
      <x:c r="V1843" s="35"/>
      <x:c r="W1843" s="35"/>
      <x:c r="X1843" s="35"/>
      <x:c r="Y1843" s="35"/>
      <x:c r="Z1843" s="35"/>
      <x:c r="AA1843" s="35"/>
    </x:row>
    <x:row r="1844">
      <x:c r="A1844" s="136" t="str">
        <x:v>HarpersFerry | Skirmish | Washington Street</x:v>
      </x:c>
      <x:c r="B1844" s="136" t="str">
        <x:v>Spawn | USA Spawnpoint_WS_Base_USA_3rdMD-2 [map-85/011]</x:v>
      </x:c>
      <x:c r="C1844" s="136" t="str">
        <x:v>spawn</x:v>
      </x:c>
      <x:c r="D1844" s="136" t="str">
        <x:v>USA</x:v>
      </x:c>
      <x:c r="E1844" s="136" t="str">
        <x:v>Spawnpoint_WS_Base_USA_3rdMD-2</x:v>
      </x:c>
      <x:c r="F1844" s="137" t="n">
        <x:v>1935.0250244140625</x:v>
      </x:c>
      <x:c r="G1844" s="137" t="n">
        <x:v>2135.265869140625</x:v>
      </x:c>
      <x:c r="H1844" s="137" t="n">
        <x:v>136.89111328125</x:v>
      </x:c>
      <x:c r="I1844" s="137" t="n">
        <x:v>318.7043213905595</x:v>
      </x:c>
      <x:c r="J1844" s="137" t="n">
        <x:v>494.2209882791139</x:v>
      </x:c>
      <x:c r="K1844" s="136" t="str">
        <x:v>map-85</x:v>
      </x:c>
      <x:c r="L1844" s="136" t="str">
        <x:v>HarpersFerry | Skirmish | Washington Street||Spawn | USA Spawnpoint_WS_Base_USA_3rdMD-2 [map-85/011]</x:v>
      </x:c>
      <x:c r="M1844" s="35"/>
      <x:c r="N1844" s="35"/>
      <x:c r="O1844" s="35"/>
      <x:c r="P1844" s="35"/>
      <x:c r="Q1844" s="35"/>
      <x:c r="R1844" s="35"/>
      <x:c r="S1844" s="35"/>
      <x:c r="T1844" s="35"/>
      <x:c r="U1844" s="35"/>
      <x:c r="V1844" s="35"/>
      <x:c r="W1844" s="35"/>
      <x:c r="X1844" s="35"/>
      <x:c r="Y1844" s="35"/>
      <x:c r="Z1844" s="35"/>
      <x:c r="AA1844" s="35"/>
    </x:row>
    <x:row r="1845">
      <x:c r="A1845" s="136" t="str">
        <x:v>HarpersFerry | Skirmish | Washington Street</x:v>
      </x:c>
      <x:c r="B1845" s="136" t="str">
        <x:v>Spawn | USA Spawnpoint_WS_Defend_USA_87thOH [map-85/012]</x:v>
      </x:c>
      <x:c r="C1845" s="136" t="str">
        <x:v>spawn</x:v>
      </x:c>
      <x:c r="D1845" s="136" t="str">
        <x:v>USA</x:v>
      </x:c>
      <x:c r="E1845" s="136" t="str">
        <x:v>Spawnpoint_WS_Defend_USA_87thOH</x:v>
      </x:c>
      <x:c r="F1845" s="137" t="n">
        <x:v>2050.57958984375</x:v>
      </x:c>
      <x:c r="G1845" s="137" t="n">
        <x:v>2049.56396484375</x:v>
      </x:c>
      <x:c r="H1845" s="137" t="n">
        <x:v>136.86019897460938</x:v>
      </x:c>
      <x:c r="I1845" s="137" t="n">
        <x:v>903.0395073144597</x:v>
      </x:c>
      <x:c r="J1845" s="137" t="n">
        <x:v>927.5975320368639</x:v>
      </x:c>
      <x:c r="K1845" s="136" t="str">
        <x:v>map-85</x:v>
      </x:c>
      <x:c r="L1845" s="136" t="str">
        <x:v>HarpersFerry | Skirmish | Washington Street||Spawn | USA Spawnpoint_WS_Defend_USA_87thOH [map-85/012]</x:v>
      </x:c>
      <x:c r="M1845" s="35"/>
      <x:c r="N1845" s="35"/>
      <x:c r="O1845" s="35"/>
      <x:c r="P1845" s="35"/>
      <x:c r="Q1845" s="35"/>
      <x:c r="R1845" s="35"/>
      <x:c r="S1845" s="35"/>
      <x:c r="T1845" s="35"/>
      <x:c r="U1845" s="35"/>
      <x:c r="V1845" s="35"/>
      <x:c r="W1845" s="35"/>
      <x:c r="X1845" s="35"/>
      <x:c r="Y1845" s="35"/>
      <x:c r="Z1845" s="35"/>
      <x:c r="AA1845" s="35"/>
    </x:row>
    <x:row r="1846">
      <x:c r="A1846" s="136" t="str">
        <x:v>HarpersFerry | Skirmish | Washington Street</x:v>
      </x:c>
      <x:c r="B1846" s="136" t="str">
        <x:v>Spawn | USA Spawnpoint_WS_Base_USA_87thOH-2 [map-85/013]</x:v>
      </x:c>
      <x:c r="C1846" s="136" t="str">
        <x:v>spawn</x:v>
      </x:c>
      <x:c r="D1846" s="136" t="str">
        <x:v>USA</x:v>
      </x:c>
      <x:c r="E1846" s="136" t="str">
        <x:v>Spawnpoint_WS_Base_USA_87thOH-2</x:v>
      </x:c>
      <x:c r="F1846" s="137" t="n">
        <x:v>1988.7977294921875</x:v>
      </x:c>
      <x:c r="G1846" s="137" t="n">
        <x:v>2124.483154296875</x:v>
      </x:c>
      <x:c r="H1846" s="137" t="n">
        <x:v>139.709716796875</x:v>
      </x:c>
      <x:c r="I1846" s="137" t="n">
        <x:v>590.6216056849339</x:v>
      </x:c>
      <x:c r="J1846" s="137" t="n">
        <x:v>548.7469142739714</x:v>
      </x:c>
      <x:c r="K1846" s="136" t="str">
        <x:v>map-85</x:v>
      </x:c>
      <x:c r="L1846" s="136" t="str">
        <x:v>HarpersFerry | Skirmish | Washington Street||Spawn | USA Spawnpoint_WS_Base_USA_87thOH-2 [map-85/013]</x:v>
      </x:c>
      <x:c r="M1846" s="35"/>
      <x:c r="N1846" s="35"/>
      <x:c r="O1846" s="35"/>
      <x:c r="P1846" s="35"/>
      <x:c r="Q1846" s="35"/>
      <x:c r="R1846" s="35"/>
      <x:c r="S1846" s="35"/>
      <x:c r="T1846" s="35"/>
      <x:c r="U1846" s="35"/>
      <x:c r="V1846" s="35"/>
      <x:c r="W1846" s="35"/>
      <x:c r="X1846" s="35"/>
      <x:c r="Y1846" s="35"/>
      <x:c r="Z1846" s="35"/>
      <x:c r="AA1846" s="35"/>
    </x:row>
    <x:row r="1847">
      <x:c r="A1847" s="136" t="str">
        <x:v>SouthMountain | Conquest | Log Cabin</x:v>
      </x:c>
      <x:c r="B1847" s="136" t="str">
        <x:v>Spawn | USA CQ1_Spawnpoint_USA_Cavalry_0 [map-86/001]</x:v>
      </x:c>
      <x:c r="C1847" s="136" t="str">
        <x:v>spawn</x:v>
      </x:c>
      <x:c r="D1847" s="136" t="str">
        <x:v>USA</x:v>
      </x:c>
      <x:c r="E1847" s="136" t="str">
        <x:v>CQ1_Spawnpoint_USA_Cavalry_0</x:v>
      </x:c>
      <x:c r="F1847" s="137" t="n">
        <x:v>2422.304443359375</x:v>
      </x:c>
      <x:c r="G1847" s="137" t="n">
        <x:v>2050.403076171875</x:v>
      </x:c>
      <x:c r="H1847" s="137" t="n">
        <x:v>150.33126831054688</x:v>
      </x:c>
      <x:c r="I1847" s="137" t="n">
        <x:v>1404.4122492836677</x:v>
      </x:c>
      <x:c r="J1847" s="137" t="n">
        <x:v>1085.7140304623376</x:v>
      </x:c>
      <x:c r="K1847" s="136" t="str">
        <x:v>map-86</x:v>
      </x:c>
      <x:c r="L1847" s="136" t="str">
        <x:v>SouthMountain | Conquest | Log Cabin||Spawn | USA CQ1_Spawnpoint_USA_Cavalry_0 [map-86/001]</x:v>
      </x:c>
      <x:c r="M1847" s="35"/>
      <x:c r="N1847" s="35"/>
      <x:c r="O1847" s="35"/>
      <x:c r="P1847" s="35"/>
      <x:c r="Q1847" s="35"/>
      <x:c r="R1847" s="35"/>
      <x:c r="S1847" s="35"/>
      <x:c r="T1847" s="35"/>
      <x:c r="U1847" s="35"/>
      <x:c r="V1847" s="35"/>
      <x:c r="W1847" s="35"/>
      <x:c r="X1847" s="35"/>
      <x:c r="Y1847" s="35"/>
      <x:c r="Z1847" s="35"/>
      <x:c r="AA1847" s="35"/>
    </x:row>
    <x:row r="1848">
      <x:c r="A1848" s="136" t="str">
        <x:v>SouthMountain | Conquest | Log Cabin</x:v>
      </x:c>
      <x:c r="B1848" s="136" t="str">
        <x:v>Spawn | USA CQ1_Spawnpoint_USA_Infantry_1 [map-86/002]</x:v>
      </x:c>
      <x:c r="C1848" s="136" t="str">
        <x:v>spawn</x:v>
      </x:c>
      <x:c r="D1848" s="136" t="str">
        <x:v>USA</x:v>
      </x:c>
      <x:c r="E1848" s="136" t="str">
        <x:v>CQ1_Spawnpoint_USA_Infantry_1</x:v>
      </x:c>
      <x:c r="F1848" s="137" t="n">
        <x:v>2283.709228515625</x:v>
      </x:c>
      <x:c r="G1848" s="137" t="n">
        <x:v>2071.635498046875</x:v>
      </x:c>
      <x:c r="H1848" s="137" t="n">
        <x:v>165.9920654296875</x:v>
      </x:c>
      <x:c r="I1848" s="137" t="n">
        <x:v>1201.086318051576</x:v>
      </x:c>
      <x:c r="J1848" s="137" t="n">
        <x:v>1054.5873303793478</x:v>
      </x:c>
      <x:c r="K1848" s="136" t="str">
        <x:v>map-86</x:v>
      </x:c>
      <x:c r="L1848" s="136" t="str">
        <x:v>SouthMountain | Conquest | Log Cabin||Spawn | USA CQ1_Spawnpoint_USA_Infantry_1 [map-86/002]</x:v>
      </x:c>
      <x:c r="M1848" s="35"/>
      <x:c r="N1848" s="35"/>
      <x:c r="O1848" s="35"/>
      <x:c r="P1848" s="35"/>
      <x:c r="Q1848" s="35"/>
      <x:c r="R1848" s="35"/>
      <x:c r="S1848" s="35"/>
      <x:c r="T1848" s="35"/>
      <x:c r="U1848" s="35"/>
      <x:c r="V1848" s="35"/>
      <x:c r="W1848" s="35"/>
      <x:c r="X1848" s="35"/>
      <x:c r="Y1848" s="35"/>
      <x:c r="Z1848" s="35"/>
      <x:c r="AA1848" s="35"/>
    </x:row>
    <x:row r="1849">
      <x:c r="A1849" s="136" t="str">
        <x:v>SouthMountain | Conquest | Log Cabin</x:v>
      </x:c>
      <x:c r="B1849" s="136" t="str">
        <x:v>Artillery | USA CQ1_Spawnpoint_USA_Artillery_Forward [map-86/003]</x:v>
      </x:c>
      <x:c r="C1849" s="136" t="str">
        <x:v>battery</x:v>
      </x:c>
      <x:c r="D1849" s="136" t="str">
        <x:v>USA</x:v>
      </x:c>
      <x:c r="E1849" s="136" t="str">
        <x:v>CQ1_Spawnpoint_USA_Artillery_Forward</x:v>
      </x:c>
      <x:c r="F1849" s="137" t="n">
        <x:v>2465.6474609375</x:v>
      </x:c>
      <x:c r="G1849" s="137" t="n">
        <x:v>1668.099365234375</x:v>
      </x:c>
      <x:c r="H1849" s="137" t="n">
        <x:v>171.83900451660156</x:v>
      </x:c>
      <x:c r="I1849" s="137" t="n">
        <x:v>1467.9985673352437</x:v>
      </x:c>
      <x:c r="J1849" s="137" t="n">
        <x:v>1646.1707235811307</x:v>
      </x:c>
      <x:c r="K1849" s="136" t="str">
        <x:v>map-86</x:v>
      </x:c>
      <x:c r="L1849" s="136" t="str">
        <x:v>SouthMountain | Conquest | Log Cabin||Artillery | USA CQ1_Spawnpoint_USA_Artillery_Forward [map-86/003]</x:v>
      </x:c>
      <x:c r="M1849" s="35"/>
      <x:c r="N1849" s="35"/>
      <x:c r="O1849" s="35"/>
      <x:c r="P1849" s="35"/>
      <x:c r="Q1849" s="35"/>
      <x:c r="R1849" s="35"/>
      <x:c r="S1849" s="35"/>
      <x:c r="T1849" s="35"/>
      <x:c r="U1849" s="35"/>
      <x:c r="V1849" s="35"/>
      <x:c r="W1849" s="35"/>
      <x:c r="X1849" s="35"/>
      <x:c r="Y1849" s="35"/>
      <x:c r="Z1849" s="35"/>
      <x:c r="AA1849" s="35"/>
    </x:row>
    <x:row r="1850">
      <x:c r="A1850" s="136" t="str">
        <x:v>SouthMountain | Conquest | Log Cabin</x:v>
      </x:c>
      <x:c r="B1850" s="136" t="str">
        <x:v>Artillery | CSA CQ1_Spawnpoint_CSA_Artillery_Forward [map-86/004]</x:v>
      </x:c>
      <x:c r="C1850" s="136" t="str">
        <x:v>battery</x:v>
      </x:c>
      <x:c r="D1850" s="136" t="str">
        <x:v>CSA</x:v>
      </x:c>
      <x:c r="E1850" s="136" t="str">
        <x:v>CQ1_Spawnpoint_CSA_Artillery_Forward</x:v>
      </x:c>
      <x:c r="F1850" s="137" t="n">
        <x:v>2095.844970703125</x:v>
      </x:c>
      <x:c r="G1850" s="137" t="n">
        <x:v>1665.8184814453125</x:v>
      </x:c>
      <x:c r="H1850" s="137" t="n">
        <x:v>201.2507781982422</x:v>
      </x:c>
      <x:c r="I1850" s="137" t="n">
        <x:v>925.4803008595989</x:v>
      </x:c>
      <x:c r="J1850" s="137" t="n">
        <x:v>1649.514495951719</x:v>
      </x:c>
      <x:c r="K1850" s="136" t="str">
        <x:v>map-86</x:v>
      </x:c>
      <x:c r="L1850" s="136" t="str">
        <x:v>SouthMountain | Conquest | Log Cabin||Artillery | CSA CQ1_Spawnpoint_CSA_Artillery_Forward [map-86/004]</x:v>
      </x:c>
      <x:c r="M1850" s="35"/>
      <x:c r="N1850" s="35"/>
      <x:c r="O1850" s="35"/>
      <x:c r="P1850" s="35"/>
      <x:c r="Q1850" s="35"/>
      <x:c r="R1850" s="35"/>
      <x:c r="S1850" s="35"/>
      <x:c r="T1850" s="35"/>
      <x:c r="U1850" s="35"/>
      <x:c r="V1850" s="35"/>
      <x:c r="W1850" s="35"/>
      <x:c r="X1850" s="35"/>
      <x:c r="Y1850" s="35"/>
      <x:c r="Z1850" s="35"/>
      <x:c r="AA1850" s="35"/>
    </x:row>
    <x:row r="1851">
      <x:c r="A1851" s="136" t="str">
        <x:v>SouthMountain | Conquest | Log Cabin</x:v>
      </x:c>
      <x:c r="B1851" s="136" t="str">
        <x:v>Spawn | CSA CQ1_Spawnpoint_CSA_Infantry_1 [map-86/005]</x:v>
      </x:c>
      <x:c r="C1851" s="136" t="str">
        <x:v>spawn</x:v>
      </x:c>
      <x:c r="D1851" s="136" t="str">
        <x:v>CSA</x:v>
      </x:c>
      <x:c r="E1851" s="136" t="str">
        <x:v>CQ1_Spawnpoint_CSA_Infantry_1</x:v>
      </x:c>
      <x:c r="F1851" s="137" t="n">
        <x:v>1927.480224609375</x:v>
      </x:c>
      <x:c r="G1851" s="137" t="n">
        <x:v>2065.24560546875</x:v>
      </x:c>
      <x:c r="H1851" s="137" t="n">
        <x:v>192.89108276367188</x:v>
      </x:c>
      <x:c r="I1851" s="137" t="n">
        <x:v>678.4810171919771</x:v>
      </x:c>
      <x:c r="J1851" s="137" t="n">
        <x:v>1063.9549037542913</x:v>
      </x:c>
      <x:c r="K1851" s="136" t="str">
        <x:v>map-86</x:v>
      </x:c>
      <x:c r="L1851" s="136" t="str">
        <x:v>SouthMountain | Conquest | Log Cabin||Spawn | CSA CQ1_Spawnpoint_CSA_Infantry_1 [map-86/005]</x:v>
      </x:c>
      <x:c r="M1851" s="35"/>
      <x:c r="N1851" s="35"/>
      <x:c r="O1851" s="35"/>
      <x:c r="P1851" s="35"/>
      <x:c r="Q1851" s="35"/>
      <x:c r="R1851" s="35"/>
      <x:c r="S1851" s="35"/>
      <x:c r="T1851" s="35"/>
      <x:c r="U1851" s="35"/>
      <x:c r="V1851" s="35"/>
      <x:c r="W1851" s="35"/>
      <x:c r="X1851" s="35"/>
      <x:c r="Y1851" s="35"/>
      <x:c r="Z1851" s="35"/>
      <x:c r="AA1851" s="35"/>
    </x:row>
    <x:row r="1852">
      <x:c r="A1852" s="136" t="str">
        <x:v>SouthMountain | Conquest | Log Cabin</x:v>
      </x:c>
      <x:c r="B1852" s="136" t="str">
        <x:v>Spawn | USA CQ1_Spawnpoint_USA_Infantry_0 [map-86/006]</x:v>
      </x:c>
      <x:c r="C1852" s="136" t="str">
        <x:v>spawn</x:v>
      </x:c>
      <x:c r="D1852" s="136" t="str">
        <x:v>USA</x:v>
      </x:c>
      <x:c r="E1852" s="136" t="str">
        <x:v>CQ1_Spawnpoint_USA_Infantry_0</x:v>
      </x:c>
      <x:c r="F1852" s="137" t="n">
        <x:v>2291.150390625</x:v>
      </x:c>
      <x:c r="G1852" s="137" t="n">
        <x:v>2096.5087890625</x:v>
      </x:c>
      <x:c r="H1852" s="137" t="n">
        <x:v>165.6676788330078</x:v>
      </x:c>
      <x:c r="I1852" s="137" t="n">
        <x:v>1212.002865329513</x:v>
      </x:c>
      <x:c r="J1852" s="137" t="n">
        <x:v>1018.1231213466565</x:v>
      </x:c>
      <x:c r="K1852" s="136" t="str">
        <x:v>map-86</x:v>
      </x:c>
      <x:c r="L1852" s="136" t="str">
        <x:v>SouthMountain | Conquest | Log Cabin||Spawn | USA CQ1_Spawnpoint_USA_Infantry_0 [map-86/006]</x:v>
      </x:c>
      <x:c r="M1852" s="35"/>
      <x:c r="N1852" s="35"/>
      <x:c r="O1852" s="35"/>
      <x:c r="P1852" s="35"/>
      <x:c r="Q1852" s="35"/>
      <x:c r="R1852" s="35"/>
      <x:c r="S1852" s="35"/>
      <x:c r="T1852" s="35"/>
      <x:c r="U1852" s="35"/>
      <x:c r="V1852" s="35"/>
      <x:c r="W1852" s="35"/>
      <x:c r="X1852" s="35"/>
      <x:c r="Y1852" s="35"/>
      <x:c r="Z1852" s="35"/>
      <x:c r="AA1852" s="35"/>
    </x:row>
    <x:row r="1853">
      <x:c r="A1853" s="136" t="str">
        <x:v>SouthMountain | Conquest | Log Cabin</x:v>
      </x:c>
      <x:c r="B1853" s="136" t="str">
        <x:v>Artillery | USA CQ1_Spawnpoint_USA_Artillery_Staging [map-86/007]</x:v>
      </x:c>
      <x:c r="C1853" s="136" t="str">
        <x:v>battery</x:v>
      </x:c>
      <x:c r="D1853" s="136" t="str">
        <x:v>USA</x:v>
      </x:c>
      <x:c r="E1853" s="136" t="str">
        <x:v>CQ1_Spawnpoint_USA_Artillery_Staging</x:v>
      </x:c>
      <x:c r="F1853" s="137" t="n">
        <x:v>2304.39697265625</x:v>
      </x:c>
      <x:c r="G1853" s="137" t="n">
        <x:v>2056.994873046875</x:v>
      </x:c>
      <x:c r="H1853" s="137" t="n">
        <x:v>163.38363647460938</x:v>
      </x:c>
      <x:c r="I1853" s="137" t="n">
        <x:v>1231.436246418338</x:v>
      </x:c>
      <x:c r="J1853" s="137" t="n">
        <x:v>1076.0504656771209</x:v>
      </x:c>
      <x:c r="K1853" s="136" t="str">
        <x:v>map-86</x:v>
      </x:c>
      <x:c r="L1853" s="136" t="str">
        <x:v>SouthMountain | Conquest | Log Cabin||Artillery | USA CQ1_Spawnpoint_USA_Artillery_Staging [map-86/007]</x:v>
      </x:c>
      <x:c r="M1853" s="35"/>
      <x:c r="N1853" s="35"/>
      <x:c r="O1853" s="35"/>
      <x:c r="P1853" s="35"/>
      <x:c r="Q1853" s="35"/>
      <x:c r="R1853" s="35"/>
      <x:c r="S1853" s="35"/>
      <x:c r="T1853" s="35"/>
      <x:c r="U1853" s="35"/>
      <x:c r="V1853" s="35"/>
      <x:c r="W1853" s="35"/>
      <x:c r="X1853" s="35"/>
      <x:c r="Y1853" s="35"/>
      <x:c r="Z1853" s="35"/>
      <x:c r="AA1853" s="35"/>
    </x:row>
    <x:row r="1854">
      <x:c r="A1854" s="136" t="str">
        <x:v>SouthMountain | Conquest | Log Cabin</x:v>
      </x:c>
      <x:c r="B1854" s="136" t="str">
        <x:v>Objective | Victory_Conquest_1 [map-86/008]</x:v>
      </x:c>
      <x:c r="C1854" s="136" t="str">
        <x:v>objective</x:v>
      </x:c>
      <x:c r="D1854" s="136" t="str"/>
      <x:c r="E1854" s="136" t="str">
        <x:v>Victory_Conquest_1</x:v>
      </x:c>
      <x:c r="F1854" s="137" t="n">
        <x:v>2074.062744140625</x:v>
      </x:c>
      <x:c r="G1854" s="137" t="n">
        <x:v>2239.339111328125</x:v>
      </x:c>
      <x:c r="H1854" s="137" t="n">
        <x:v>198.156982421875</x:v>
      </x:c>
      <x:c r="I1854" s="137" t="n">
        <x:v>893.5247134670489</x:v>
      </x:c>
      <x:c r="J1854" s="137" t="n">
        <x:v>808.7340733100013</x:v>
      </x:c>
      <x:c r="K1854" s="136" t="str">
        <x:v>map-86</x:v>
      </x:c>
      <x:c r="L1854" s="136" t="str">
        <x:v>SouthMountain | Conquest | Log Cabin||Objective | Victory_Conquest_1 [map-86/008]</x:v>
      </x:c>
      <x:c r="M1854" s="35"/>
      <x:c r="N1854" s="35"/>
      <x:c r="O1854" s="35"/>
      <x:c r="P1854" s="35"/>
      <x:c r="Q1854" s="35"/>
      <x:c r="R1854" s="35"/>
      <x:c r="S1854" s="35"/>
      <x:c r="T1854" s="35"/>
      <x:c r="U1854" s="35"/>
      <x:c r="V1854" s="35"/>
      <x:c r="W1854" s="35"/>
      <x:c r="X1854" s="35"/>
      <x:c r="Y1854" s="35"/>
      <x:c r="Z1854" s="35"/>
      <x:c r="AA1854" s="35"/>
    </x:row>
    <x:row r="1855">
      <x:c r="A1855" s="136" t="str">
        <x:v>SouthMountain | Conquest | Log Cabin</x:v>
      </x:c>
      <x:c r="B1855" s="136" t="str">
        <x:v>Spawn | CSA CQ1_Spawnpoint_CSA_Cavalry_0 [map-86/009]</x:v>
      </x:c>
      <x:c r="C1855" s="136" t="str">
        <x:v>spawn</x:v>
      </x:c>
      <x:c r="D1855" s="136" t="str">
        <x:v>CSA</x:v>
      </x:c>
      <x:c r="E1855" s="136" t="str">
        <x:v>CQ1_Spawnpoint_CSA_Cavalry_0</x:v>
      </x:c>
      <x:c r="F1855" s="137" t="n">
        <x:v>1936.7894287109375</x:v>
      </x:c>
      <x:c r="G1855" s="137" t="n">
        <x:v>1898.19189453125</x:v>
      </x:c>
      <x:c r="H1855" s="137" t="n">
        <x:v>192.65306091308594</x:v>
      </x:c>
      <x:c r="I1855" s="137" t="n">
        <x:v>692.1380730659026</x:v>
      </x:c>
      <x:c r="J1855" s="137" t="n">
        <x:v>1308.8554049177767</x:v>
      </x:c>
      <x:c r="K1855" s="136" t="str">
        <x:v>map-86</x:v>
      </x:c>
      <x:c r="L1855" s="136" t="str">
        <x:v>SouthMountain | Conquest | Log Cabin||Spawn | CSA CQ1_Spawnpoint_CSA_Cavalry_0 [map-86/009]</x:v>
      </x:c>
      <x:c r="M1855" s="35"/>
      <x:c r="N1855" s="35"/>
      <x:c r="O1855" s="35"/>
      <x:c r="P1855" s="35"/>
      <x:c r="Q1855" s="35"/>
      <x:c r="R1855" s="35"/>
      <x:c r="S1855" s="35"/>
      <x:c r="T1855" s="35"/>
      <x:c r="U1855" s="35"/>
      <x:c r="V1855" s="35"/>
      <x:c r="W1855" s="35"/>
      <x:c r="X1855" s="35"/>
      <x:c r="Y1855" s="35"/>
      <x:c r="Z1855" s="35"/>
      <x:c r="AA1855" s="35"/>
    </x:row>
    <x:row r="1856">
      <x:c r="A1856" s="136" t="str">
        <x:v>SouthMountain | Conquest | Log Cabin</x:v>
      </x:c>
      <x:c r="B1856" s="136" t="str">
        <x:v>Spawn | CSA CQ1_Spawnpoint_CSA_Infantry_0 [map-86/010]</x:v>
      </x:c>
      <x:c r="C1856" s="136" t="str">
        <x:v>spawn</x:v>
      </x:c>
      <x:c r="D1856" s="136" t="str">
        <x:v>CSA</x:v>
      </x:c>
      <x:c r="E1856" s="136" t="str">
        <x:v>CQ1_Spawnpoint_CSA_Infantry_0</x:v>
      </x:c>
      <x:c r="F1856" s="137" t="n">
        <x:v>1934.596435546875</x:v>
      </x:c>
      <x:c r="G1856" s="137" t="n">
        <x:v>2081.671142578125</x:v>
      </x:c>
      <x:c r="H1856" s="137" t="n">
        <x:v>195.07054138183594</x:v>
      </x:c>
      <x:c r="I1856" s="137" t="n">
        <x:v>688.9208452722063</x:v>
      </x:c>
      <x:c r="J1856" s="137" t="n">
        <x:v>1039.8750898585656</x:v>
      </x:c>
      <x:c r="K1856" s="136" t="str">
        <x:v>map-86</x:v>
      </x:c>
      <x:c r="L1856" s="136" t="str">
        <x:v>SouthMountain | Conquest | Log Cabin||Spawn | CSA CQ1_Spawnpoint_CSA_Infantry_0 [map-86/010]</x:v>
      </x:c>
      <x:c r="M1856" s="35"/>
      <x:c r="N1856" s="35"/>
      <x:c r="O1856" s="35"/>
      <x:c r="P1856" s="35"/>
      <x:c r="Q1856" s="35"/>
      <x:c r="R1856" s="35"/>
      <x:c r="S1856" s="35"/>
      <x:c r="T1856" s="35"/>
      <x:c r="U1856" s="35"/>
      <x:c r="V1856" s="35"/>
      <x:c r="W1856" s="35"/>
      <x:c r="X1856" s="35"/>
      <x:c r="Y1856" s="35"/>
      <x:c r="Z1856" s="35"/>
      <x:c r="AA1856" s="35"/>
    </x:row>
    <x:row r="1857">
      <x:c r="A1857" s="136" t="str">
        <x:v>SouthMountain | Conquest | Log Cabin</x:v>
      </x:c>
      <x:c r="B1857" s="136" t="str">
        <x:v>Artillery | CSA CQ1_Spawnpoint_CSA_Artillery_Staging [map-86/011]</x:v>
      </x:c>
      <x:c r="C1857" s="136" t="str">
        <x:v>battery</x:v>
      </x:c>
      <x:c r="D1857" s="136" t="str">
        <x:v>CSA</x:v>
      </x:c>
      <x:c r="E1857" s="136" t="str">
        <x:v>CQ1_Spawnpoint_CSA_Artillery_Staging</x:v>
      </x:c>
      <x:c r="F1857" s="137" t="n">
        <x:v>1937.4276123046875</x:v>
      </x:c>
      <x:c r="G1857" s="137" t="n">
        <x:v>2039.363525390625</x:v>
      </x:c>
      <x:c r="H1857" s="137" t="n">
        <x:v>193.1080322265625</x:v>
      </x:c>
      <x:c r="I1857" s="137" t="n">
        <x:v>693.0743194842407</x:v>
      </x:c>
      <x:c r="J1857" s="137" t="n">
        <x:v>1101.8979961089276</x:v>
      </x:c>
      <x:c r="K1857" s="136" t="str">
        <x:v>map-86</x:v>
      </x:c>
      <x:c r="L1857" s="136" t="str">
        <x:v>SouthMountain | Conquest | Log Cabin||Artillery | CSA CQ1_Spawnpoint_CSA_Artillery_Staging [map-86/011]</x:v>
      </x:c>
      <x:c r="M1857" s="35"/>
      <x:c r="N1857" s="35"/>
      <x:c r="O1857" s="35"/>
      <x:c r="P1857" s="35"/>
      <x:c r="Q1857" s="35"/>
      <x:c r="R1857" s="35"/>
      <x:c r="S1857" s="35"/>
      <x:c r="T1857" s="35"/>
      <x:c r="U1857" s="35"/>
      <x:c r="V1857" s="35"/>
      <x:c r="W1857" s="35"/>
      <x:c r="X1857" s="35"/>
      <x:c r="Y1857" s="35"/>
      <x:c r="Z1857" s="35"/>
      <x:c r="AA1857" s="35"/>
    </x:row>
    <x:row r="1858">
      <x:c r="A1858" s="136" t="str">
        <x:v>SouthMountain | Conquest | Log Cabin</x:v>
      </x:c>
      <x:c r="B1858" s="136" t="str">
        <x:v>Spawn | CSA CQ1_Spawnpoint_CSA_Infantry_2 [map-86/012]</x:v>
      </x:c>
      <x:c r="C1858" s="136" t="str">
        <x:v>spawn</x:v>
      </x:c>
      <x:c r="D1858" s="136" t="str">
        <x:v>CSA</x:v>
      </x:c>
      <x:c r="E1858" s="136" t="str">
        <x:v>CQ1_Spawnpoint_CSA_Infantry_2</x:v>
      </x:c>
      <x:c r="F1858" s="137" t="n">
        <x:v>1924.4798583984375</x:v>
      </x:c>
      <x:c r="G1858" s="137" t="n">
        <x:v>2050.0361328125</x:v>
      </x:c>
      <x:c r="H1858" s="137" t="n">
        <x:v>191.41148376464844</x:v>
      </x:c>
      <x:c r="I1858" s="137" t="n">
        <x:v>674.0793338108882</x:v>
      </x:c>
      <x:c r="J1858" s="137" t="n">
        <x:v>1086.251968902048</x:v>
      </x:c>
      <x:c r="K1858" s="136" t="str">
        <x:v>map-86</x:v>
      </x:c>
      <x:c r="L1858" s="136" t="str">
        <x:v>SouthMountain | Conquest | Log Cabin||Spawn | CSA CQ1_Spawnpoint_CSA_Infantry_2 [map-86/012]</x:v>
      </x:c>
      <x:c r="M1858" s="35"/>
      <x:c r="N1858" s="35"/>
      <x:c r="O1858" s="35"/>
      <x:c r="P1858" s="35"/>
      <x:c r="Q1858" s="35"/>
      <x:c r="R1858" s="35"/>
      <x:c r="S1858" s="35"/>
      <x:c r="T1858" s="35"/>
      <x:c r="U1858" s="35"/>
      <x:c r="V1858" s="35"/>
      <x:c r="W1858" s="35"/>
      <x:c r="X1858" s="35"/>
      <x:c r="Y1858" s="35"/>
      <x:c r="Z1858" s="35"/>
      <x:c r="AA1858" s="35"/>
    </x:row>
    <x:row r="1859">
      <x:c r="A1859" s="136" t="str">
        <x:v>SouthMountain | Conquest | Log Cabin</x:v>
      </x:c>
      <x:c r="B1859" s="136" t="str">
        <x:v>Spawn | USA CQ1_Spawnpoint_USA_Infantry_2 [map-86/013]</x:v>
      </x:c>
      <x:c r="C1859" s="136" t="str">
        <x:v>spawn</x:v>
      </x:c>
      <x:c r="D1859" s="136" t="str">
        <x:v>USA</x:v>
      </x:c>
      <x:c r="E1859" s="136" t="str">
        <x:v>CQ1_Spawnpoint_USA_Infantry_2</x:v>
      </x:c>
      <x:c r="F1859" s="137" t="n">
        <x:v>2289.92822265625</x:v>
      </x:c>
      <x:c r="G1859" s="137" t="n">
        <x:v>2048.298583984375</x:v>
      </x:c>
      <x:c r="H1859" s="137" t="n">
        <x:v>167.06800842285156</x:v>
      </x:c>
      <x:c r="I1859" s="137" t="n">
        <x:v>1210.2098853868197</x:v>
      </x:c>
      <x:c r="J1859" s="137" t="n">
        <x:v>1088.7992129974698</x:v>
      </x:c>
      <x:c r="K1859" s="136" t="str">
        <x:v>map-86</x:v>
      </x:c>
      <x:c r="L1859" s="136" t="str">
        <x:v>SouthMountain | Conquest | Log Cabin||Spawn | USA CQ1_Spawnpoint_USA_Infantry_2 [map-86/013]</x:v>
      </x:c>
      <x:c r="M1859" s="35"/>
      <x:c r="N1859" s="35"/>
      <x:c r="O1859" s="35"/>
      <x:c r="P1859" s="35"/>
      <x:c r="Q1859" s="35"/>
      <x:c r="R1859" s="35"/>
      <x:c r="S1859" s="35"/>
      <x:c r="T1859" s="35"/>
      <x:c r="U1859" s="35"/>
      <x:c r="V1859" s="35"/>
      <x:c r="W1859" s="35"/>
      <x:c r="X1859" s="35"/>
      <x:c r="Y1859" s="35"/>
      <x:c r="Z1859" s="35"/>
      <x:c r="AA1859" s="35"/>
    </x:row>
    <x:row r="1860">
      <x:c r="A1860" s="136" t="str">
        <x:v>SouthMountain | Conquest | Log Cabin</x:v>
      </x:c>
      <x:c r="B1860" s="136" t="str">
        <x:v>Gun | 12-pounder Napoleon (CSA) · Entity-1617 [map-86/014]</x:v>
      </x:c>
      <x:c r="C1860" s="136" t="str">
        <x:v>gun_spawn</x:v>
      </x:c>
      <x:c r="D1860" s="136" t="str"/>
      <x:c r="E1860" s="136" t="str">
        <x:v>12-pounder Napoleon (CSA) · Entity-1617</x:v>
      </x:c>
      <x:c r="F1860" s="137" t="n">
        <x:v>2423.703857421875</x:v>
      </x:c>
      <x:c r="G1860" s="137" t="n">
        <x:v>1689.603271484375</x:v>
      </x:c>
      <x:c r="H1860" s="137" t="n">
        <x:v>172.86790466308594</x:v>
      </x:c>
      <x:c r="I1860" s="137" t="n">
        <x:v>1406.4652578796563</x:v>
      </x:c>
      <x:c r="J1860" s="137" t="n">
        <x:v>1614.6460277929127</x:v>
      </x:c>
      <x:c r="K1860" s="136" t="str">
        <x:v>map-86</x:v>
      </x:c>
      <x:c r="L1860" s="136" t="str">
        <x:v>SouthMountain | Conquest | Log Cabin||Gun | 12-pounder Napoleon (CSA) · Entity-1617 [map-86/014]</x:v>
      </x:c>
      <x:c r="M1860" s="35"/>
      <x:c r="N1860" s="35"/>
      <x:c r="O1860" s="35"/>
      <x:c r="P1860" s="35"/>
      <x:c r="Q1860" s="35"/>
      <x:c r="R1860" s="35"/>
      <x:c r="S1860" s="35"/>
      <x:c r="T1860" s="35"/>
      <x:c r="U1860" s="35"/>
      <x:c r="V1860" s="35"/>
      <x:c r="W1860" s="35"/>
      <x:c r="X1860" s="35"/>
      <x:c r="Y1860" s="35"/>
      <x:c r="Z1860" s="35"/>
      <x:c r="AA1860" s="35"/>
    </x:row>
    <x:row r="1861">
      <x:c r="A1861" s="136" t="str">
        <x:v>SouthMountain | Conquest | Log Cabin</x:v>
      </x:c>
      <x:c r="B1861" s="136" t="str">
        <x:v>Gun | 3-inch Ordnance · Entity-1626 [map-86/015]</x:v>
      </x:c>
      <x:c r="C1861" s="136" t="str">
        <x:v>gun_spawn</x:v>
      </x:c>
      <x:c r="D1861" s="136" t="str"/>
      <x:c r="E1861" s="136" t="str">
        <x:v>3-inch Ordnance · Entity-1626</x:v>
      </x:c>
      <x:c r="F1861" s="137" t="n">
        <x:v>2420.36328125</x:v>
      </x:c>
      <x:c r="G1861" s="137" t="n">
        <x:v>1649.54345703125</x:v>
      </x:c>
      <x:c r="H1861" s="137" t="n">
        <x:v>170.05795288085938</x:v>
      </x:c>
      <x:c r="I1861" s="137" t="n">
        <x:v>1401.5644699140403</x:v>
      </x:c>
      <x:c r="J1861" s="137" t="n">
        <x:v>1673.3736584515157</x:v>
      </x:c>
      <x:c r="K1861" s="136" t="str">
        <x:v>map-86</x:v>
      </x:c>
      <x:c r="L1861" s="136" t="str">
        <x:v>SouthMountain | Conquest | Log Cabin||Gun | 3-inch Ordnance · Entity-1626 [map-86/015]</x:v>
      </x:c>
      <x:c r="M1861" s="35"/>
      <x:c r="N1861" s="35"/>
      <x:c r="O1861" s="35"/>
      <x:c r="P1861" s="35"/>
      <x:c r="Q1861" s="35"/>
      <x:c r="R1861" s="35"/>
      <x:c r="S1861" s="35"/>
      <x:c r="T1861" s="35"/>
      <x:c r="U1861" s="35"/>
      <x:c r="V1861" s="35"/>
      <x:c r="W1861" s="35"/>
      <x:c r="X1861" s="35"/>
      <x:c r="Y1861" s="35"/>
      <x:c r="Z1861" s="35"/>
      <x:c r="AA1861" s="35"/>
    </x:row>
    <x:row r="1862">
      <x:c r="A1862" s="136" t="str">
        <x:v>SouthMountain | Conquest | Log Cabin</x:v>
      </x:c>
      <x:c r="B1862" s="136" t="str">
        <x:v>Gun | 10-pounder Parrott · Entity-1606 [map-86/016]</x:v>
      </x:c>
      <x:c r="C1862" s="136" t="str">
        <x:v>gun_spawn</x:v>
      </x:c>
      <x:c r="D1862" s="136" t="str"/>
      <x:c r="E1862" s="136" t="str">
        <x:v>10-pounder Parrott · Entity-1606</x:v>
      </x:c>
      <x:c r="F1862" s="137" t="n">
        <x:v>2133.768798828125</x:v>
      </x:c>
      <x:c r="G1862" s="137" t="n">
        <x:v>1673.1512451171875</x:v>
      </x:c>
      <x:c r="H1862" s="137" t="n">
        <x:v>197.94960021972656</x:v>
      </x:c>
      <x:c r="I1862" s="137" t="n">
        <x:v>981.1164040114613</x:v>
      </x:c>
      <x:c r="J1862" s="137" t="n">
        <x:v>1638.7646749026826</x:v>
      </x:c>
      <x:c r="K1862" s="136" t="str">
        <x:v>map-86</x:v>
      </x:c>
      <x:c r="L1862" s="136" t="str">
        <x:v>SouthMountain | Conquest | Log Cabin||Gun | 10-pounder Parrott · Entity-1606 [map-86/016]</x:v>
      </x:c>
      <x:c r="M1862" s="35"/>
      <x:c r="N1862" s="35"/>
      <x:c r="O1862" s="35"/>
      <x:c r="P1862" s="35"/>
      <x:c r="Q1862" s="35"/>
      <x:c r="R1862" s="35"/>
      <x:c r="S1862" s="35"/>
      <x:c r="T1862" s="35"/>
      <x:c r="U1862" s="35"/>
      <x:c r="V1862" s="35"/>
      <x:c r="W1862" s="35"/>
      <x:c r="X1862" s="35"/>
      <x:c r="Y1862" s="35"/>
      <x:c r="Z1862" s="35"/>
      <x:c r="AA1862" s="35"/>
    </x:row>
    <x:row r="1863">
      <x:c r="A1863" s="136" t="str">
        <x:v>SouthMountain | Conquest | Log Cabin</x:v>
      </x:c>
      <x:c r="B1863" s="136" t="str">
        <x:v>Gun | 3-inch Ordnance · Entity-1622 [map-86/017]</x:v>
      </x:c>
      <x:c r="C1863" s="136" t="str">
        <x:v>gun_spawn</x:v>
      </x:c>
      <x:c r="D1863" s="136" t="str"/>
      <x:c r="E1863" s="136" t="str">
        <x:v>3-inch Ordnance · Entity-1622</x:v>
      </x:c>
      <x:c r="F1863" s="137" t="n">
        <x:v>2422.17724609375</x:v>
      </x:c>
      <x:c r="G1863" s="137" t="n">
        <x:v>1664.48876953125</x:v>
      </x:c>
      <x:c r="H1863" s="137" t="n">
        <x:v>171.17724609375</x:v>
      </x:c>
      <x:c r="I1863" s="137" t="n">
        <x:v>1404.2256446991405</x:v>
      </x:c>
      <x:c r="J1863" s="137" t="n">
        <x:v>1651.4638517147814</x:v>
      </x:c>
      <x:c r="K1863" s="136" t="str">
        <x:v>map-86</x:v>
      </x:c>
      <x:c r="L1863" s="136" t="str">
        <x:v>SouthMountain | Conquest | Log Cabin||Gun | 3-inch Ordnance · Entity-1622 [map-86/017]</x:v>
      </x:c>
      <x:c r="M1863" s="35"/>
      <x:c r="N1863" s="35"/>
      <x:c r="O1863" s="35"/>
      <x:c r="P1863" s="35"/>
      <x:c r="Q1863" s="35"/>
      <x:c r="R1863" s="35"/>
      <x:c r="S1863" s="35"/>
      <x:c r="T1863" s="35"/>
      <x:c r="U1863" s="35"/>
      <x:c r="V1863" s="35"/>
      <x:c r="W1863" s="35"/>
      <x:c r="X1863" s="35"/>
      <x:c r="Y1863" s="35"/>
      <x:c r="Z1863" s="35"/>
      <x:c r="AA1863" s="35"/>
    </x:row>
    <x:row r="1864">
      <x:c r="A1864" s="136" t="str">
        <x:v>SouthMountain | Conquest | Log Cabin</x:v>
      </x:c>
      <x:c r="B1864" s="136" t="str">
        <x:v>Gun | 12-pounder Napoleon (USA) · Entity-1609 [map-86/018]</x:v>
      </x:c>
      <x:c r="C1864" s="136" t="str">
        <x:v>gun_spawn</x:v>
      </x:c>
      <x:c r="D1864" s="136" t="str"/>
      <x:c r="E1864" s="136" t="str">
        <x:v>12-pounder Napoleon (USA) · Entity-1609</x:v>
      </x:c>
      <x:c r="F1864" s="137" t="n">
        <x:v>2136.818603515625</x:v>
      </x:c>
      <x:c r="G1864" s="137" t="n">
        <x:v>1645.9830322265625</x:v>
      </x:c>
      <x:c r="H1864" s="137" t="n">
        <x:v>194.85055541992188</x:v>
      </x:c>
      <x:c r="I1864" s="137" t="n">
        <x:v>985.5906160458453</x:v>
      </x:c>
      <x:c r="J1864" s="137" t="n">
        <x:v>1678.5932361198568</x:v>
      </x:c>
      <x:c r="K1864" s="136" t="str">
        <x:v>map-86</x:v>
      </x:c>
      <x:c r="L1864" s="136" t="str">
        <x:v>SouthMountain | Conquest | Log Cabin||Gun | 12-pounder Napoleon (USA) · Entity-1609 [map-86/018]</x:v>
      </x:c>
      <x:c r="M1864" s="35"/>
      <x:c r="N1864" s="35"/>
      <x:c r="O1864" s="35"/>
      <x:c r="P1864" s="35"/>
      <x:c r="Q1864" s="35"/>
      <x:c r="R1864" s="35"/>
      <x:c r="S1864" s="35"/>
      <x:c r="T1864" s="35"/>
      <x:c r="U1864" s="35"/>
      <x:c r="V1864" s="35"/>
      <x:c r="W1864" s="35"/>
      <x:c r="X1864" s="35"/>
      <x:c r="Y1864" s="35"/>
      <x:c r="Z1864" s="35"/>
      <x:c r="AA1864" s="35"/>
    </x:row>
    <x:row r="1865">
      <x:c r="A1865" s="136" t="str">
        <x:v>SouthMountain | Conquest | Log Cabin</x:v>
      </x:c>
      <x:c r="B1865" s="136" t="str">
        <x:v>Gun | 10-pounder Parrott · Entity-1604 [map-86/019]</x:v>
      </x:c>
      <x:c r="C1865" s="136" t="str">
        <x:v>gun_spawn</x:v>
      </x:c>
      <x:c r="D1865" s="136" t="str"/>
      <x:c r="E1865" s="136" t="str">
        <x:v>10-pounder Parrott · Entity-1604</x:v>
      </x:c>
      <x:c r="F1865" s="137" t="n">
        <x:v>2132.058349609375</x:v>
      </x:c>
      <x:c r="G1865" s="137" t="n">
        <x:v>1689.2783203125</x:v>
      </x:c>
      <x:c r="H1865" s="137" t="n">
        <x:v>199.83226013183594</x:v>
      </x:c>
      <x:c r="I1865" s="137" t="n">
        <x:v>978.6070916905444</x:v>
      </x:c>
      <x:c r="J1865" s="137" t="n">
        <x:v>1615.122405745843</x:v>
      </x:c>
      <x:c r="K1865" s="136" t="str">
        <x:v>map-86</x:v>
      </x:c>
      <x:c r="L1865" s="136" t="str">
        <x:v>SouthMountain | Conquest | Log Cabin||Gun | 10-pounder Parrott · Entity-1604 [map-86/019]</x:v>
      </x:c>
      <x:c r="M1865" s="35"/>
      <x:c r="N1865" s="35"/>
      <x:c r="O1865" s="35"/>
      <x:c r="P1865" s="35"/>
      <x:c r="Q1865" s="35"/>
      <x:c r="R1865" s="35"/>
      <x:c r="S1865" s="35"/>
      <x:c r="T1865" s="35"/>
      <x:c r="U1865" s="35"/>
      <x:c r="V1865" s="35"/>
      <x:c r="W1865" s="35"/>
      <x:c r="X1865" s="35"/>
      <x:c r="Y1865" s="35"/>
      <x:c r="Z1865" s="35"/>
      <x:c r="AA1865" s="35"/>
    </x:row>
    <x:row r="1866">
      <x:c r="A1866" s="136" t="str">
        <x:v>SouthMountain | Conquest | Log Cabin</x:v>
      </x:c>
      <x:c r="B1866" s="136" t="str">
        <x:v>Gun | 12-pounder Napoleon (USA) · Entity-1608 [map-86/020]</x:v>
      </x:c>
      <x:c r="C1866" s="136" t="str">
        <x:v>gun_spawn</x:v>
      </x:c>
      <x:c r="D1866" s="136" t="str"/>
      <x:c r="E1866" s="136" t="str">
        <x:v>12-pounder Napoleon (USA) · Entity-1608</x:v>
      </x:c>
      <x:c r="F1866" s="137" t="n">
        <x:v>2135.9462890625</x:v>
      </x:c>
      <x:c r="G1866" s="137" t="n">
        <x:v>1655.6082763671875</x:v>
      </x:c>
      <x:c r="H1866" s="137" t="n">
        <x:v>195.8636016845703</x:v>
      </x:c>
      <x:c r="I1866" s="137" t="n">
        <x:v>984.3108882521491</x:v>
      </x:c>
      <x:c r="J1866" s="137" t="n">
        <x:v>1664.482641984406</x:v>
      </x:c>
      <x:c r="K1866" s="136" t="str">
        <x:v>map-86</x:v>
      </x:c>
      <x:c r="L1866" s="136" t="str">
        <x:v>SouthMountain | Conquest | Log Cabin||Gun | 12-pounder Napoleon (USA) · Entity-1608 [map-86/020]</x:v>
      </x:c>
      <x:c r="M1866" s="35"/>
      <x:c r="N1866" s="35"/>
      <x:c r="O1866" s="35"/>
      <x:c r="P1866" s="35"/>
      <x:c r="Q1866" s="35"/>
      <x:c r="R1866" s="35"/>
      <x:c r="S1866" s="35"/>
      <x:c r="T1866" s="35"/>
      <x:c r="U1866" s="35"/>
      <x:c r="V1866" s="35"/>
      <x:c r="W1866" s="35"/>
      <x:c r="X1866" s="35"/>
      <x:c r="Y1866" s="35"/>
      <x:c r="Z1866" s="35"/>
      <x:c r="AA1866" s="35"/>
    </x:row>
    <x:row r="1867">
      <x:c r="A1867" s="136" t="str">
        <x:v>SouthMountain | Conquest | Log Cabin</x:v>
      </x:c>
      <x:c r="B1867" s="136" t="str">
        <x:v>Gun | 12-pounder Napoleon (USA) · Entity-1621 [map-86/021]</x:v>
      </x:c>
      <x:c r="C1867" s="136" t="str">
        <x:v>gun_spawn</x:v>
      </x:c>
      <x:c r="D1867" s="136" t="str"/>
      <x:c r="E1867" s="136" t="str">
        <x:v>12-pounder Napoleon (USA) · Entity-1621</x:v>
      </x:c>
      <x:c r="F1867" s="137" t="n">
        <x:v>2422.229248046875</x:v>
      </x:c>
      <x:c r="G1867" s="137" t="n">
        <x:v>1671.30517578125</x:v>
      </x:c>
      <x:c r="H1867" s="137" t="n">
        <x:v>171.85369873046875</x:v>
      </x:c>
      <x:c r="I1867" s="137" t="n">
        <x:v>1404.301934097421</x:v>
      </x:c>
      <x:c r="J1867" s="137" t="n">
        <x:v>1641.4710099072536</x:v>
      </x:c>
      <x:c r="K1867" s="136" t="str">
        <x:v>map-86</x:v>
      </x:c>
      <x:c r="L1867" s="136" t="str">
        <x:v>SouthMountain | Conquest | Log Cabin||Gun | 12-pounder Napoleon (USA) · Entity-1621 [map-86/021]</x:v>
      </x:c>
      <x:c r="M1867" s="35"/>
      <x:c r="N1867" s="35"/>
      <x:c r="O1867" s="35"/>
      <x:c r="P1867" s="35"/>
      <x:c r="Q1867" s="35"/>
      <x:c r="R1867" s="35"/>
      <x:c r="S1867" s="35"/>
      <x:c r="T1867" s="35"/>
      <x:c r="U1867" s="35"/>
      <x:c r="V1867" s="35"/>
      <x:c r="W1867" s="35"/>
      <x:c r="X1867" s="35"/>
      <x:c r="Y1867" s="35"/>
      <x:c r="Z1867" s="35"/>
      <x:c r="AA1867" s="35"/>
    </x:row>
    <x:row r="1868">
      <x:c r="A1868" s="136" t="str">
        <x:v>SouthMountain | Conquest | Log Cabin</x:v>
      </x:c>
      <x:c r="B1868" s="136" t="str">
        <x:v>Gun | 10-pounder Parrott · Entity-1605 [map-86/022]</x:v>
      </x:c>
      <x:c r="C1868" s="136" t="str">
        <x:v>gun_spawn</x:v>
      </x:c>
      <x:c r="D1868" s="136" t="str"/>
      <x:c r="E1868" s="136" t="str">
        <x:v>10-pounder Parrott · Entity-1605</x:v>
      </x:c>
      <x:c r="F1868" s="137" t="n">
        <x:v>2132.93701171875</x:v>
      </x:c>
      <x:c r="G1868" s="137" t="n">
        <x:v>1680.5048828125</x:v>
      </x:c>
      <x:c r="H1868" s="137" t="n">
        <x:v>198.93679809570312</x:v>
      </x:c>
      <x:c r="I1868" s="137" t="n">
        <x:v>979.8961318051577</x:v>
      </x:c>
      <x:c r="J1868" s="137" t="n">
        <x:v>1627.9842525651597</x:v>
      </x:c>
      <x:c r="K1868" s="136" t="str">
        <x:v>map-86</x:v>
      </x:c>
      <x:c r="L1868" s="136" t="str">
        <x:v>SouthMountain | Conquest | Log Cabin||Gun | 10-pounder Parrott · Entity-1605 [map-86/022]</x:v>
      </x:c>
      <x:c r="M1868" s="35"/>
      <x:c r="N1868" s="35"/>
      <x:c r="O1868" s="35"/>
      <x:c r="P1868" s="35"/>
      <x:c r="Q1868" s="35"/>
      <x:c r="R1868" s="35"/>
      <x:c r="S1868" s="35"/>
      <x:c r="T1868" s="35"/>
      <x:c r="U1868" s="35"/>
      <x:c r="V1868" s="35"/>
      <x:c r="W1868" s="35"/>
      <x:c r="X1868" s="35"/>
      <x:c r="Y1868" s="35"/>
      <x:c r="Z1868" s="35"/>
      <x:c r="AA1868" s="35"/>
    </x:row>
    <x:row r="1869">
      <x:c r="A1869" s="136" t="str">
        <x:v>SouthMountain | Conquest | Log Cabin</x:v>
      </x:c>
      <x:c r="B1869" s="136" t="str">
        <x:v>Gun | 12-pounder Napoleon (CSA) · Entity-1618 [map-86/023]</x:v>
      </x:c>
      <x:c r="C1869" s="136" t="str">
        <x:v>gun_spawn</x:v>
      </x:c>
      <x:c r="D1869" s="136" t="str"/>
      <x:c r="E1869" s="136" t="str">
        <x:v>12-pounder Napoleon (CSA) · Entity-1618</x:v>
      </x:c>
      <x:c r="F1869" s="137" t="n">
        <x:v>2422.897705078125</x:v>
      </x:c>
      <x:c r="G1869" s="137" t="n">
        <x:v>1679.711669921875</x:v>
      </x:c>
      <x:c r="H1869" s="137" t="n">
        <x:v>172.4095001220703</x:v>
      </x:c>
      <x:c r="I1869" s="137" t="n">
        <x:v>1405.2825931232092</x:v>
      </x:c>
      <x:c r="J1869" s="137" t="n">
        <x:v>1629.1471015276475</x:v>
      </x:c>
      <x:c r="K1869" s="136" t="str">
        <x:v>map-86</x:v>
      </x:c>
      <x:c r="L1869" s="136" t="str">
        <x:v>SouthMountain | Conquest | Log Cabin||Gun | 12-pounder Napoleon (CSA) · Entity-1618 [map-86/023]</x:v>
      </x:c>
      <x:c r="M1869" s="35"/>
      <x:c r="N1869" s="35"/>
      <x:c r="O1869" s="35"/>
      <x:c r="P1869" s="35"/>
      <x:c r="Q1869" s="35"/>
      <x:c r="R1869" s="35"/>
      <x:c r="S1869" s="35"/>
      <x:c r="T1869" s="35"/>
      <x:c r="U1869" s="35"/>
      <x:c r="V1869" s="35"/>
      <x:c r="W1869" s="35"/>
      <x:c r="X1869" s="35"/>
      <x:c r="Y1869" s="35"/>
      <x:c r="Z1869" s="35"/>
      <x:c r="AA1869" s="35"/>
    </x:row>
    <x:row r="1870">
      <x:c r="A1870" s="136" t="str">
        <x:v>SouthMountain | Conquest | Log Cabin</x:v>
      </x:c>
      <x:c r="B1870" s="136" t="str">
        <x:v>Gun | 3-inch Ordnance · Entity-1625 [map-86/024]</x:v>
      </x:c>
      <x:c r="C1870" s="136" t="str">
        <x:v>gun_spawn</x:v>
      </x:c>
      <x:c r="D1870" s="136" t="str"/>
      <x:c r="E1870" s="136" t="str">
        <x:v>3-inch Ordnance · Entity-1625</x:v>
      </x:c>
      <x:c r="F1870" s="137" t="n">
        <x:v>2421.40625</x:v>
      </x:c>
      <x:c r="G1870" s="137" t="n">
        <x:v>1656.8382568359375</x:v>
      </x:c>
      <x:c r="H1870" s="137" t="n">
        <x:v>170.8046417236328</x:v>
      </x:c>
      <x:c r="I1870" s="137" t="n">
        <x:v>1403.0945558739254</x:v>
      </x:c>
      <x:c r="J1870" s="137" t="n">
        <x:v>1662.679492377446</x:v>
      </x:c>
      <x:c r="K1870" s="136" t="str">
        <x:v>map-86</x:v>
      </x:c>
      <x:c r="L1870" s="136" t="str">
        <x:v>SouthMountain | Conquest | Log Cabin||Gun | 3-inch Ordnance · Entity-1625 [map-86/024]</x:v>
      </x:c>
      <x:c r="M1870" s="35"/>
      <x:c r="N1870" s="35"/>
      <x:c r="O1870" s="35"/>
      <x:c r="P1870" s="35"/>
      <x:c r="Q1870" s="35"/>
      <x:c r="R1870" s="35"/>
      <x:c r="S1870" s="35"/>
      <x:c r="T1870" s="35"/>
      <x:c r="U1870" s="35"/>
      <x:c r="V1870" s="35"/>
      <x:c r="W1870" s="35"/>
      <x:c r="X1870" s="35"/>
      <x:c r="Y1870" s="35"/>
      <x:c r="Z1870" s="35"/>
      <x:c r="AA1870" s="35"/>
    </x:row>
    <x:row r="1871">
      <x:c r="A1871" s="136" t="str">
        <x:v>SouthMountain | Conquest | Log Cabin</x:v>
      </x:c>
      <x:c r="B1871" s="136" t="str">
        <x:v>Gun | 12-pounder Napoleon (USA) · Entity-1607 [map-86/025]</x:v>
      </x:c>
      <x:c r="C1871" s="136" t="str">
        <x:v>gun_spawn</x:v>
      </x:c>
      <x:c r="D1871" s="136" t="str"/>
      <x:c r="E1871" s="136" t="str">
        <x:v>12-pounder Napoleon (USA) · Entity-1607</x:v>
      </x:c>
      <x:c r="F1871" s="137" t="n">
        <x:v>2134.77685546875</x:v>
      </x:c>
      <x:c r="G1871" s="137" t="n">
        <x:v>1665.0457763671875</x:v>
      </x:c>
      <x:c r="H1871" s="137" t="n">
        <x:v>197.09149169921875</x:v>
      </x:c>
      <x:c r="I1871" s="137" t="n">
        <x:v>982.5952722063038</x:v>
      </x:c>
      <x:c r="J1871" s="137" t="n">
        <x:v>1650.6472804904306</x:v>
      </x:c>
      <x:c r="K1871" s="136" t="str">
        <x:v>map-86</x:v>
      </x:c>
      <x:c r="L1871" s="136" t="str">
        <x:v>SouthMountain | Conquest | Log Cabin||Gun | 12-pounder Napoleon (USA) · Entity-1607 [map-86/025]</x:v>
      </x:c>
      <x:c r="M1871" s="35"/>
      <x:c r="N1871" s="35"/>
      <x:c r="O1871" s="35"/>
      <x:c r="P1871" s="35"/>
      <x:c r="Q1871" s="35"/>
      <x:c r="R1871" s="35"/>
      <x:c r="S1871" s="35"/>
      <x:c r="T1871" s="35"/>
      <x:c r="U1871" s="35"/>
      <x:c r="V1871" s="35"/>
      <x:c r="W1871" s="35"/>
      <x:c r="X1871" s="35"/>
      <x:c r="Y1871" s="35"/>
      <x:c r="Z1871" s="35"/>
      <x:c r="AA1871" s="35"/>
    </x:row>
    <x:row r="1872">
      <x:c r="A1872" s="136" t="str">
        <x:v>SouthMountain | Conquest | Wheat Fields</x:v>
      </x:c>
      <x:c r="B1872" s="136" t="str">
        <x:v>Objective | Victory_Conquest_2 [map-87/001]</x:v>
      </x:c>
      <x:c r="C1872" s="136" t="str">
        <x:v>objective</x:v>
      </x:c>
      <x:c r="D1872" s="136" t="str"/>
      <x:c r="E1872" s="136" t="str">
        <x:v>Victory_Conquest_2</x:v>
      </x:c>
      <x:c r="F1872" s="137" t="n">
        <x:v>1920.5625</x:v>
      </x:c>
      <x:c r="G1872" s="137" t="n">
        <x:v>1062.793701171875</x:v>
      </x:c>
      <x:c r="H1872" s="137" t="n">
        <x:v>214.91860961914062</x:v>
      </x:c>
      <x:c r="I1872" s="137" t="n">
        <x:v>1310.020618556701</x:v>
      </x:c>
      <x:c r="J1872" s="137" t="n">
        <x:v>1543.4007731958764</x:v>
      </x:c>
      <x:c r="K1872" s="136" t="str">
        <x:v>map-87</x:v>
      </x:c>
      <x:c r="L1872" s="136" t="str">
        <x:v>SouthMountain | Conquest | Wheat Fields||Objective | Victory_Conquest_2 [map-87/001]</x:v>
      </x:c>
      <x:c r="M1872" s="35"/>
      <x:c r="N1872" s="35"/>
      <x:c r="O1872" s="35"/>
      <x:c r="P1872" s="35"/>
      <x:c r="Q1872" s="35"/>
      <x:c r="R1872" s="35"/>
      <x:c r="S1872" s="35"/>
      <x:c r="T1872" s="35"/>
      <x:c r="U1872" s="35"/>
      <x:c r="V1872" s="35"/>
      <x:c r="W1872" s="35"/>
      <x:c r="X1872" s="35"/>
      <x:c r="Y1872" s="35"/>
      <x:c r="Z1872" s="35"/>
      <x:c r="AA1872" s="35"/>
    </x:row>
    <x:row r="1873">
      <x:c r="A1873" s="136" t="str">
        <x:v>SouthMountain | Conquest | Wheat Fields</x:v>
      </x:c>
      <x:c r="B1873" s="136" t="str">
        <x:v>Spawn | USA CQ2_Spawnpoint_USA_Infantry_1 [map-87/002]</x:v>
      </x:c>
      <x:c r="C1873" s="136" t="str">
        <x:v>spawn</x:v>
      </x:c>
      <x:c r="D1873" s="136" t="str">
        <x:v>USA</x:v>
      </x:c>
      <x:c r="E1873" s="136" t="str">
        <x:v>CQ2_Spawnpoint_USA_Infantry_1</x:v>
      </x:c>
      <x:c r="F1873" s="137" t="n">
        <x:v>2122.331298828125</x:v>
      </x:c>
      <x:c r="G1873" s="137" t="n">
        <x:v>999.3908081054688</x:v>
      </x:c>
      <x:c r="H1873" s="137" t="n">
        <x:v>165.34071350097656</x:v>
      </x:c>
      <x:c r="I1873" s="137" t="n">
        <x:v>1665.0227663230241</x:v>
      </x:c>
      <x:c r="J1873" s="137" t="n">
        <x:v>1654.9550042955327</x:v>
      </x:c>
      <x:c r="K1873" s="136" t="str">
        <x:v>map-87</x:v>
      </x:c>
      <x:c r="L1873" s="136" t="str">
        <x:v>SouthMountain | Conquest | Wheat Fields||Spawn | USA CQ2_Spawnpoint_USA_Infantry_1 [map-87/002]</x:v>
      </x:c>
      <x:c r="M1873" s="35"/>
      <x:c r="N1873" s="35"/>
      <x:c r="O1873" s="35"/>
      <x:c r="P1873" s="35"/>
      <x:c r="Q1873" s="35"/>
      <x:c r="R1873" s="35"/>
      <x:c r="S1873" s="35"/>
      <x:c r="T1873" s="35"/>
      <x:c r="U1873" s="35"/>
      <x:c r="V1873" s="35"/>
      <x:c r="W1873" s="35"/>
      <x:c r="X1873" s="35"/>
      <x:c r="Y1873" s="35"/>
      <x:c r="Z1873" s="35"/>
      <x:c r="AA1873" s="35"/>
    </x:row>
    <x:row r="1874">
      <x:c r="A1874" s="136" t="str">
        <x:v>SouthMountain | Conquest | Wheat Fields</x:v>
      </x:c>
      <x:c r="B1874" s="136" t="str">
        <x:v>Spawn | CSA CQ2_Spawnpoint_CSA_Cavalry_0 [map-87/003]</x:v>
      </x:c>
      <x:c r="C1874" s="136" t="str">
        <x:v>spawn</x:v>
      </x:c>
      <x:c r="D1874" s="136" t="str">
        <x:v>CSA</x:v>
      </x:c>
      <x:c r="E1874" s="136" t="str">
        <x:v>CQ2_Spawnpoint_CSA_Cavalry_0</x:v>
      </x:c>
      <x:c r="F1874" s="137" t="n">
        <x:v>1705.0352783203125</x:v>
      </x:c>
      <x:c r="G1874" s="137" t="n">
        <x:v>1650.5496826171875</x:v>
      </x:c>
      <x:c r="H1874" s="137" t="n">
        <x:v>196.15866088867188</x:v>
      </x:c>
      <x:c r="I1874" s="137" t="n">
        <x:v>930.8112113402062</x:v>
      </x:c>
      <x:c r="J1874" s="137" t="n">
        <x:v>509.273410652921</x:v>
      </x:c>
      <x:c r="K1874" s="136" t="str">
        <x:v>map-87</x:v>
      </x:c>
      <x:c r="L1874" s="136" t="str">
        <x:v>SouthMountain | Conquest | Wheat Fields||Spawn | CSA CQ2_Spawnpoint_CSA_Cavalry_0 [map-87/003]</x:v>
      </x:c>
      <x:c r="M1874" s="35"/>
      <x:c r="N1874" s="35"/>
      <x:c r="O1874" s="35"/>
      <x:c r="P1874" s="35"/>
      <x:c r="Q1874" s="35"/>
      <x:c r="R1874" s="35"/>
      <x:c r="S1874" s="35"/>
      <x:c r="T1874" s="35"/>
      <x:c r="U1874" s="35"/>
      <x:c r="V1874" s="35"/>
      <x:c r="W1874" s="35"/>
      <x:c r="X1874" s="35"/>
      <x:c r="Y1874" s="35"/>
      <x:c r="Z1874" s="35"/>
      <x:c r="AA1874" s="35"/>
    </x:row>
    <x:row r="1875">
      <x:c r="A1875" s="136" t="str">
        <x:v>SouthMountain | Conquest | Wheat Fields</x:v>
      </x:c>
      <x:c r="B1875" s="136" t="str">
        <x:v>Spawn | USA CQ2_Spawnpoint_USA_Cavalry_0 [map-87/004]</x:v>
      </x:c>
      <x:c r="C1875" s="136" t="str">
        <x:v>spawn</x:v>
      </x:c>
      <x:c r="D1875" s="136" t="str">
        <x:v>USA</x:v>
      </x:c>
      <x:c r="E1875" s="136" t="str">
        <x:v>CQ2_Spawnpoint_USA_Cavalry_0</x:v>
      </x:c>
      <x:c r="F1875" s="137" t="n">
        <x:v>2150.864013671875</x:v>
      </x:c>
      <x:c r="G1875" s="137" t="n">
        <x:v>960.229736328125</x:v>
      </x:c>
      <x:c r="H1875" s="137" t="n">
        <x:v>175.13241577148438</x:v>
      </x:c>
      <x:c r="I1875" s="137" t="n">
        <x:v>1715.2246563573883</x:v>
      </x:c>
      <x:c r="J1875" s="137" t="n">
        <x:v>1723.8569587628865</x:v>
      </x:c>
      <x:c r="K1875" s="136" t="str">
        <x:v>map-87</x:v>
      </x:c>
      <x:c r="L1875" s="136" t="str">
        <x:v>SouthMountain | Conquest | Wheat Fields||Spawn | USA CQ2_Spawnpoint_USA_Cavalry_0 [map-87/004]</x:v>
      </x:c>
      <x:c r="M1875" s="35"/>
      <x:c r="N1875" s="35"/>
      <x:c r="O1875" s="35"/>
      <x:c r="P1875" s="35"/>
      <x:c r="Q1875" s="35"/>
      <x:c r="R1875" s="35"/>
      <x:c r="S1875" s="35"/>
      <x:c r="T1875" s="35"/>
      <x:c r="U1875" s="35"/>
      <x:c r="V1875" s="35"/>
      <x:c r="W1875" s="35"/>
      <x:c r="X1875" s="35"/>
      <x:c r="Y1875" s="35"/>
      <x:c r="Z1875" s="35"/>
      <x:c r="AA1875" s="35"/>
    </x:row>
    <x:row r="1876">
      <x:c r="A1876" s="136" t="str">
        <x:v>SouthMountain | Conquest | Wheat Fields</x:v>
      </x:c>
      <x:c r="B1876" s="136" t="str">
        <x:v>Spawn | USA CQ2_Spawnpoint_USA_Infantry_0 [map-87/005]</x:v>
      </x:c>
      <x:c r="C1876" s="136" t="str">
        <x:v>spawn</x:v>
      </x:c>
      <x:c r="D1876" s="136" t="str">
        <x:v>USA</x:v>
      </x:c>
      <x:c r="E1876" s="136" t="str">
        <x:v>CQ2_Spawnpoint_USA_Infantry_0</x:v>
      </x:c>
      <x:c r="F1876" s="137" t="n">
        <x:v>2100.363037109375</x:v>
      </x:c>
      <x:c r="G1876" s="137" t="n">
        <x:v>983.286865234375</x:v>
      </x:c>
      <x:c r="H1876" s="137" t="n">
        <x:v>168.39920043945312</x:v>
      </x:c>
      <x:c r="I1876" s="137" t="n">
        <x:v>1626.370704467354</x:v>
      </x:c>
      <x:c r="J1876" s="137" t="n">
        <x:v>1683.289089347079</x:v>
      </x:c>
      <x:c r="K1876" s="136" t="str">
        <x:v>map-87</x:v>
      </x:c>
      <x:c r="L1876" s="136" t="str">
        <x:v>SouthMountain | Conquest | Wheat Fields||Spawn | USA CQ2_Spawnpoint_USA_Infantry_0 [map-87/005]</x:v>
      </x:c>
      <x:c r="M1876" s="35"/>
      <x:c r="N1876" s="35"/>
      <x:c r="O1876" s="35"/>
      <x:c r="P1876" s="35"/>
      <x:c r="Q1876" s="35"/>
      <x:c r="R1876" s="35"/>
      <x:c r="S1876" s="35"/>
      <x:c r="T1876" s="35"/>
      <x:c r="U1876" s="35"/>
      <x:c r="V1876" s="35"/>
      <x:c r="W1876" s="35"/>
      <x:c r="X1876" s="35"/>
      <x:c r="Y1876" s="35"/>
      <x:c r="Z1876" s="35"/>
      <x:c r="AA1876" s="35"/>
    </x:row>
    <x:row r="1877">
      <x:c r="A1877" s="136" t="str">
        <x:v>SouthMountain | Conquest | Wheat Fields</x:v>
      </x:c>
      <x:c r="B1877" s="136" t="str">
        <x:v>Artillery | CSA CQ2_Spawnpoint_CSA_Artillery_Staging [map-87/006]</x:v>
      </x:c>
      <x:c r="C1877" s="136" t="str">
        <x:v>battery</x:v>
      </x:c>
      <x:c r="D1877" s="136" t="str">
        <x:v>CSA</x:v>
      </x:c>
      <x:c r="E1877" s="136" t="str">
        <x:v>CQ2_Spawnpoint_CSA_Artillery_Staging</x:v>
      </x:c>
      <x:c r="F1877" s="137" t="n">
        <x:v>1753.90283203125</x:v>
      </x:c>
      <x:c r="G1877" s="137" t="n">
        <x:v>1596.2291259765625</x:v>
      </x:c>
      <x:c r="H1877" s="137" t="n">
        <x:v>206.014892578125</x:v>
      </x:c>
      <x:c r="I1877" s="137" t="n">
        <x:v>1016.7912371134021</x:v>
      </x:c>
      <x:c r="J1877" s="137" t="n">
        <x:v>604.8477233676975</x:v>
      </x:c>
      <x:c r="K1877" s="136" t="str">
        <x:v>map-87</x:v>
      </x:c>
      <x:c r="L1877" s="136" t="str">
        <x:v>SouthMountain | Conquest | Wheat Fields||Artillery | CSA CQ2_Spawnpoint_CSA_Artillery_Staging [map-87/006]</x:v>
      </x:c>
      <x:c r="M1877" s="35"/>
      <x:c r="N1877" s="35"/>
      <x:c r="O1877" s="35"/>
      <x:c r="P1877" s="35"/>
      <x:c r="Q1877" s="35"/>
      <x:c r="R1877" s="35"/>
      <x:c r="S1877" s="35"/>
      <x:c r="T1877" s="35"/>
      <x:c r="U1877" s="35"/>
      <x:c r="V1877" s="35"/>
      <x:c r="W1877" s="35"/>
      <x:c r="X1877" s="35"/>
      <x:c r="Y1877" s="35"/>
      <x:c r="Z1877" s="35"/>
      <x:c r="AA1877" s="35"/>
    </x:row>
    <x:row r="1878">
      <x:c r="A1878" s="136" t="str">
        <x:v>SouthMountain | Conquest | Wheat Fields</x:v>
      </x:c>
      <x:c r="B1878" s="136" t="str">
        <x:v>Artillery | USA CQ2_Spawnpoint_USA_Artillery_Forward [map-87/007]</x:v>
      </x:c>
      <x:c r="C1878" s="136" t="str">
        <x:v>battery</x:v>
      </x:c>
      <x:c r="D1878" s="136" t="str">
        <x:v>USA</x:v>
      </x:c>
      <x:c r="E1878" s="136" t="str">
        <x:v>CQ2_Spawnpoint_USA_Artillery_Forward</x:v>
      </x:c>
      <x:c r="F1878" s="137" t="n">
        <x:v>1972.9595947265625</x:v>
      </x:c>
      <x:c r="G1878" s="137" t="n">
        <x:v>1077.332763671875</x:v>
      </x:c>
      <x:c r="H1878" s="137" t="n">
        <x:v>208.76522827148438</x:v>
      </x:c>
      <x:c r="I1878" s="137" t="n">
        <x:v>1402.2106958762886</x:v>
      </x:c>
      <x:c r="J1878" s="137" t="n">
        <x:v>1517.8200171821306</x:v>
      </x:c>
      <x:c r="K1878" s="136" t="str">
        <x:v>map-87</x:v>
      </x:c>
      <x:c r="L1878" s="136" t="str">
        <x:v>SouthMountain | Conquest | Wheat Fields||Artillery | USA CQ2_Spawnpoint_USA_Artillery_Forward [map-87/007]</x:v>
      </x:c>
      <x:c r="M1878" s="35"/>
      <x:c r="N1878" s="35"/>
      <x:c r="O1878" s="35"/>
      <x:c r="P1878" s="35"/>
      <x:c r="Q1878" s="35"/>
      <x:c r="R1878" s="35"/>
      <x:c r="S1878" s="35"/>
      <x:c r="T1878" s="35"/>
      <x:c r="U1878" s="35"/>
      <x:c r="V1878" s="35"/>
      <x:c r="W1878" s="35"/>
      <x:c r="X1878" s="35"/>
      <x:c r="Y1878" s="35"/>
      <x:c r="Z1878" s="35"/>
      <x:c r="AA1878" s="35"/>
    </x:row>
    <x:row r="1879">
      <x:c r="A1879" s="136" t="str">
        <x:v>SouthMountain | Conquest | Wheat Fields</x:v>
      </x:c>
      <x:c r="B1879" s="136" t="str">
        <x:v>Artillery | CSA CQ2_Spawnpoint_CSA_Artillery_Forward [map-87/008]</x:v>
      </x:c>
      <x:c r="C1879" s="136" t="str">
        <x:v>battery</x:v>
      </x:c>
      <x:c r="D1879" s="136" t="str">
        <x:v>CSA</x:v>
      </x:c>
      <x:c r="E1879" s="136" t="str">
        <x:v>CQ2_Spawnpoint_CSA_Artillery_Forward</x:v>
      </x:c>
      <x:c r="F1879" s="137" t="n">
        <x:v>1793.3096923828125</x:v>
      </x:c>
      <x:c r="G1879" s="137" t="n">
        <x:v>1403.7076416015625</x:v>
      </x:c>
      <x:c r="H1879" s="137" t="n">
        <x:v>212.11447143554688</x:v>
      </x:c>
      <x:c r="I1879" s="137" t="n">
        <x:v>1086.1256443298969</x:v>
      </x:c>
      <x:c r="J1879" s="137" t="n">
        <x:v>943.5796821305842</x:v>
      </x:c>
      <x:c r="K1879" s="136" t="str">
        <x:v>map-87</x:v>
      </x:c>
      <x:c r="L1879" s="136" t="str">
        <x:v>SouthMountain | Conquest | Wheat Fields||Artillery | CSA CQ2_Spawnpoint_CSA_Artillery_Forward [map-87/008]</x:v>
      </x:c>
      <x:c r="M1879" s="35"/>
      <x:c r="N1879" s="35"/>
      <x:c r="O1879" s="35"/>
      <x:c r="P1879" s="35"/>
      <x:c r="Q1879" s="35"/>
      <x:c r="R1879" s="35"/>
      <x:c r="S1879" s="35"/>
      <x:c r="T1879" s="35"/>
      <x:c r="U1879" s="35"/>
      <x:c r="V1879" s="35"/>
      <x:c r="W1879" s="35"/>
      <x:c r="X1879" s="35"/>
      <x:c r="Y1879" s="35"/>
      <x:c r="Z1879" s="35"/>
      <x:c r="AA1879" s="35"/>
    </x:row>
    <x:row r="1880">
      <x:c r="A1880" s="136" t="str">
        <x:v>SouthMountain | Conquest | Wheat Fields</x:v>
      </x:c>
      <x:c r="B1880" s="136" t="str">
        <x:v>Artillery | USA CQ2_Spawnpoint_USA_Artillery_Staging [map-87/009]</x:v>
      </x:c>
      <x:c r="C1880" s="136" t="str">
        <x:v>battery</x:v>
      </x:c>
      <x:c r="D1880" s="136" t="str">
        <x:v>USA</x:v>
      </x:c>
      <x:c r="E1880" s="136" t="str">
        <x:v>CQ2_Spawnpoint_USA_Artillery_Staging</x:v>
      </x:c>
      <x:c r="F1880" s="137" t="n">
        <x:v>2133.62353515625</x:v>
      </x:c>
      <x:c r="G1880" s="137" t="n">
        <x:v>1034.226318359375</x:v>
      </x:c>
      <x:c r="H1880" s="137" t="n">
        <x:v>168.19036865234375</x:v>
      </x:c>
      <x:c r="I1880" s="137" t="n">
        <x:v>1684.8908934707904</x:v>
      </x:c>
      <x:c r="J1880" s="137" t="n">
        <x:v>1593.6636597938145</x:v>
      </x:c>
      <x:c r="K1880" s="136" t="str">
        <x:v>map-87</x:v>
      </x:c>
      <x:c r="L1880" s="136" t="str">
        <x:v>SouthMountain | Conquest | Wheat Fields||Artillery | USA CQ2_Spawnpoint_USA_Artillery_Staging [map-87/009]</x:v>
      </x:c>
      <x:c r="M1880" s="35"/>
      <x:c r="N1880" s="35"/>
      <x:c r="O1880" s="35"/>
      <x:c r="P1880" s="35"/>
      <x:c r="Q1880" s="35"/>
      <x:c r="R1880" s="35"/>
      <x:c r="S1880" s="35"/>
      <x:c r="T1880" s="35"/>
      <x:c r="U1880" s="35"/>
      <x:c r="V1880" s="35"/>
      <x:c r="W1880" s="35"/>
      <x:c r="X1880" s="35"/>
      <x:c r="Y1880" s="35"/>
      <x:c r="Z1880" s="35"/>
      <x:c r="AA1880" s="35"/>
    </x:row>
    <x:row r="1881">
      <x:c r="A1881" s="136" t="str">
        <x:v>SouthMountain | Conquest | Wheat Fields</x:v>
      </x:c>
      <x:c r="B1881" s="136" t="str">
        <x:v>Spawn | CSA CQ2_Spawnpoint_CSA_Infantry_1 [map-87/010]</x:v>
      </x:c>
      <x:c r="C1881" s="136" t="str">
        <x:v>spawn</x:v>
      </x:c>
      <x:c r="D1881" s="136" t="str">
        <x:v>CSA</x:v>
      </x:c>
      <x:c r="E1881" s="136" t="str">
        <x:v>CQ2_Spawnpoint_CSA_Infantry_1</x:v>
      </x:c>
      <x:c r="F1881" s="137" t="n">
        <x:v>1760.35107421875</x:v>
      </x:c>
      <x:c r="G1881" s="137" t="n">
        <x:v>1579.09326171875</x:v>
      </x:c>
      <x:c r="H1881" s="137" t="n">
        <x:v>208.27964782714844</x:v>
      </x:c>
      <x:c r="I1881" s="137" t="n">
        <x:v>1028.1365979381444</x:v>
      </x:c>
      <x:c r="J1881" s="137" t="n">
        <x:v>634.9974226804123</x:v>
      </x:c>
      <x:c r="K1881" s="136" t="str">
        <x:v>map-87</x:v>
      </x:c>
      <x:c r="L1881" s="136" t="str">
        <x:v>SouthMountain | Conquest | Wheat Fields||Spawn | CSA CQ2_Spawnpoint_CSA_Infantry_1 [map-87/010]</x:v>
      </x:c>
      <x:c r="M1881" s="35"/>
      <x:c r="N1881" s="35"/>
      <x:c r="O1881" s="35"/>
      <x:c r="P1881" s="35"/>
      <x:c r="Q1881" s="35"/>
      <x:c r="R1881" s="35"/>
      <x:c r="S1881" s="35"/>
      <x:c r="T1881" s="35"/>
      <x:c r="U1881" s="35"/>
      <x:c r="V1881" s="35"/>
      <x:c r="W1881" s="35"/>
      <x:c r="X1881" s="35"/>
      <x:c r="Y1881" s="35"/>
      <x:c r="Z1881" s="35"/>
      <x:c r="AA1881" s="35"/>
    </x:row>
    <x:row r="1882">
      <x:c r="A1882" s="136" t="str">
        <x:v>SouthMountain | Conquest | Wheat Fields</x:v>
      </x:c>
      <x:c r="B1882" s="136" t="str">
        <x:v>Spawn | CSA CQ2_Spawnpoint_CSA_Infantry_0 [map-87/011]</x:v>
      </x:c>
      <x:c r="C1882" s="136" t="str">
        <x:v>spawn</x:v>
      </x:c>
      <x:c r="D1882" s="136" t="str">
        <x:v>CSA</x:v>
      </x:c>
      <x:c r="E1882" s="136" t="str">
        <x:v>CQ2_Spawnpoint_CSA_Infantry_0</x:v>
      </x:c>
      <x:c r="F1882" s="137" t="n">
        <x:v>1767.6829833984375</x:v>
      </x:c>
      <x:c r="G1882" s="137" t="n">
        <x:v>1570.6978759765625</x:v>
      </x:c>
      <x:c r="H1882" s="137" t="n">
        <x:v>209.28224182128906</x:v>
      </x:c>
      <x:c r="I1882" s="137" t="n">
        <x:v>1041.0367268041236</x:v>
      </x:c>
      <x:c r="J1882" s="137" t="n">
        <x:v>649.7686855670103</x:v>
      </x:c>
      <x:c r="K1882" s="136" t="str">
        <x:v>map-87</x:v>
      </x:c>
      <x:c r="L1882" s="136" t="str">
        <x:v>SouthMountain | Conquest | Wheat Fields||Spawn | CSA CQ2_Spawnpoint_CSA_Infantry_0 [map-87/011]</x:v>
      </x:c>
      <x:c r="M1882" s="35"/>
      <x:c r="N1882" s="35"/>
      <x:c r="O1882" s="35"/>
      <x:c r="P1882" s="35"/>
      <x:c r="Q1882" s="35"/>
      <x:c r="R1882" s="35"/>
      <x:c r="S1882" s="35"/>
      <x:c r="T1882" s="35"/>
      <x:c r="U1882" s="35"/>
      <x:c r="V1882" s="35"/>
      <x:c r="W1882" s="35"/>
      <x:c r="X1882" s="35"/>
      <x:c r="Y1882" s="35"/>
      <x:c r="Z1882" s="35"/>
      <x:c r="AA1882" s="35"/>
    </x:row>
    <x:row r="1883">
      <x:c r="A1883" s="136" t="str">
        <x:v>SouthMountain | Conquest | Wheat Fields</x:v>
      </x:c>
      <x:c r="B1883" s="136" t="str">
        <x:v>Spawn | CSA CQ2_Spawnpoint_CSA_Infantry_2 [map-87/012]</x:v>
      </x:c>
      <x:c r="C1883" s="136" t="str">
        <x:v>spawn</x:v>
      </x:c>
      <x:c r="D1883" s="136" t="str">
        <x:v>CSA</x:v>
      </x:c>
      <x:c r="E1883" s="136" t="str">
        <x:v>CQ2_Spawnpoint_CSA_Infantry_2</x:v>
      </x:c>
      <x:c r="F1883" s="137" t="n">
        <x:v>1761.0230712890625</x:v>
      </x:c>
      <x:c r="G1883" s="137" t="n">
        <x:v>1610.743896484375</x:v>
      </x:c>
      <x:c r="H1883" s="137" t="n">
        <x:v>205.01878356933594</x:v>
      </x:c>
      <x:c r="I1883" s="137" t="n">
        <x:v>1029.318943298969</x:v>
      </x:c>
      <x:c r="J1883" s="137" t="n">
        <x:v>579.3097079037801</x:v>
      </x:c>
      <x:c r="K1883" s="136" t="str">
        <x:v>map-87</x:v>
      </x:c>
      <x:c r="L1883" s="136" t="str">
        <x:v>SouthMountain | Conquest | Wheat Fields||Spawn | CSA CQ2_Spawnpoint_CSA_Infantry_2 [map-87/012]</x:v>
      </x:c>
      <x:c r="M1883" s="35"/>
      <x:c r="N1883" s="35"/>
      <x:c r="O1883" s="35"/>
      <x:c r="P1883" s="35"/>
      <x:c r="Q1883" s="35"/>
      <x:c r="R1883" s="35"/>
      <x:c r="S1883" s="35"/>
      <x:c r="T1883" s="35"/>
      <x:c r="U1883" s="35"/>
      <x:c r="V1883" s="35"/>
      <x:c r="W1883" s="35"/>
      <x:c r="X1883" s="35"/>
      <x:c r="Y1883" s="35"/>
      <x:c r="Z1883" s="35"/>
      <x:c r="AA1883" s="35"/>
    </x:row>
    <x:row r="1884">
      <x:c r="A1884" s="136" t="str">
        <x:v>SouthMountain | Conquest | Wheat Fields</x:v>
      </x:c>
      <x:c r="B1884" s="136" t="str">
        <x:v>Spawn | USA CQ2_Spawnpoint_USA_Infantry_2 [map-87/013]</x:v>
      </x:c>
      <x:c r="C1884" s="136" t="str">
        <x:v>spawn</x:v>
      </x:c>
      <x:c r="D1884" s="136" t="str">
        <x:v>USA</x:v>
      </x:c>
      <x:c r="E1884" s="136" t="str">
        <x:v>CQ2_Spawnpoint_USA_Infantry_2</x:v>
      </x:c>
      <x:c r="F1884" s="137" t="n">
        <x:v>2124.253173828125</x:v>
      </x:c>
      <x:c r="G1884" s="137" t="n">
        <x:v>979.9642944335938</x:v>
      </x:c>
      <x:c r="H1884" s="137" t="n">
        <x:v>168.7425079345703</x:v>
      </x:c>
      <x:c r="I1884" s="137" t="n">
        <x:v>1668.4042096219932</x:v>
      </x:c>
      <x:c r="J1884" s="137" t="n">
        <x:v>1689.134987113402</x:v>
      </x:c>
      <x:c r="K1884" s="136" t="str">
        <x:v>map-87</x:v>
      </x:c>
      <x:c r="L1884" s="136" t="str">
        <x:v>SouthMountain | Conquest | Wheat Fields||Spawn | USA CQ2_Spawnpoint_USA_Infantry_2 [map-87/013]</x:v>
      </x:c>
      <x:c r="M1884" s="35"/>
      <x:c r="N1884" s="35"/>
      <x:c r="O1884" s="35"/>
      <x:c r="P1884" s="35"/>
      <x:c r="Q1884" s="35"/>
      <x:c r="R1884" s="35"/>
      <x:c r="S1884" s="35"/>
      <x:c r="T1884" s="35"/>
      <x:c r="U1884" s="35"/>
      <x:c r="V1884" s="35"/>
      <x:c r="W1884" s="35"/>
      <x:c r="X1884" s="35"/>
      <x:c r="Y1884" s="35"/>
      <x:c r="Z1884" s="35"/>
      <x:c r="AA1884" s="35"/>
    </x:row>
    <x:row r="1885">
      <x:c r="A1885" s="136" t="str">
        <x:v>SouthMountain | Conquest | Wheat Fields</x:v>
      </x:c>
      <x:c r="B1885" s="136" t="str">
        <x:v>Gun | 3-inch Ordnance · Entity-1635 [map-87/014]</x:v>
      </x:c>
      <x:c r="C1885" s="136" t="str">
        <x:v>gun_spawn</x:v>
      </x:c>
      <x:c r="D1885" s="136" t="str"/>
      <x:c r="E1885" s="136" t="str">
        <x:v>3-inch Ordnance · Entity-1635</x:v>
      </x:c>
      <x:c r="F1885" s="137" t="n">
        <x:v>1810.748291015625</x:v>
      </x:c>
      <x:c r="G1885" s="137" t="n">
        <x:v>1368.133544921875</x:v>
      </x:c>
      <x:c r="H1885" s="137" t="n">
        <x:v>206.63150024414062</x:v>
      </x:c>
      <x:c r="I1885" s="137" t="n">
        <x:v>1116.8079896907216</x:v>
      </x:c>
      <x:c r="J1885" s="137" t="n">
        <x:v>1006.1705326460481</x:v>
      </x:c>
      <x:c r="K1885" s="136" t="str">
        <x:v>map-87</x:v>
      </x:c>
      <x:c r="L1885" s="136" t="str">
        <x:v>SouthMountain | Conquest | Wheat Fields||Gun | 3-inch Ordnance · Entity-1635 [map-87/014]</x:v>
      </x:c>
      <x:c r="M1885" s="35"/>
      <x:c r="N1885" s="35"/>
      <x:c r="O1885" s="35"/>
      <x:c r="P1885" s="35"/>
      <x:c r="Q1885" s="35"/>
      <x:c r="R1885" s="35"/>
      <x:c r="S1885" s="35"/>
      <x:c r="T1885" s="35"/>
      <x:c r="U1885" s="35"/>
      <x:c r="V1885" s="35"/>
      <x:c r="W1885" s="35"/>
      <x:c r="X1885" s="35"/>
      <x:c r="Y1885" s="35"/>
      <x:c r="Z1885" s="35"/>
      <x:c r="AA1885" s="35"/>
    </x:row>
    <x:row r="1886">
      <x:c r="A1886" s="136" t="str">
        <x:v>SouthMountain | Conquest | Wheat Fields</x:v>
      </x:c>
      <x:c r="B1886" s="136" t="str">
        <x:v>Gun | 3-inch Ordnance · Entity-1648 [map-87/015]</x:v>
      </x:c>
      <x:c r="C1886" s="136" t="str">
        <x:v>gun_spawn</x:v>
      </x:c>
      <x:c r="D1886" s="136" t="str"/>
      <x:c r="E1886" s="136" t="str">
        <x:v>3-inch Ordnance · Entity-1648</x:v>
      </x:c>
      <x:c r="F1886" s="137" t="n">
        <x:v>1950.9593505859375</x:v>
      </x:c>
      <x:c r="G1886" s="137" t="n">
        <x:v>1110.154052734375</x:v>
      </x:c>
      <x:c r="H1886" s="137" t="n">
        <x:v>208.0377655029297</x:v>
      </x:c>
      <x:c r="I1886" s="137" t="n">
        <x:v>1363.5023625429553</x:v>
      </x:c>
      <x:c r="J1886" s="137" t="n">
        <x:v>1460.0725945017182</x:v>
      </x:c>
      <x:c r="K1886" s="136" t="str">
        <x:v>map-87</x:v>
      </x:c>
      <x:c r="L1886" s="136" t="str">
        <x:v>SouthMountain | Conquest | Wheat Fields||Gun | 3-inch Ordnance · Entity-1648 [map-87/015]</x:v>
      </x:c>
      <x:c r="M1886" s="35"/>
      <x:c r="N1886" s="35"/>
      <x:c r="O1886" s="35"/>
      <x:c r="P1886" s="35"/>
      <x:c r="Q1886" s="35"/>
      <x:c r="R1886" s="35"/>
      <x:c r="S1886" s="35"/>
      <x:c r="T1886" s="35"/>
      <x:c r="U1886" s="35"/>
      <x:c r="V1886" s="35"/>
      <x:c r="W1886" s="35"/>
      <x:c r="X1886" s="35"/>
      <x:c r="Y1886" s="35"/>
      <x:c r="Z1886" s="35"/>
      <x:c r="AA1886" s="35"/>
    </x:row>
    <x:row r="1887">
      <x:c r="A1887" s="136" t="str">
        <x:v>SouthMountain | Conquest | Wheat Fields</x:v>
      </x:c>
      <x:c r="B1887" s="136" t="str">
        <x:v>Gun | 12-pounder Napoleon (CSA) · Entity-1650 [map-87/016]</x:v>
      </x:c>
      <x:c r="C1887" s="136" t="str">
        <x:v>gun_spawn</x:v>
      </x:c>
      <x:c r="D1887" s="136" t="str"/>
      <x:c r="E1887" s="136" t="str">
        <x:v>12-pounder Napoleon (CSA) · Entity-1650</x:v>
      </x:c>
      <x:c r="F1887" s="137" t="n">
        <x:v>1962.899658203125</x:v>
      </x:c>
      <x:c r="G1887" s="137" t="n">
        <x:v>1119.6246337890625</x:v>
      </x:c>
      <x:c r="H1887" s="137" t="n">
        <x:v>206.09304809570312</x:v>
      </x:c>
      <x:c r="I1887" s="137" t="n">
        <x:v>1384.510738831615</x:v>
      </x:c>
      <x:c r="J1887" s="137" t="n">
        <x:v>1443.4095790378008</x:v>
      </x:c>
      <x:c r="K1887" s="136" t="str">
        <x:v>map-87</x:v>
      </x:c>
      <x:c r="L1887" s="136" t="str">
        <x:v>SouthMountain | Conquest | Wheat Fields||Gun | 12-pounder Napoleon (CSA) · Entity-1650 [map-87/016]</x:v>
      </x:c>
      <x:c r="M1887" s="35"/>
      <x:c r="N1887" s="35"/>
      <x:c r="O1887" s="35"/>
      <x:c r="P1887" s="35"/>
      <x:c r="Q1887" s="35"/>
      <x:c r="R1887" s="35"/>
      <x:c r="S1887" s="35"/>
      <x:c r="T1887" s="35"/>
      <x:c r="U1887" s="35"/>
      <x:c r="V1887" s="35"/>
      <x:c r="W1887" s="35"/>
      <x:c r="X1887" s="35"/>
      <x:c r="Y1887" s="35"/>
      <x:c r="Z1887" s="35"/>
      <x:c r="AA1887" s="35"/>
    </x:row>
    <x:row r="1888">
      <x:c r="A1888" s="136" t="str">
        <x:v>SouthMountain | Conquest | Wheat Fields</x:v>
      </x:c>
      <x:c r="B1888" s="136" t="str">
        <x:v>Gun | 12-pounder Napoleon (USA) · Entity-1639 [map-87/017]</x:v>
      </x:c>
      <x:c r="C1888" s="136" t="str">
        <x:v>gun_spawn</x:v>
      </x:c>
      <x:c r="D1888" s="136" t="str"/>
      <x:c r="E1888" s="136" t="str">
        <x:v>12-pounder Napoleon (USA) · Entity-1639</x:v>
      </x:c>
      <x:c r="F1888" s="137" t="n">
        <x:v>1777.210693359375</x:v>
      </x:c>
      <x:c r="G1888" s="137" t="n">
        <x:v>1359.074951171875</x:v>
      </x:c>
      <x:c r="H1888" s="137" t="n">
        <x:v>209.73562622070312</x:v>
      </x:c>
      <x:c r="I1888" s="137" t="n">
        <x:v>1057.8002577319587</x:v>
      </x:c>
      <x:c r="J1888" s="137" t="n">
        <x:v>1022.1086769759451</x:v>
      </x:c>
      <x:c r="K1888" s="136" t="str">
        <x:v>map-87</x:v>
      </x:c>
      <x:c r="L1888" s="136" t="str">
        <x:v>SouthMountain | Conquest | Wheat Fields||Gun | 12-pounder Napoleon (USA) · Entity-1639 [map-87/017]</x:v>
      </x:c>
      <x:c r="M1888" s="35"/>
      <x:c r="N1888" s="35"/>
      <x:c r="O1888" s="35"/>
      <x:c r="P1888" s="35"/>
      <x:c r="Q1888" s="35"/>
      <x:c r="R1888" s="35"/>
      <x:c r="S1888" s="35"/>
      <x:c r="T1888" s="35"/>
      <x:c r="U1888" s="35"/>
      <x:c r="V1888" s="35"/>
      <x:c r="W1888" s="35"/>
      <x:c r="X1888" s="35"/>
      <x:c r="Y1888" s="35"/>
      <x:c r="Z1888" s="35"/>
      <x:c r="AA1888" s="35"/>
    </x:row>
    <x:row r="1889">
      <x:c r="A1889" s="136" t="str">
        <x:v>SouthMountain | Conquest | Wheat Fields</x:v>
      </x:c>
      <x:c r="B1889" s="136" t="str">
        <x:v>Gun | 12-pounder Napoleon (USA) · Entity-1638 [map-87/018]</x:v>
      </x:c>
      <x:c r="C1889" s="136" t="str">
        <x:v>gun_spawn</x:v>
      </x:c>
      <x:c r="D1889" s="136" t="str"/>
      <x:c r="E1889" s="136" t="str">
        <x:v>12-pounder Napoleon (USA) · Entity-1638</x:v>
      </x:c>
      <x:c r="F1889" s="137" t="n">
        <x:v>1786.5933837890625</x:v>
      </x:c>
      <x:c r="G1889" s="137" t="n">
        <x:v>1361.393310546875</x:v>
      </x:c>
      <x:c r="H1889" s="137" t="n">
        <x:v>209.16598510742188</x:v>
      </x:c>
      <x:c r="I1889" s="137" t="n">
        <x:v>1074.3086340206185</x:v>
      </x:c>
      <x:c r="J1889" s="137" t="n">
        <x:v>1018.0296391752578</x:v>
      </x:c>
      <x:c r="K1889" s="136" t="str">
        <x:v>map-87</x:v>
      </x:c>
      <x:c r="L1889" s="136" t="str">
        <x:v>SouthMountain | Conquest | Wheat Fields||Gun | 12-pounder Napoleon (USA) · Entity-1638 [map-87/018]</x:v>
      </x:c>
      <x:c r="M1889" s="35"/>
      <x:c r="N1889" s="35"/>
      <x:c r="O1889" s="35"/>
      <x:c r="P1889" s="35"/>
      <x:c r="Q1889" s="35"/>
      <x:c r="R1889" s="35"/>
      <x:c r="S1889" s="35"/>
      <x:c r="T1889" s="35"/>
      <x:c r="U1889" s="35"/>
      <x:c r="V1889" s="35"/>
      <x:c r="W1889" s="35"/>
      <x:c r="X1889" s="35"/>
      <x:c r="Y1889" s="35"/>
      <x:c r="Z1889" s="35"/>
      <x:c r="AA1889" s="35"/>
    </x:row>
    <x:row r="1890">
      <x:c r="A1890" s="136" t="str">
        <x:v>SouthMountain | Conquest | Wheat Fields</x:v>
      </x:c>
      <x:c r="B1890" s="136" t="str">
        <x:v>Gun | 3-inch Ordnance · Entity-1634 [map-87/019]</x:v>
      </x:c>
      <x:c r="C1890" s="136" t="str">
        <x:v>gun_spawn</x:v>
      </x:c>
      <x:c r="D1890" s="136" t="str"/>
      <x:c r="E1890" s="136" t="str">
        <x:v>3-inch Ordnance · Entity-1634</x:v>
      </x:c>
      <x:c r="F1890" s="137" t="n">
        <x:v>1819.2880859375</x:v>
      </x:c>
      <x:c r="G1890" s="137" t="n">
        <x:v>1370.3289794921875</x:v>
      </x:c>
      <x:c r="H1890" s="137" t="n">
        <x:v>205.886474609375</x:v>
      </x:c>
      <x:c r="I1890" s="137" t="n">
        <x:v>1131.8333333333333</x:v>
      </x:c>
      <x:c r="J1890" s="137" t="n">
        <x:v>1002.3077749140894</x:v>
      </x:c>
      <x:c r="K1890" s="136" t="str">
        <x:v>map-87</x:v>
      </x:c>
      <x:c r="L1890" s="136" t="str">
        <x:v>SouthMountain | Conquest | Wheat Fields||Gun | 3-inch Ordnance · Entity-1634 [map-87/019]</x:v>
      </x:c>
      <x:c r="M1890" s="35"/>
      <x:c r="N1890" s="35"/>
      <x:c r="O1890" s="35"/>
      <x:c r="P1890" s="35"/>
      <x:c r="Q1890" s="35"/>
      <x:c r="R1890" s="35"/>
      <x:c r="S1890" s="35"/>
      <x:c r="T1890" s="35"/>
      <x:c r="U1890" s="35"/>
      <x:c r="V1890" s="35"/>
      <x:c r="W1890" s="35"/>
      <x:c r="X1890" s="35"/>
      <x:c r="Y1890" s="35"/>
      <x:c r="Z1890" s="35"/>
      <x:c r="AA1890" s="35"/>
    </x:row>
    <x:row r="1891">
      <x:c r="A1891" s="136" t="str">
        <x:v>SouthMountain | Conquest | Wheat Fields</x:v>
      </x:c>
      <x:c r="B1891" s="136" t="str">
        <x:v>Gun | 3-inch Ordnance · Entity-1647 [map-87/020]</x:v>
      </x:c>
      <x:c r="C1891" s="136" t="str">
        <x:v>gun_spawn</x:v>
      </x:c>
      <x:c r="D1891" s="136" t="str"/>
      <x:c r="E1891" s="136" t="str">
        <x:v>3-inch Ordnance · Entity-1647</x:v>
      </x:c>
      <x:c r="F1891" s="137" t="n">
        <x:v>1944.68994140625</x:v>
      </x:c>
      <x:c r="G1891" s="137" t="n">
        <x:v>1105.702392578125</x:v>
      </x:c>
      <x:c r="H1891" s="137" t="n">
        <x:v>209.1453857421875</x:v>
      </x:c>
      <x:c r="I1891" s="137" t="n">
        <x:v>1352.471649484536</x:v>
      </x:c>
      <x:c r="J1891" s="137" t="n">
        <x:v>1467.9050687285223</x:v>
      </x:c>
      <x:c r="K1891" s="136" t="str">
        <x:v>map-87</x:v>
      </x:c>
      <x:c r="L1891" s="136" t="str">
        <x:v>SouthMountain | Conquest | Wheat Fields||Gun | 3-inch Ordnance · Entity-1647 [map-87/020]</x:v>
      </x:c>
      <x:c r="M1891" s="35"/>
      <x:c r="N1891" s="35"/>
      <x:c r="O1891" s="35"/>
      <x:c r="P1891" s="35"/>
      <x:c r="Q1891" s="35"/>
      <x:c r="R1891" s="35"/>
      <x:c r="S1891" s="35"/>
      <x:c r="T1891" s="35"/>
      <x:c r="U1891" s="35"/>
      <x:c r="V1891" s="35"/>
      <x:c r="W1891" s="35"/>
      <x:c r="X1891" s="35"/>
      <x:c r="Y1891" s="35"/>
      <x:c r="Z1891" s="35"/>
      <x:c r="AA1891" s="35"/>
    </x:row>
    <x:row r="1892">
      <x:c r="A1892" s="136" t="str">
        <x:v>SouthMountain | Conquest | Wheat Fields</x:v>
      </x:c>
      <x:c r="B1892" s="136" t="str">
        <x:v>Gun | 3-inch Ordnance · Entity-1636 [map-87/021]</x:v>
      </x:c>
      <x:c r="C1892" s="136" t="str">
        <x:v>gun_spawn</x:v>
      </x:c>
      <x:c r="D1892" s="136" t="str"/>
      <x:c r="E1892" s="136" t="str">
        <x:v>3-inch Ordnance · Entity-1636</x:v>
      </x:c>
      <x:c r="F1892" s="137" t="n">
        <x:v>1803.60498046875</x:v>
      </x:c>
      <x:c r="G1892" s="137" t="n">
        <x:v>1366.1993408203125</x:v>
      </x:c>
      <x:c r="H1892" s="137" t="n">
        <x:v>207.35055541992188</x:v>
      </x:c>
      <x:c r="I1892" s="137" t="n">
        <x:v>1104.2396907216496</x:v>
      </x:c>
      <x:c r="J1892" s="137" t="n">
        <x:v>1009.5736683848797</x:v>
      </x:c>
      <x:c r="K1892" s="136" t="str">
        <x:v>map-87</x:v>
      </x:c>
      <x:c r="L1892" s="136" t="str">
        <x:v>SouthMountain | Conquest | Wheat Fields||Gun | 3-inch Ordnance · Entity-1636 [map-87/021]</x:v>
      </x:c>
      <x:c r="M1892" s="35"/>
      <x:c r="N1892" s="35"/>
      <x:c r="O1892" s="35"/>
      <x:c r="P1892" s="35"/>
      <x:c r="Q1892" s="35"/>
      <x:c r="R1892" s="35"/>
      <x:c r="S1892" s="35"/>
      <x:c r="T1892" s="35"/>
      <x:c r="U1892" s="35"/>
      <x:c r="V1892" s="35"/>
      <x:c r="W1892" s="35"/>
      <x:c r="X1892" s="35"/>
      <x:c r="Y1892" s="35"/>
      <x:c r="Z1892" s="35"/>
      <x:c r="AA1892" s="35"/>
    </x:row>
    <x:row r="1893">
      <x:c r="A1893" s="136" t="str">
        <x:v>SouthMountain | Conquest | Wheat Fields</x:v>
      </x:c>
      <x:c r="B1893" s="136" t="str">
        <x:v>Gun | 12-pounder Napoleon (CSA) · Entity-1651 [map-87/022]</x:v>
      </x:c>
      <x:c r="C1893" s="136" t="str">
        <x:v>gun_spawn</x:v>
      </x:c>
      <x:c r="D1893" s="136" t="str"/>
      <x:c r="E1893" s="136" t="str">
        <x:v>12-pounder Napoleon (CSA) · Entity-1651</x:v>
      </x:c>
      <x:c r="F1893" s="137" t="n">
        <x:v>1970.880126953125</x:v>
      </x:c>
      <x:c r="G1893" s="137" t="n">
        <x:v>1125.5240478515625</x:v>
      </x:c>
      <x:c r="H1893" s="137" t="n">
        <x:v>204.9488983154297</x:v>
      </x:c>
      <x:c r="I1893" s="137" t="n">
        <x:v>1398.5519759450171</x:v>
      </x:c>
      <x:c r="J1893" s="137" t="n">
        <x:v>1433.0298539518901</x:v>
      </x:c>
      <x:c r="K1893" s="136" t="str">
        <x:v>map-87</x:v>
      </x:c>
      <x:c r="L1893" s="136" t="str">
        <x:v>SouthMountain | Conquest | Wheat Fields||Gun | 12-pounder Napoleon (CSA) · Entity-1651 [map-87/022]</x:v>
      </x:c>
      <x:c r="M1893" s="35"/>
      <x:c r="N1893" s="35"/>
      <x:c r="O1893" s="35"/>
      <x:c r="P1893" s="35"/>
      <x:c r="Q1893" s="35"/>
      <x:c r="R1893" s="35"/>
      <x:c r="S1893" s="35"/>
      <x:c r="T1893" s="35"/>
      <x:c r="U1893" s="35"/>
      <x:c r="V1893" s="35"/>
      <x:c r="W1893" s="35"/>
      <x:c r="X1893" s="35"/>
      <x:c r="Y1893" s="35"/>
      <x:c r="Z1893" s="35"/>
      <x:c r="AA1893" s="35"/>
    </x:row>
    <x:row r="1894">
      <x:c r="A1894" s="136" t="str">
        <x:v>SouthMountain | Conquest | Wheat Fields</x:v>
      </x:c>
      <x:c r="B1894" s="136" t="str">
        <x:v>Gun | 12-pounder Napoleon (USA) · Entity-1637 [map-87/023]</x:v>
      </x:c>
      <x:c r="C1894" s="136" t="str">
        <x:v>gun_spawn</x:v>
      </x:c>
      <x:c r="D1894" s="136" t="str"/>
      <x:c r="E1894" s="136" t="str">
        <x:v>12-pounder Napoleon (USA) · Entity-1637</x:v>
      </x:c>
      <x:c r="F1894" s="137" t="n">
        <x:v>1793.403076171875</x:v>
      </x:c>
      <x:c r="G1894" s="137" t="n">
        <x:v>1363.416015625</x:v>
      </x:c>
      <x:c r="H1894" s="137" t="n">
        <x:v>208.5907745361328</x:v>
      </x:c>
      <x:c r="I1894" s="137" t="n">
        <x:v>1086.2899484536083</x:v>
      </x:c>
      <x:c r="J1894" s="137" t="n">
        <x:v>1014.4707903780069</x:v>
      </x:c>
      <x:c r="K1894" s="136" t="str">
        <x:v>map-87</x:v>
      </x:c>
      <x:c r="L1894" s="136" t="str">
        <x:v>SouthMountain | Conquest | Wheat Fields||Gun | 12-pounder Napoleon (USA) · Entity-1637 [map-87/023]</x:v>
      </x:c>
      <x:c r="M1894" s="35"/>
      <x:c r="N1894" s="35"/>
      <x:c r="O1894" s="35"/>
      <x:c r="P1894" s="35"/>
      <x:c r="Q1894" s="35"/>
      <x:c r="R1894" s="35"/>
      <x:c r="S1894" s="35"/>
      <x:c r="T1894" s="35"/>
      <x:c r="U1894" s="35"/>
      <x:c r="V1894" s="35"/>
      <x:c r="W1894" s="35"/>
      <x:c r="X1894" s="35"/>
      <x:c r="Y1894" s="35"/>
      <x:c r="Z1894" s="35"/>
      <x:c r="AA1894" s="35"/>
    </x:row>
    <x:row r="1895">
      <x:c r="A1895" s="136" t="str">
        <x:v>SouthMountain | Conquest | Wheat Fields</x:v>
      </x:c>
      <x:c r="B1895" s="136" t="str">
        <x:v>Gun | 3-inch Ordnance · Entity-1646 [map-87/024]</x:v>
      </x:c>
      <x:c r="C1895" s="136" t="str">
        <x:v>gun_spawn</x:v>
      </x:c>
      <x:c r="D1895" s="136" t="str"/>
      <x:c r="E1895" s="136" t="str">
        <x:v>3-inch Ordnance · Entity-1646</x:v>
      </x:c>
      <x:c r="F1895" s="137" t="n">
        <x:v>1938.5093994140625</x:v>
      </x:c>
      <x:c r="G1895" s="137" t="n">
        <x:v>1101.6895751953125</x:v>
      </x:c>
      <x:c r="H1895" s="137" t="n">
        <x:v>209.49057006835938</x:v>
      </x:c>
      <x:c r="I1895" s="137" t="n">
        <x:v>1341.597293814433</x:v>
      </x:c>
      <x:c r="J1895" s="137" t="n">
        <x:v>1474.9654209621992</x:v>
      </x:c>
      <x:c r="K1895" s="136" t="str">
        <x:v>map-87</x:v>
      </x:c>
      <x:c r="L1895" s="136" t="str">
        <x:v>SouthMountain | Conquest | Wheat Fields||Gun | 3-inch Ordnance · Entity-1646 [map-87/024]</x:v>
      </x:c>
      <x:c r="M1895" s="35"/>
      <x:c r="N1895" s="35"/>
      <x:c r="O1895" s="35"/>
      <x:c r="P1895" s="35"/>
      <x:c r="Q1895" s="35"/>
      <x:c r="R1895" s="35"/>
      <x:c r="S1895" s="35"/>
      <x:c r="T1895" s="35"/>
      <x:c r="U1895" s="35"/>
      <x:c r="V1895" s="35"/>
      <x:c r="W1895" s="35"/>
      <x:c r="X1895" s="35"/>
      <x:c r="Y1895" s="35"/>
      <x:c r="Z1895" s="35"/>
      <x:c r="AA1895" s="35"/>
    </x:row>
    <x:row r="1896">
      <x:c r="A1896" s="136" t="str">
        <x:v>SouthMountain | Conquest | Wheat Fields</x:v>
      </x:c>
      <x:c r="B1896" s="136" t="str">
        <x:v>Gun | 12-pounder Napoleon (USA) · Entity-1649 [map-87/025]</x:v>
      </x:c>
      <x:c r="C1896" s="136" t="str">
        <x:v>gun_spawn</x:v>
      </x:c>
      <x:c r="D1896" s="136" t="str"/>
      <x:c r="E1896" s="136" t="str">
        <x:v>12-pounder Napoleon (USA) · Entity-1649</x:v>
      </x:c>
      <x:c r="F1896" s="137" t="n">
        <x:v>1956.1279296875</x:v>
      </x:c>
      <x:c r="G1896" s="137" t="n">
        <x:v>1114.5985107421875</x:v>
      </x:c>
      <x:c r="H1896" s="137" t="n">
        <x:v>207.089111328125</x:v>
      </x:c>
      <x:c r="I1896" s="137" t="n">
        <x:v>1372.5962199312714</x:v>
      </x:c>
      <x:c r="J1896" s="137" t="n">
        <x:v>1452.25279209622</x:v>
      </x:c>
      <x:c r="K1896" s="136" t="str">
        <x:v>map-87</x:v>
      </x:c>
      <x:c r="L1896" s="136" t="str">
        <x:v>SouthMountain | Conquest | Wheat Fields||Gun | 12-pounder Napoleon (USA) · Entity-1649 [map-87/025]</x:v>
      </x:c>
      <x:c r="M1896" s="35"/>
      <x:c r="N1896" s="35"/>
      <x:c r="O1896" s="35"/>
      <x:c r="P1896" s="35"/>
      <x:c r="Q1896" s="35"/>
      <x:c r="R1896" s="35"/>
      <x:c r="S1896" s="35"/>
      <x:c r="T1896" s="35"/>
      <x:c r="U1896" s="35"/>
      <x:c r="V1896" s="35"/>
      <x:c r="W1896" s="35"/>
      <x:c r="X1896" s="35"/>
      <x:c r="Y1896" s="35"/>
      <x:c r="Z1896" s="35"/>
      <x:c r="AA1896" s="35"/>
    </x:row>
    <x:row r="1897">
      <x:c r="A1897" s="136" t="str">
        <x:v>SouthMountain | Conquest | Rocky Slopes</x:v>
      </x:c>
      <x:c r="B1897" s="136" t="str">
        <x:v>Spawn | USA CQ3_Spawnpoint_USA_Infantry_1 [map-88/001]</x:v>
      </x:c>
      <x:c r="C1897" s="136" t="str">
        <x:v>spawn</x:v>
      </x:c>
      <x:c r="D1897" s="136" t="str">
        <x:v>USA</x:v>
      </x:c>
      <x:c r="E1897" s="136" t="str">
        <x:v>CQ3_Spawnpoint_USA_Infantry_1</x:v>
      </x:c>
      <x:c r="F1897" s="137" t="n">
        <x:v>2387.578125</x:v>
      </x:c>
      <x:c r="G1897" s="137" t="n">
        <x:v>3348.931884765625</x:v>
      </x:c>
      <x:c r="H1897" s="137" t="n">
        <x:v>231.65463256835938</x:v>
      </x:c>
      <x:c r="I1897" s="137" t="n">
        <x:v>1427.3044401396005</x:v>
      </x:c>
      <x:c r="J1897" s="137" t="n">
        <x:v>990.3142743614421</x:v>
      </x:c>
      <x:c r="K1897" s="136" t="str">
        <x:v>map-88</x:v>
      </x:c>
      <x:c r="L1897" s="136" t="str">
        <x:v>SouthMountain | Conquest | Rocky Slopes||Spawn | USA CQ3_Spawnpoint_USA_Infantry_1 [map-88/001]</x:v>
      </x:c>
      <x:c r="M1897" s="35"/>
      <x:c r="N1897" s="35"/>
      <x:c r="O1897" s="35"/>
      <x:c r="P1897" s="35"/>
      <x:c r="Q1897" s="35"/>
      <x:c r="R1897" s="35"/>
      <x:c r="S1897" s="35"/>
      <x:c r="T1897" s="35"/>
      <x:c r="U1897" s="35"/>
      <x:c r="V1897" s="35"/>
      <x:c r="W1897" s="35"/>
      <x:c r="X1897" s="35"/>
      <x:c r="Y1897" s="35"/>
      <x:c r="Z1897" s="35"/>
      <x:c r="AA1897" s="35"/>
    </x:row>
    <x:row r="1898">
      <x:c r="A1898" s="136" t="str">
        <x:v>SouthMountain | Conquest | Rocky Slopes</x:v>
      </x:c>
      <x:c r="B1898" s="136" t="str">
        <x:v>Spawn | CSA CQ3_Spawnpoint_CSA_Infantry_0 [map-88/002]</x:v>
      </x:c>
      <x:c r="C1898" s="136" t="str">
        <x:v>spawn</x:v>
      </x:c>
      <x:c r="D1898" s="136" t="str">
        <x:v>CSA</x:v>
      </x:c>
      <x:c r="E1898" s="136" t="str">
        <x:v>CQ3_Spawnpoint_CSA_Infantry_0</x:v>
      </x:c>
      <x:c r="F1898" s="137" t="n">
        <x:v>1852.269287109375</x:v>
      </x:c>
      <x:c r="G1898" s="137" t="n">
        <x:v>3325.41943359375</x:v>
      </x:c>
      <x:c r="H1898" s="137" t="n">
        <x:v>173.39389038085938</x:v>
      </x:c>
      <x:c r="I1898" s="137" t="n">
        <x:v>585.9004068154778</x:v>
      </x:c>
      <x:c r="J1898" s="137" t="n">
        <x:v>1027.2701454136898</x:v>
      </x:c>
      <x:c r="K1898" s="136" t="str">
        <x:v>map-88</x:v>
      </x:c>
      <x:c r="L1898" s="136" t="str">
        <x:v>SouthMountain | Conquest | Rocky Slopes||Spawn | CSA CQ3_Spawnpoint_CSA_Infantry_0 [map-88/002]</x:v>
      </x:c>
      <x:c r="M1898" s="35"/>
      <x:c r="N1898" s="35"/>
      <x:c r="O1898" s="35"/>
      <x:c r="P1898" s="35"/>
      <x:c r="Q1898" s="35"/>
      <x:c r="R1898" s="35"/>
      <x:c r="S1898" s="35"/>
      <x:c r="T1898" s="35"/>
      <x:c r="U1898" s="35"/>
      <x:c r="V1898" s="35"/>
      <x:c r="W1898" s="35"/>
      <x:c r="X1898" s="35"/>
      <x:c r="Y1898" s="35"/>
      <x:c r="Z1898" s="35"/>
      <x:c r="AA1898" s="35"/>
    </x:row>
    <x:row r="1899">
      <x:c r="A1899" s="136" t="str">
        <x:v>SouthMountain | Conquest | Rocky Slopes</x:v>
      </x:c>
      <x:c r="B1899" s="136" t="str">
        <x:v>Spawn | USA CQ3_Spawnpoint_USA_Infantry_0 [map-88/003]</x:v>
      </x:c>
      <x:c r="C1899" s="136" t="str">
        <x:v>spawn</x:v>
      </x:c>
      <x:c r="D1899" s="136" t="str">
        <x:v>USA</x:v>
      </x:c>
      <x:c r="E1899" s="136" t="str">
        <x:v>CQ3_Spawnpoint_USA_Infantry_0</x:v>
      </x:c>
      <x:c r="F1899" s="137" t="n">
        <x:v>2354.022705078125</x:v>
      </x:c>
      <x:c r="G1899" s="137" t="n">
        <x:v>3385.959228515625</x:v>
      </x:c>
      <x:c r="H1899" s="137" t="n">
        <x:v>228.3290252685547</x:v>
      </x:c>
      <x:c r="I1899" s="137" t="n">
        <x:v>1374.6081224126356</x:v>
      </x:c>
      <x:c r="J1899" s="137" t="n">
        <x:v>932.1162697795521</x:v>
      </x:c>
      <x:c r="K1899" s="136" t="str">
        <x:v>map-88</x:v>
      </x:c>
      <x:c r="L1899" s="136" t="str">
        <x:v>SouthMountain | Conquest | Rocky Slopes||Spawn | USA CQ3_Spawnpoint_USA_Infantry_0 [map-88/003]</x:v>
      </x:c>
      <x:c r="M1899" s="35"/>
      <x:c r="N1899" s="35"/>
      <x:c r="O1899" s="35"/>
      <x:c r="P1899" s="35"/>
      <x:c r="Q1899" s="35"/>
      <x:c r="R1899" s="35"/>
      <x:c r="S1899" s="35"/>
      <x:c r="T1899" s="35"/>
      <x:c r="U1899" s="35"/>
      <x:c r="V1899" s="35"/>
      <x:c r="W1899" s="35"/>
      <x:c r="X1899" s="35"/>
      <x:c r="Y1899" s="35"/>
      <x:c r="Z1899" s="35"/>
      <x:c r="AA1899" s="35"/>
    </x:row>
    <x:row r="1900">
      <x:c r="A1900" s="136" t="str">
        <x:v>SouthMountain | Conquest | Rocky Slopes</x:v>
      </x:c>
      <x:c r="B1900" s="136" t="str">
        <x:v>Spawn | USA CQ3_Spawnpoint_USA_Cavalry_0 [map-88/004]</x:v>
      </x:c>
      <x:c r="C1900" s="136" t="str">
        <x:v>spawn</x:v>
      </x:c>
      <x:c r="D1900" s="136" t="str">
        <x:v>USA</x:v>
      </x:c>
      <x:c r="E1900" s="136" t="str">
        <x:v>CQ3_Spawnpoint_USA_Cavalry_0</x:v>
      </x:c>
      <x:c r="F1900" s="137" t="n">
        <x:v>2464.215087890625</x:v>
      </x:c>
      <x:c r="G1900" s="137" t="n">
        <x:v>3316.7529296875</x:v>
      </x:c>
      <x:c r="H1900" s="137" t="n">
        <x:v>236.00416564941406</x:v>
      </x:c>
      <x:c r="I1900" s="137" t="n">
        <x:v>1547.7203437856729</x:v>
      </x:c>
      <x:c r="J1900" s="137" t="n">
        <x:v>1040.891787772113</x:v>
      </x:c>
      <x:c r="K1900" s="136" t="str">
        <x:v>map-88</x:v>
      </x:c>
      <x:c r="L1900" s="136" t="str">
        <x:v>SouthMountain | Conquest | Rocky Slopes||Spawn | USA CQ3_Spawnpoint_USA_Cavalry_0 [map-88/004]</x:v>
      </x:c>
      <x:c r="M1900" s="35"/>
      <x:c r="N1900" s="35"/>
      <x:c r="O1900" s="35"/>
      <x:c r="P1900" s="35"/>
      <x:c r="Q1900" s="35"/>
      <x:c r="R1900" s="35"/>
      <x:c r="S1900" s="35"/>
      <x:c r="T1900" s="35"/>
      <x:c r="U1900" s="35"/>
      <x:c r="V1900" s="35"/>
      <x:c r="W1900" s="35"/>
      <x:c r="X1900" s="35"/>
      <x:c r="Y1900" s="35"/>
      <x:c r="Z1900" s="35"/>
      <x:c r="AA1900" s="35"/>
    </x:row>
    <x:row r="1901">
      <x:c r="A1901" s="136" t="str">
        <x:v>SouthMountain | Conquest | Rocky Slopes</x:v>
      </x:c>
      <x:c r="B1901" s="136" t="str">
        <x:v>Spawn | CSA CQ3_Spawnpoint_CSA_Infantry_1 [map-88/005]</x:v>
      </x:c>
      <x:c r="C1901" s="136" t="str">
        <x:v>spawn</x:v>
      </x:c>
      <x:c r="D1901" s="136" t="str">
        <x:v>CSA</x:v>
      </x:c>
      <x:c r="E1901" s="136" t="str">
        <x:v>CQ3_Spawnpoint_CSA_Infantry_1</x:v>
      </x:c>
      <x:c r="F1901" s="137" t="n">
        <x:v>1874.680419921875</x:v>
      </x:c>
      <x:c r="G1901" s="137" t="n">
        <x:v>3323.63916015625</x:v>
      </x:c>
      <x:c r="H1901" s="137" t="n">
        <x:v>168.62472534179688</x:v>
      </x:c>
      <x:c r="I1901" s="137" t="n">
        <x:v>621.123125023692</x:v>
      </x:c>
      <x:c r="J1901" s="137" t="n">
        <x:v>1030.0683035092902</x:v>
      </x:c>
      <x:c r="K1901" s="136" t="str">
        <x:v>map-88</x:v>
      </x:c>
      <x:c r="L1901" s="136" t="str">
        <x:v>SouthMountain | Conquest | Rocky Slopes||Spawn | CSA CQ3_Spawnpoint_CSA_Infantry_1 [map-88/005]</x:v>
      </x:c>
      <x:c r="M1901" s="35"/>
      <x:c r="N1901" s="35"/>
      <x:c r="O1901" s="35"/>
      <x:c r="P1901" s="35"/>
      <x:c r="Q1901" s="35"/>
      <x:c r="R1901" s="35"/>
      <x:c r="S1901" s="35"/>
      <x:c r="T1901" s="35"/>
      <x:c r="U1901" s="35"/>
      <x:c r="V1901" s="35"/>
      <x:c r="W1901" s="35"/>
      <x:c r="X1901" s="35"/>
      <x:c r="Y1901" s="35"/>
      <x:c r="Z1901" s="35"/>
      <x:c r="AA1901" s="35"/>
    </x:row>
    <x:row r="1902">
      <x:c r="A1902" s="136" t="str">
        <x:v>SouthMountain | Conquest | Rocky Slopes</x:v>
      </x:c>
      <x:c r="B1902" s="136" t="str">
        <x:v>Artillery | CSA CQ3_Spawnpoint_CSA_Artillery_Forward [map-88/006]</x:v>
      </x:c>
      <x:c r="C1902" s="136" t="str">
        <x:v>battery</x:v>
      </x:c>
      <x:c r="D1902" s="136" t="str">
        <x:v>CSA</x:v>
      </x:c>
      <x:c r="E1902" s="136" t="str">
        <x:v>CQ3_Spawnpoint_CSA_Artillery_Forward</x:v>
      </x:c>
      <x:c r="F1902" s="137" t="n">
        <x:v>2136.345947265625</x:v>
      </x:c>
      <x:c r="G1902" s="137" t="n">
        <x:v>3121.040771484375</x:v>
      </x:c>
      <x:c r="H1902" s="137" t="n">
        <x:v>148.51951599121094</x:v>
      </x:c>
      <x:c r="I1902" s="137" t="n">
        <x:v>1032.1534891214142</x:v>
      </x:c>
      <x:c r="J1902" s="137" t="n">
        <x:v>1348.5038367686614</x:v>
      </x:c>
      <x:c r="K1902" s="136" t="str">
        <x:v>map-88</x:v>
      </x:c>
      <x:c r="L1902" s="136" t="str">
        <x:v>SouthMountain | Conquest | Rocky Slopes||Artillery | CSA CQ3_Spawnpoint_CSA_Artillery_Forward [map-88/006]</x:v>
      </x:c>
      <x:c r="M1902" s="35"/>
      <x:c r="N1902" s="35"/>
      <x:c r="O1902" s="35"/>
      <x:c r="P1902" s="35"/>
      <x:c r="Q1902" s="35"/>
      <x:c r="R1902" s="35"/>
      <x:c r="S1902" s="35"/>
      <x:c r="T1902" s="35"/>
      <x:c r="U1902" s="35"/>
      <x:c r="V1902" s="35"/>
      <x:c r="W1902" s="35"/>
      <x:c r="X1902" s="35"/>
      <x:c r="Y1902" s="35"/>
      <x:c r="Z1902" s="35"/>
      <x:c r="AA1902" s="35"/>
    </x:row>
    <x:row r="1903">
      <x:c r="A1903" s="136" t="str">
        <x:v>SouthMountain | Conquest | Rocky Slopes</x:v>
      </x:c>
      <x:c r="B1903" s="136" t="str">
        <x:v>Artillery | USA CQ3_Spawnpoint_USA_Artillery_Forward [map-88/007]</x:v>
      </x:c>
      <x:c r="C1903" s="136" t="str">
        <x:v>battery</x:v>
      </x:c>
      <x:c r="D1903" s="136" t="str">
        <x:v>USA</x:v>
      </x:c>
      <x:c r="E1903" s="136" t="str">
        <x:v>CQ3_Spawnpoint_USA_Artillery_Forward</x:v>
      </x:c>
      <x:c r="F1903" s="137" t="n">
        <x:v>2187.8369140625</x:v>
      </x:c>
      <x:c r="G1903" s="137" t="n">
        <x:v>3629.4814453125</x:v>
      </x:c>
      <x:c r="H1903" s="137" t="n">
        <x:v>225.97671508789062</x:v>
      </x:c>
      <x:c r="I1903" s="137" t="n">
        <x:v>1113.69811305264</x:v>
      </x:c>
      <x:c r="J1903" s="137" t="n">
        <x:v>549.358403467942</x:v>
      </x:c>
      <x:c r="K1903" s="136" t="str">
        <x:v>map-88</x:v>
      </x:c>
      <x:c r="L1903" s="136" t="str">
        <x:v>SouthMountain | Conquest | Rocky Slopes||Artillery | USA CQ3_Spawnpoint_USA_Artillery_Forward [map-88/007]</x:v>
      </x:c>
      <x:c r="M1903" s="35"/>
      <x:c r="N1903" s="35"/>
      <x:c r="O1903" s="35"/>
      <x:c r="P1903" s="35"/>
      <x:c r="Q1903" s="35"/>
      <x:c r="R1903" s="35"/>
      <x:c r="S1903" s="35"/>
      <x:c r="T1903" s="35"/>
      <x:c r="U1903" s="35"/>
      <x:c r="V1903" s="35"/>
      <x:c r="W1903" s="35"/>
      <x:c r="X1903" s="35"/>
      <x:c r="Y1903" s="35"/>
      <x:c r="Z1903" s="35"/>
      <x:c r="AA1903" s="35"/>
    </x:row>
    <x:row r="1904">
      <x:c r="A1904" s="136" t="str">
        <x:v>SouthMountain | Conquest | Rocky Slopes</x:v>
      </x:c>
      <x:c r="B1904" s="136" t="str">
        <x:v>Artillery | CSA CQ3_Spawnpoint_CSA_Artillery_Staging [map-88/008]</x:v>
      </x:c>
      <x:c r="C1904" s="136" t="str">
        <x:v>battery</x:v>
      </x:c>
      <x:c r="D1904" s="136" t="str">
        <x:v>CSA</x:v>
      </x:c>
      <x:c r="E1904" s="136" t="str">
        <x:v>CQ3_Spawnpoint_CSA_Artillery_Staging</x:v>
      </x:c>
      <x:c r="F1904" s="137" t="n">
        <x:v>1889.916748046875</x:v>
      </x:c>
      <x:c r="G1904" s="137" t="n">
        <x:v>3285.972412109375</x:v>
      </x:c>
      <x:c r="H1904" s="137" t="n">
        <x:v>166.786376953125</x:v>
      </x:c>
      <x:c r="I1904" s="137" t="n">
        <x:v>645.0255018655986</x:v>
      </x:c>
      <x:c r="J1904" s="137" t="n">
        <x:v>1089.2712965788896</x:v>
      </x:c>
      <x:c r="K1904" s="136" t="str">
        <x:v>map-88</x:v>
      </x:c>
      <x:c r="L1904" s="136" t="str">
        <x:v>SouthMountain | Conquest | Rocky Slopes||Artillery | CSA CQ3_Spawnpoint_CSA_Artillery_Staging [map-88/008]</x:v>
      </x:c>
      <x:c r="M1904" s="35"/>
      <x:c r="N1904" s="35"/>
      <x:c r="O1904" s="35"/>
      <x:c r="P1904" s="35"/>
      <x:c r="Q1904" s="35"/>
      <x:c r="R1904" s="35"/>
      <x:c r="S1904" s="35"/>
      <x:c r="T1904" s="35"/>
      <x:c r="U1904" s="35"/>
      <x:c r="V1904" s="35"/>
      <x:c r="W1904" s="35"/>
      <x:c r="X1904" s="35"/>
      <x:c r="Y1904" s="35"/>
      <x:c r="Z1904" s="35"/>
      <x:c r="AA1904" s="35"/>
    </x:row>
    <x:row r="1905">
      <x:c r="A1905" s="136" t="str">
        <x:v>SouthMountain | Conquest | Rocky Slopes</x:v>
      </x:c>
      <x:c r="B1905" s="136" t="str">
        <x:v>Spawn | CSA CQ3_Spawnpoint_CSA_Cavalry_0 [map-88/009]</x:v>
      </x:c>
      <x:c r="C1905" s="136" t="str">
        <x:v>spawn</x:v>
      </x:c>
      <x:c r="D1905" s="136" t="str">
        <x:v>CSA</x:v>
      </x:c>
      <x:c r="E1905" s="136" t="str">
        <x:v>CQ3_Spawnpoint_CSA_Cavalry_0</x:v>
      </x:c>
      <x:c r="F1905" s="137" t="n">
        <x:v>1828.7254638671875</x:v>
      </x:c>
      <x:c r="G1905" s="137" t="n">
        <x:v>3348.450927734375</x:v>
      </x:c>
      <x:c r="H1905" s="137" t="n">
        <x:v>177.86614990234375</x:v>
      </x:c>
      <x:c r="I1905" s="137" t="n">
        <x:v>548.9230084452843</x:v>
      </x:c>
      <x:c r="J1905" s="137" t="n">
        <x:v>991.0702221738849</x:v>
      </x:c>
      <x:c r="K1905" s="136" t="str">
        <x:v>map-88</x:v>
      </x:c>
      <x:c r="L1905" s="136" t="str">
        <x:v>SouthMountain | Conquest | Rocky Slopes||Spawn | CSA CQ3_Spawnpoint_CSA_Cavalry_0 [map-88/009]</x:v>
      </x:c>
      <x:c r="M1905" s="35"/>
      <x:c r="N1905" s="35"/>
      <x:c r="O1905" s="35"/>
      <x:c r="P1905" s="35"/>
      <x:c r="Q1905" s="35"/>
      <x:c r="R1905" s="35"/>
      <x:c r="S1905" s="35"/>
      <x:c r="T1905" s="35"/>
      <x:c r="U1905" s="35"/>
      <x:c r="V1905" s="35"/>
      <x:c r="W1905" s="35"/>
      <x:c r="X1905" s="35"/>
      <x:c r="Y1905" s="35"/>
      <x:c r="Z1905" s="35"/>
      <x:c r="AA1905" s="35"/>
    </x:row>
    <x:row r="1906">
      <x:c r="A1906" s="136" t="str">
        <x:v>SouthMountain | Conquest | Rocky Slopes</x:v>
      </x:c>
      <x:c r="B1906" s="136" t="str">
        <x:v>Objective | Victory_Conquest_3 [map-88/010]</x:v>
      </x:c>
      <x:c r="C1906" s="136" t="str">
        <x:v>objective</x:v>
      </x:c>
      <x:c r="D1906" s="136" t="str"/>
      <x:c r="E1906" s="136" t="str">
        <x:v>Victory_Conquest_3</x:v>
      </x:c>
      <x:c r="F1906" s="137" t="n">
        <x:v>2026.169189453125</x:v>
      </x:c>
      <x:c r="G1906" s="137" t="n">
        <x:v>3730.110595703125</x:v>
      </x:c>
      <x:c r="H1906" s="137" t="n">
        <x:v>249.45733642578125</x:v>
      </x:c>
      <x:c r="I1906" s="137" t="n">
        <x:v>859.7170421923971</x:v>
      </x:c>
      <x:c r="J1906" s="137" t="n">
        <x:v>391.19378342264685</x:v>
      </x:c>
      <x:c r="K1906" s="136" t="str">
        <x:v>map-88</x:v>
      </x:c>
      <x:c r="L1906" s="136" t="str">
        <x:v>SouthMountain | Conquest | Rocky Slopes||Objective | Victory_Conquest_3 [map-88/010]</x:v>
      </x:c>
      <x:c r="M1906" s="35"/>
      <x:c r="N1906" s="35"/>
      <x:c r="O1906" s="35"/>
      <x:c r="P1906" s="35"/>
      <x:c r="Q1906" s="35"/>
      <x:c r="R1906" s="35"/>
      <x:c r="S1906" s="35"/>
      <x:c r="T1906" s="35"/>
      <x:c r="U1906" s="35"/>
      <x:c r="V1906" s="35"/>
      <x:c r="W1906" s="35"/>
      <x:c r="X1906" s="35"/>
      <x:c r="Y1906" s="35"/>
      <x:c r="Z1906" s="35"/>
      <x:c r="AA1906" s="35"/>
    </x:row>
    <x:row r="1907">
      <x:c r="A1907" s="136" t="str">
        <x:v>SouthMountain | Conquest | Rocky Slopes</x:v>
      </x:c>
      <x:c r="B1907" s="136" t="str">
        <x:v>Artillery | USA CQ3_Spawnpoint_USA_Artillery_Staging [map-88/011]</x:v>
      </x:c>
      <x:c r="C1907" s="136" t="str">
        <x:v>battery</x:v>
      </x:c>
      <x:c r="D1907" s="136" t="str">
        <x:v>USA</x:v>
      </x:c>
      <x:c r="E1907" s="136" t="str">
        <x:v>CQ3_Spawnpoint_USA_Artillery_Staging</x:v>
      </x:c>
      <x:c r="F1907" s="137" t="n">
        <x:v>2388.985595703125</x:v>
      </x:c>
      <x:c r="G1907" s="137" t="n">
        <x:v>3379.89208984375</x:v>
      </x:c>
      <x:c r="H1907" s="137" t="n">
        <x:v>237.2665252685547</x:v>
      </x:c>
      <x:c r="I1907" s="137" t="n">
        <x:v>1429.5539888026187</x:v>
      </x:c>
      <x:c r="J1907" s="137" t="n">
        <x:v>941.6523403820983</x:v>
      </x:c>
      <x:c r="K1907" s="136" t="str">
        <x:v>map-88</x:v>
      </x:c>
      <x:c r="L1907" s="136" t="str">
        <x:v>SouthMountain | Conquest | Rocky Slopes||Artillery | USA CQ3_Spawnpoint_USA_Artillery_Staging [map-88/011]</x:v>
      </x:c>
      <x:c r="M1907" s="35"/>
      <x:c r="N1907" s="35"/>
      <x:c r="O1907" s="35"/>
      <x:c r="P1907" s="35"/>
      <x:c r="Q1907" s="35"/>
      <x:c r="R1907" s="35"/>
      <x:c r="S1907" s="35"/>
      <x:c r="T1907" s="35"/>
      <x:c r="U1907" s="35"/>
      <x:c r="V1907" s="35"/>
      <x:c r="W1907" s="35"/>
      <x:c r="X1907" s="35"/>
      <x:c r="Y1907" s="35"/>
      <x:c r="Z1907" s="35"/>
      <x:c r="AA1907" s="35"/>
    </x:row>
    <x:row r="1908">
      <x:c r="A1908" s="136" t="str">
        <x:v>SouthMountain | Conquest | Rocky Slopes</x:v>
      </x:c>
      <x:c r="B1908" s="136" t="str">
        <x:v>Spawn | CSA CQ3_Spawnpoint_CSA_Infantry_2 [map-88/012]</x:v>
      </x:c>
      <x:c r="C1908" s="136" t="str">
        <x:v>spawn</x:v>
      </x:c>
      <x:c r="D1908" s="136" t="str">
        <x:v>CSA</x:v>
      </x:c>
      <x:c r="E1908" s="136" t="str">
        <x:v>CQ3_Spawnpoint_CSA_Infantry_2</x:v>
      </x:c>
      <x:c r="F1908" s="137" t="n">
        <x:v>1878.2891845703125</x:v>
      </x:c>
      <x:c r="G1908" s="137" t="n">
        <x:v>3299.458251953125</x:v>
      </x:c>
      <x:c r="H1908" s="137" t="n">
        <x:v>167.91464233398438</x:v>
      </x:c>
      <x:c r="I1908" s="137" t="n">
        <x:v>626.7660594006509</x:v>
      </x:c>
      <x:c r="J1908" s="137" t="n">
        <x:v>1068.0748269018768</x:v>
      </x:c>
      <x:c r="K1908" s="136" t="str">
        <x:v>map-88</x:v>
      </x:c>
      <x:c r="L1908" s="136" t="str">
        <x:v>SouthMountain | Conquest | Rocky Slopes||Spawn | CSA CQ3_Spawnpoint_CSA_Infantry_2 [map-88/012]</x:v>
      </x:c>
      <x:c r="M1908" s="35"/>
      <x:c r="N1908" s="35"/>
      <x:c r="O1908" s="35"/>
      <x:c r="P1908" s="35"/>
      <x:c r="Q1908" s="35"/>
      <x:c r="R1908" s="35"/>
      <x:c r="S1908" s="35"/>
      <x:c r="T1908" s="35"/>
      <x:c r="U1908" s="35"/>
      <x:c r="V1908" s="35"/>
      <x:c r="W1908" s="35"/>
      <x:c r="X1908" s="35"/>
      <x:c r="Y1908" s="35"/>
      <x:c r="Z1908" s="35"/>
      <x:c r="AA1908" s="35"/>
    </x:row>
    <x:row r="1909">
      <x:c r="A1909" s="136" t="str">
        <x:v>SouthMountain | Conquest | Rocky Slopes</x:v>
      </x:c>
      <x:c r="B1909" s="136" t="str">
        <x:v>Spawn | USA CQ3_Spawnpoint_USA_Infantry_2 [map-88/013]</x:v>
      </x:c>
      <x:c r="C1909" s="136" t="str">
        <x:v>spawn</x:v>
      </x:c>
      <x:c r="D1909" s="136" t="str">
        <x:v>USA</x:v>
      </x:c>
      <x:c r="E1909" s="136" t="str">
        <x:v>CQ3_Spawnpoint_USA_Infantry_2</x:v>
      </x:c>
      <x:c r="F1909" s="137" t="n">
        <x:v>2386.497314453125</x:v>
      </x:c>
      <x:c r="G1909" s="137" t="n">
        <x:v>3324.012451171875</x:v>
      </x:c>
      <x:c r="H1909" s="137" t="n">
        <x:v>228.28782653808594</x:v>
      </x:c>
      <x:c r="I1909" s="137" t="n">
        <x:v>1425.5756087618092</x:v>
      </x:c>
      <x:c r="J1909" s="137" t="n">
        <x:v>1029.4815805624753</x:v>
      </x:c>
      <x:c r="K1909" s="136" t="str">
        <x:v>map-88</x:v>
      </x:c>
      <x:c r="L1909" s="136" t="str">
        <x:v>SouthMountain | Conquest | Rocky Slopes||Spawn | USA CQ3_Spawnpoint_USA_Infantry_2 [map-88/013]</x:v>
      </x:c>
      <x:c r="M1909" s="35"/>
      <x:c r="N1909" s="35"/>
      <x:c r="O1909" s="35"/>
      <x:c r="P1909" s="35"/>
      <x:c r="Q1909" s="35"/>
      <x:c r="R1909" s="35"/>
      <x:c r="S1909" s="35"/>
      <x:c r="T1909" s="35"/>
      <x:c r="U1909" s="35"/>
      <x:c r="V1909" s="35"/>
      <x:c r="W1909" s="35"/>
      <x:c r="X1909" s="35"/>
      <x:c r="Y1909" s="35"/>
      <x:c r="Z1909" s="35"/>
      <x:c r="AA1909" s="35"/>
    </x:row>
    <x:row r="1910">
      <x:c r="A1910" s="136" t="str">
        <x:v>SouthMountain | Conquest | Rocky Slopes</x:v>
      </x:c>
      <x:c r="B1910" s="136" t="str">
        <x:v>Gun | 3-inch Ordnance · Entity-1655 [map-88/014]</x:v>
      </x:c>
      <x:c r="C1910" s="136" t="str">
        <x:v>gun_spawn</x:v>
      </x:c>
      <x:c r="D1910" s="136" t="str"/>
      <x:c r="E1910" s="136" t="str">
        <x:v>3-inch Ordnance · Entity-1655</x:v>
      </x:c>
      <x:c r="F1910" s="137" t="n">
        <x:v>2118.099853515625</x:v>
      </x:c>
      <x:c r="G1910" s="137" t="n">
        <x:v>3159.916748046875</x:v>
      </x:c>
      <x:c r="H1910" s="137" t="n">
        <x:v>148.71951293945312</x:v>
      </x:c>
      <x:c r="I1910" s="137" t="n">
        <x:v>1003.521949282896</x:v>
      </x:c>
      <x:c r="J1910" s="137" t="n">
        <x:v>1287.4002297320421</x:v>
      </x:c>
      <x:c r="K1910" s="136" t="str">
        <x:v>map-88</x:v>
      </x:c>
      <x:c r="L1910" s="136" t="str">
        <x:v>SouthMountain | Conquest | Rocky Slopes||Gun | 3-inch Ordnance · Entity-1655 [map-88/014]</x:v>
      </x:c>
      <x:c r="M1910" s="35"/>
      <x:c r="N1910" s="35"/>
      <x:c r="O1910" s="35"/>
      <x:c r="P1910" s="35"/>
      <x:c r="Q1910" s="35"/>
      <x:c r="R1910" s="35"/>
      <x:c r="S1910" s="35"/>
      <x:c r="T1910" s="35"/>
      <x:c r="U1910" s="35"/>
      <x:c r="V1910" s="35"/>
      <x:c r="W1910" s="35"/>
      <x:c r="X1910" s="35"/>
      <x:c r="Y1910" s="35"/>
      <x:c r="Z1910" s="35"/>
      <x:c r="AA1910" s="35"/>
    </x:row>
    <x:row r="1911">
      <x:c r="A1911" s="136" t="str">
        <x:v>SouthMountain | Conquest | Rocky Slopes</x:v>
      </x:c>
      <x:c r="B1911" s="136" t="str">
        <x:v>Gun | 3-inch Ordnance · Entity-1676 [map-88/015]</x:v>
      </x:c>
      <x:c r="C1911" s="136" t="str">
        <x:v>gun_spawn</x:v>
      </x:c>
      <x:c r="D1911" s="136" t="str"/>
      <x:c r="E1911" s="136" t="str">
        <x:v>3-inch Ordnance · Entity-1676</x:v>
      </x:c>
      <x:c r="F1911" s="137" t="n">
        <x:v>2196.982666015625</x:v>
      </x:c>
      <x:c r="G1911" s="137" t="n">
        <x:v>3587.81884765625</x:v>
      </x:c>
      <x:c r="H1911" s="137" t="n">
        <x:v>219.89498901367188</x:v>
      </x:c>
      <x:c r="I1911" s="137" t="n">
        <x:v>1128.0227611927803</x:v>
      </x:c>
      <x:c r="J1911" s="137" t="n">
        <x:v>614.8419030584811</x:v>
      </x:c>
      <x:c r="K1911" s="136" t="str">
        <x:v>map-88</x:v>
      </x:c>
      <x:c r="L1911" s="136" t="str">
        <x:v>SouthMountain | Conquest | Rocky Slopes||Gun | 3-inch Ordnance · Entity-1676 [map-88/015]</x:v>
      </x:c>
      <x:c r="M1911" s="35"/>
      <x:c r="N1911" s="35"/>
      <x:c r="O1911" s="35"/>
      <x:c r="P1911" s="35"/>
      <x:c r="Q1911" s="35"/>
      <x:c r="R1911" s="35"/>
      <x:c r="S1911" s="35"/>
      <x:c r="T1911" s="35"/>
      <x:c r="U1911" s="35"/>
      <x:c r="V1911" s="35"/>
      <x:c r="W1911" s="35"/>
      <x:c r="X1911" s="35"/>
      <x:c r="Y1911" s="35"/>
      <x:c r="Z1911" s="35"/>
      <x:c r="AA1911" s="35"/>
    </x:row>
    <x:row r="1912">
      <x:c r="A1912" s="136" t="str">
        <x:v>SouthMountain | Conquest | Rocky Slopes</x:v>
      </x:c>
      <x:c r="B1912" s="136" t="str">
        <x:v>Gun | 12-pounder Napoleon (USA) · Entity-1659 [map-88/016]</x:v>
      </x:c>
      <x:c r="C1912" s="136" t="str">
        <x:v>gun_spawn</x:v>
      </x:c>
      <x:c r="D1912" s="136" t="str"/>
      <x:c r="E1912" s="136" t="str">
        <x:v>12-pounder Napoleon (USA) · Entity-1659</x:v>
      </x:c>
      <x:c r="F1912" s="137" t="n">
        <x:v>2152.739501953125</x:v>
      </x:c>
      <x:c r="G1912" s="137" t="n">
        <x:v>3162.546875</x:v>
      </x:c>
      <x:c r="H1912" s="137" t="n">
        <x:v>156.13734436035156</x:v>
      </x:c>
      <x:c r="I1912" s="137" t="n">
        <x:v>1057.9702485090845</x:v>
      </x:c>
      <x:c r="J1912" s="137" t="n">
        <x:v>1283.266308014557</x:v>
      </x:c>
      <x:c r="K1912" s="136" t="str">
        <x:v>map-88</x:v>
      </x:c>
      <x:c r="L1912" s="136" t="str">
        <x:v>SouthMountain | Conquest | Rocky Slopes||Gun | 12-pounder Napoleon (USA) · Entity-1659 [map-88/016]</x:v>
      </x:c>
      <x:c r="M1912" s="35"/>
      <x:c r="N1912" s="35"/>
      <x:c r="O1912" s="35"/>
      <x:c r="P1912" s="35"/>
      <x:c r="Q1912" s="35"/>
      <x:c r="R1912" s="35"/>
      <x:c r="S1912" s="35"/>
      <x:c r="T1912" s="35"/>
      <x:c r="U1912" s="35"/>
      <x:c r="V1912" s="35"/>
      <x:c r="W1912" s="35"/>
      <x:c r="X1912" s="35"/>
      <x:c r="Y1912" s="35"/>
      <x:c r="Z1912" s="35"/>
      <x:c r="AA1912" s="35"/>
    </x:row>
    <x:row r="1913">
      <x:c r="A1913" s="136" t="str">
        <x:v>SouthMountain | Conquest | Rocky Slopes</x:v>
      </x:c>
      <x:c r="B1913" s="136" t="str">
        <x:v>Gun | 12-pounder Napoleon (USA) · Entity-1658 [map-88/017]</x:v>
      </x:c>
      <x:c r="C1913" s="136" t="str">
        <x:v>gun_spawn</x:v>
      </x:c>
      <x:c r="D1913" s="136" t="str"/>
      <x:c r="E1913" s="136" t="str">
        <x:v>12-pounder Napoleon (USA) · Entity-1658</x:v>
      </x:c>
      <x:c r="F1913" s="137" t="n">
        <x:v>2143.0888671875</x:v>
      </x:c>
      <x:c r="G1913" s="137" t="n">
        <x:v>3162.023193359375</x:v>
      </x:c>
      <x:c r="H1913" s="137" t="n">
        <x:v>153.94281005859375</x:v>
      </x:c>
      <x:c r="I1913" s="137" t="n">
        <x:v>1042.801159412884</x:v>
      </x:c>
      <x:c r="J1913" s="137" t="n">
        <x:v>1284.089408551455</x:v>
      </x:c>
      <x:c r="K1913" s="136" t="str">
        <x:v>map-88</x:v>
      </x:c>
      <x:c r="L1913" s="136" t="str">
        <x:v>SouthMountain | Conquest | Rocky Slopes||Gun | 12-pounder Napoleon (USA) · Entity-1658 [map-88/017]</x:v>
      </x:c>
      <x:c r="M1913" s="35"/>
      <x:c r="N1913" s="35"/>
      <x:c r="O1913" s="35"/>
      <x:c r="P1913" s="35"/>
      <x:c r="Q1913" s="35"/>
      <x:c r="R1913" s="35"/>
      <x:c r="S1913" s="35"/>
      <x:c r="T1913" s="35"/>
      <x:c r="U1913" s="35"/>
      <x:c r="V1913" s="35"/>
      <x:c r="W1913" s="35"/>
      <x:c r="X1913" s="35"/>
      <x:c r="Y1913" s="35"/>
      <x:c r="Z1913" s="35"/>
      <x:c r="AA1913" s="35"/>
    </x:row>
    <x:row r="1914">
      <x:c r="A1914" s="136" t="str">
        <x:v>SouthMountain | Conquest | Rocky Slopes</x:v>
      </x:c>
      <x:c r="B1914" s="136" t="str">
        <x:v>Gun | 12-pounder Napoleon (CSA) · Entity-1673 [map-88/018]</x:v>
      </x:c>
      <x:c r="C1914" s="136" t="str">
        <x:v>gun_spawn</x:v>
      </x:c>
      <x:c r="D1914" s="136" t="str"/>
      <x:c r="E1914" s="136" t="str">
        <x:v>12-pounder Napoleon (CSA) · Entity-1673</x:v>
      </x:c>
      <x:c r="F1914" s="137" t="n">
        <x:v>2174.09716796875</x:v>
      </x:c>
      <x:c r="G1914" s="137" t="n">
        <x:v>3589.113037109375</x:v>
      </x:c>
      <x:c r="H1914" s="137" t="n">
        <x:v>218.0746612548828</x:v>
      </x:c>
      <x:c r="I1914" s="137" t="n">
        <x:v>1092.053869534554</x:v>
      </x:c>
      <x:c r="J1914" s="137" t="n">
        <x:v>612.8077511022582</x:v>
      </x:c>
      <x:c r="K1914" s="136" t="str">
        <x:v>map-88</x:v>
      </x:c>
      <x:c r="L1914" s="136" t="str">
        <x:v>SouthMountain | Conquest | Rocky Slopes||Gun | 12-pounder Napoleon (CSA) · Entity-1673 [map-88/018]</x:v>
      </x:c>
      <x:c r="M1914" s="35"/>
      <x:c r="N1914" s="35"/>
      <x:c r="O1914" s="35"/>
      <x:c r="P1914" s="35"/>
      <x:c r="Q1914" s="35"/>
      <x:c r="R1914" s="35"/>
      <x:c r="S1914" s="35"/>
      <x:c r="T1914" s="35"/>
      <x:c r="U1914" s="35"/>
      <x:c r="V1914" s="35"/>
      <x:c r="W1914" s="35"/>
      <x:c r="X1914" s="35"/>
      <x:c r="Y1914" s="35"/>
      <x:c r="Z1914" s="35"/>
      <x:c r="AA1914" s="35"/>
    </x:row>
    <x:row r="1915">
      <x:c r="A1915" s="136" t="str">
        <x:v>SouthMountain | Conquest | Rocky Slopes</x:v>
      </x:c>
      <x:c r="B1915" s="136" t="str">
        <x:v>Gun | 3-inch Ordnance · Entity-1677 [map-88/019]</x:v>
      </x:c>
      <x:c r="C1915" s="136" t="str">
        <x:v>gun_spawn</x:v>
      </x:c>
      <x:c r="D1915" s="136" t="str"/>
      <x:c r="E1915" s="136" t="str">
        <x:v>3-inch Ordnance · Entity-1677</x:v>
      </x:c>
      <x:c r="F1915" s="137" t="n">
        <x:v>2204.2861328125</x:v>
      </x:c>
      <x:c r="G1915" s="137" t="n">
        <x:v>3586.8388671875</x:v>
      </x:c>
      <x:c r="H1915" s="137" t="n">
        <x:v>220.68272399902344</x:v>
      </x:c>
      <x:c r="I1915" s="137" t="n">
        <x:v>1139.5008576649814</x:v>
      </x:c>
      <x:c r="J1915" s="137" t="n">
        <x:v>616.3821946925651</x:v>
      </x:c>
      <x:c r="K1915" s="136" t="str">
        <x:v>map-88</x:v>
      </x:c>
      <x:c r="L1915" s="136" t="str">
        <x:v>SouthMountain | Conquest | Rocky Slopes||Gun | 3-inch Ordnance · Entity-1677 [map-88/019]</x:v>
      </x:c>
      <x:c r="M1915" s="35"/>
      <x:c r="N1915" s="35"/>
      <x:c r="O1915" s="35"/>
      <x:c r="P1915" s="35"/>
      <x:c r="Q1915" s="35"/>
      <x:c r="R1915" s="35"/>
      <x:c r="S1915" s="35"/>
      <x:c r="T1915" s="35"/>
      <x:c r="U1915" s="35"/>
      <x:c r="V1915" s="35"/>
      <x:c r="W1915" s="35"/>
      <x:c r="X1915" s="35"/>
      <x:c r="Y1915" s="35"/>
      <x:c r="Z1915" s="35"/>
      <x:c r="AA1915" s="35"/>
    </x:row>
    <x:row r="1916">
      <x:c r="A1916" s="136" t="str">
        <x:v>SouthMountain | Conquest | Rocky Slopes</x:v>
      </x:c>
      <x:c r="B1916" s="136" t="str">
        <x:v>Gun | 3-inch Ordnance · Entity-1675 [map-88/020]</x:v>
      </x:c>
      <x:c r="C1916" s="136" t="str">
        <x:v>gun_spawn</x:v>
      </x:c>
      <x:c r="D1916" s="136" t="str"/>
      <x:c r="E1916" s="136" t="str">
        <x:v>3-inch Ordnance · Entity-1675</x:v>
      </x:c>
      <x:c r="F1916" s="137" t="n">
        <x:v>2189.325927734375</x:v>
      </x:c>
      <x:c r="G1916" s="137" t="n">
        <x:v>3588.523681640625</x:v>
      </x:c>
      <x:c r="H1916" s="137" t="n">
        <x:v>219.1850128173828</x:v>
      </x:c>
      <x:c r="I1916" s="137" t="n">
        <x:v>1115.989075723619</x:v>
      </x:c>
      <x:c r="J1916" s="137" t="n">
        <x:v>613.7340749698911</x:v>
      </x:c>
      <x:c r="K1916" s="136" t="str">
        <x:v>map-88</x:v>
      </x:c>
      <x:c r="L1916" s="136" t="str">
        <x:v>SouthMountain | Conquest | Rocky Slopes||Gun | 3-inch Ordnance · Entity-1675 [map-88/020]</x:v>
      </x:c>
      <x:c r="M1916" s="35"/>
      <x:c r="N1916" s="35"/>
      <x:c r="O1916" s="35"/>
      <x:c r="P1916" s="35"/>
      <x:c r="Q1916" s="35"/>
      <x:c r="R1916" s="35"/>
      <x:c r="S1916" s="35"/>
      <x:c r="T1916" s="35"/>
      <x:c r="U1916" s="35"/>
      <x:c r="V1916" s="35"/>
      <x:c r="W1916" s="35"/>
      <x:c r="X1916" s="35"/>
      <x:c r="Y1916" s="35"/>
      <x:c r="Z1916" s="35"/>
      <x:c r="AA1916" s="35"/>
    </x:row>
    <x:row r="1917">
      <x:c r="A1917" s="136" t="str">
        <x:v>SouthMountain | Conquest | Rocky Slopes</x:v>
      </x:c>
      <x:c r="B1917" s="136" t="str">
        <x:v>Gun | 12-pounder Napoleon (CSA) · Entity-1672 [map-88/021]</x:v>
      </x:c>
      <x:c r="C1917" s="136" t="str">
        <x:v>gun_spawn</x:v>
      </x:c>
      <x:c r="D1917" s="136" t="str"/>
      <x:c r="E1917" s="136" t="str">
        <x:v>12-pounder Napoleon (CSA) · Entity-1672</x:v>
      </x:c>
      <x:c r="F1917" s="137" t="n">
        <x:v>2164.198974609375</x:v>
      </x:c>
      <x:c r="G1917" s="137" t="n">
        <x:v>3589.833740234375</x:v>
      </x:c>
      <x:c r="H1917" s="137" t="n">
        <x:v>217.01727294921875</x:v>
      </x:c>
      <x:c r="I1917" s="137" t="n">
        <x:v>1076.497179417834</x:v>
      </x:c>
      <x:c r="J1917" s="137" t="n">
        <x:v>611.6749805731561</x:v>
      </x:c>
      <x:c r="K1917" s="136" t="str">
        <x:v>map-88</x:v>
      </x:c>
      <x:c r="L1917" s="136" t="str">
        <x:v>SouthMountain | Conquest | Rocky Slopes||Gun | 12-pounder Napoleon (CSA) · Entity-1672 [map-88/021]</x:v>
      </x:c>
      <x:c r="M1917" s="35"/>
      <x:c r="N1917" s="35"/>
      <x:c r="O1917" s="35"/>
      <x:c r="P1917" s="35"/>
      <x:c r="Q1917" s="35"/>
      <x:c r="R1917" s="35"/>
      <x:c r="S1917" s="35"/>
      <x:c r="T1917" s="35"/>
      <x:c r="U1917" s="35"/>
      <x:c r="V1917" s="35"/>
      <x:c r="W1917" s="35"/>
      <x:c r="X1917" s="35"/>
      <x:c r="Y1917" s="35"/>
      <x:c r="Z1917" s="35"/>
      <x:c r="AA1917" s="35"/>
    </x:row>
    <x:row r="1918">
      <x:c r="A1918" s="136" t="str">
        <x:v>SouthMountain | Conquest | Rocky Slopes</x:v>
      </x:c>
      <x:c r="B1918" s="136" t="str">
        <x:v>Gun | 3-inch Ordnance · Entity-1654 [map-88/022]</x:v>
      </x:c>
      <x:c r="C1918" s="136" t="str">
        <x:v>gun_spawn</x:v>
      </x:c>
      <x:c r="D1918" s="136" t="str"/>
      <x:c r="E1918" s="136" t="str">
        <x:v>3-inch Ordnance · Entity-1654</x:v>
      </x:c>
      <x:c r="F1918" s="137" t="n">
        <x:v>2109.300048828125</x:v>
      </x:c>
      <x:c r="G1918" s="137" t="n">
        <x:v>3159.35595703125</x:v>
      </x:c>
      <x:c r="H1918" s="137" t="n">
        <x:v>147.14404296875</x:v>
      </x:c>
      <x:c r="I1918" s="137" t="n">
        <x:v>989.6901139644452</x:v>
      </x:c>
      <x:c r="J1918" s="137" t="n">
        <x:v>1288.2816572067534</x:v>
      </x:c>
      <x:c r="K1918" s="136" t="str">
        <x:v>map-88</x:v>
      </x:c>
      <x:c r="L1918" s="136" t="str">
        <x:v>SouthMountain | Conquest | Rocky Slopes||Gun | 3-inch Ordnance · Entity-1654 [map-88/022]</x:v>
      </x:c>
      <x:c r="M1918" s="35"/>
      <x:c r="N1918" s="35"/>
      <x:c r="O1918" s="35"/>
      <x:c r="P1918" s="35"/>
      <x:c r="Q1918" s="35"/>
      <x:c r="R1918" s="35"/>
      <x:c r="S1918" s="35"/>
      <x:c r="T1918" s="35"/>
      <x:c r="U1918" s="35"/>
      <x:c r="V1918" s="35"/>
      <x:c r="W1918" s="35"/>
      <x:c r="X1918" s="35"/>
      <x:c r="Y1918" s="35"/>
      <x:c r="Z1918" s="35"/>
      <x:c r="AA1918" s="35"/>
    </x:row>
    <x:row r="1919">
      <x:c r="A1919" s="136" t="str">
        <x:v>SouthMountain | Conquest | Rocky Slopes</x:v>
      </x:c>
      <x:c r="B1919" s="136" t="str">
        <x:v>Gun | 3-inch Ordnance · Entity-1656 [map-88/023]</x:v>
      </x:c>
      <x:c r="C1919" s="136" t="str">
        <x:v>gun_spawn</x:v>
      </x:c>
      <x:c r="D1919" s="136" t="str"/>
      <x:c r="E1919" s="136" t="str">
        <x:v>3-inch Ordnance · Entity-1656</x:v>
      </x:c>
      <x:c r="F1919" s="137" t="n">
        <x:v>2125.478759765625</x:v>
      </x:c>
      <x:c r="G1919" s="137" t="n">
        <x:v>3160.4814453125</x:v>
      </x:c>
      <x:c r="H1919" s="137" t="n">
        <x:v>150.09283447265625</x:v>
      </x:c>
      <x:c r="I1919" s="137" t="n">
        <x:v>1015.1204815628344</x:v>
      </x:c>
      <x:c r="J1919" s="137" t="n">
        <x:v>1286.5126625796663</x:v>
      </x:c>
      <x:c r="K1919" s="136" t="str">
        <x:v>map-88</x:v>
      </x:c>
      <x:c r="L1919" s="136" t="str">
        <x:v>SouthMountain | Conquest | Rocky Slopes||Gun | 3-inch Ordnance · Entity-1656 [map-88/023]</x:v>
      </x:c>
      <x:c r="M1919" s="35"/>
      <x:c r="N1919" s="35"/>
      <x:c r="O1919" s="35"/>
      <x:c r="P1919" s="35"/>
      <x:c r="Q1919" s="35"/>
      <x:c r="R1919" s="35"/>
      <x:c r="S1919" s="35"/>
      <x:c r="T1919" s="35"/>
      <x:c r="U1919" s="35"/>
      <x:c r="V1919" s="35"/>
      <x:c r="W1919" s="35"/>
      <x:c r="X1919" s="35"/>
      <x:c r="Y1919" s="35"/>
      <x:c r="Z1919" s="35"/>
      <x:c r="AA1919" s="35"/>
    </x:row>
    <x:row r="1920">
      <x:c r="A1920" s="136" t="str">
        <x:v>SouthMountain | Conquest | Rocky Slopes</x:v>
      </x:c>
      <x:c r="B1920" s="136" t="str">
        <x:v>Gun | 12-pounder Napoleon (USA) · Entity-1657 [map-88/024]</x:v>
      </x:c>
      <x:c r="C1920" s="136" t="str">
        <x:v>gun_spawn</x:v>
      </x:c>
      <x:c r="D1920" s="136" t="str"/>
      <x:c r="E1920" s="136" t="str">
        <x:v>12-pounder Napoleon (USA) · Entity-1657</x:v>
      </x:c>
      <x:c r="F1920" s="137" t="n">
        <x:v>2133.615234375</x:v>
      </x:c>
      <x:c r="G1920" s="137" t="n">
        <x:v>3161.1962890625</x:v>
      </x:c>
      <x:c r="H1920" s="137" t="n">
        <x:v>151.81591796875</x:v>
      </x:c>
      <x:c r="I1920" s="137" t="n">
        <x:v>1027.9099086955198</x:v>
      </x:c>
      <x:c r="J1920" s="137" t="n">
        <x:v>1285.3891015670613</x:v>
      </x:c>
      <x:c r="K1920" s="136" t="str">
        <x:v>map-88</x:v>
      </x:c>
      <x:c r="L1920" s="136" t="str">
        <x:v>SouthMountain | Conquest | Rocky Slopes||Gun | 12-pounder Napoleon (USA) · Entity-1657 [map-88/024]</x:v>
      </x:c>
      <x:c r="M1920" s="35"/>
      <x:c r="N1920" s="35"/>
      <x:c r="O1920" s="35"/>
      <x:c r="P1920" s="35"/>
      <x:c r="Q1920" s="35"/>
      <x:c r="R1920" s="35"/>
      <x:c r="S1920" s="35"/>
      <x:c r="T1920" s="35"/>
      <x:c r="U1920" s="35"/>
      <x:c r="V1920" s="35"/>
      <x:c r="W1920" s="35"/>
      <x:c r="X1920" s="35"/>
      <x:c r="Y1920" s="35"/>
      <x:c r="Z1920" s="35"/>
      <x:c r="AA1920" s="35"/>
    </x:row>
    <x:row r="1921">
      <x:c r="A1921" s="136" t="str">
        <x:v>SouthMountain | Conquest | Rocky Slopes</x:v>
      </x:c>
      <x:c r="B1921" s="136" t="str">
        <x:v>Gun | 12-pounder Napoleon (USA) · Entity-1674 [map-88/025]</x:v>
      </x:c>
      <x:c r="C1921" s="136" t="str">
        <x:v>gun_spawn</x:v>
      </x:c>
      <x:c r="D1921" s="136" t="str"/>
      <x:c r="E1921" s="136" t="str">
        <x:v>12-pounder Napoleon (USA) · Entity-1674</x:v>
      </x:c>
      <x:c r="F1921" s="137" t="n">
        <x:v>2182.50927734375</x:v>
      </x:c>
      <x:c r="G1921" s="137" t="n">
        <x:v>3588.51708984375</x:v>
      </x:c>
      <x:c r="H1921" s="137" t="n">
        <x:v>218.4510498046875</x:v>
      </x:c>
      <x:c r="I1921" s="137" t="n">
        <x:v>1105.2749465177747</x:v>
      </x:c>
      <x:c r="J1921" s="137" t="n">
        <x:v>613.74443567595</x:v>
      </x:c>
      <x:c r="K1921" s="136" t="str">
        <x:v>map-88</x:v>
      </x:c>
      <x:c r="L1921" s="136" t="str">
        <x:v>SouthMountain | Conquest | Rocky Slopes||Gun | 12-pounder Napoleon (USA) · Entity-1674 [map-88/025]</x:v>
      </x:c>
      <x:c r="M1921" s="35"/>
      <x:c r="N1921" s="35"/>
      <x:c r="O1921" s="35"/>
      <x:c r="P1921" s="35"/>
      <x:c r="Q1921" s="35"/>
      <x:c r="R1921" s="35"/>
      <x:c r="S1921" s="35"/>
      <x:c r="T1921" s="35"/>
      <x:c r="U1921" s="35"/>
      <x:c r="V1921" s="35"/>
      <x:c r="W1921" s="35"/>
      <x:c r="X1921" s="35"/>
      <x:c r="Y1921" s="35"/>
      <x:c r="Z1921" s="35"/>
      <x:c r="AA1921" s="35"/>
    </x:row>
    <x:row r="1922">
      <x:c r="A1922" s="136" t="str">
        <x:v>SouthMountain | Conquest | Hilltop</x:v>
      </x:c>
      <x:c r="B1922" s="136" t="str">
        <x:v>Spawn | CSA CQ4_Spawnpoint_CSA_Infantry_1 [map-89/001]</x:v>
      </x:c>
      <x:c r="C1922" s="136" t="str">
        <x:v>spawn</x:v>
      </x:c>
      <x:c r="D1922" s="136" t="str">
        <x:v>CSA</x:v>
      </x:c>
      <x:c r="E1922" s="136" t="str">
        <x:v>CQ4_Spawnpoint_CSA_Infantry_1</x:v>
      </x:c>
      <x:c r="F1922" s="137" t="n">
        <x:v>3236.953369140625</x:v>
      </x:c>
      <x:c r="G1922" s="137" t="n">
        <x:v>3555.422607421875</x:v>
      </x:c>
      <x:c r="H1922" s="137" t="n">
        <x:v>177.28775024414062</x:v>
      </x:c>
      <x:c r="I1922" s="137" t="n">
        <x:v>1587.5685855094428</x:v>
      </x:c>
      <x:c r="J1922" s="137" t="n">
        <x:v>1127.538087313817</x:v>
      </x:c>
      <x:c r="K1922" s="136" t="str">
        <x:v>map-89</x:v>
      </x:c>
      <x:c r="L1922" s="136" t="str">
        <x:v>SouthMountain | Conquest | Hilltop||Spawn | CSA CQ4_Spawnpoint_CSA_Infantry_1 [map-89/001]</x:v>
      </x:c>
      <x:c r="M1922" s="35"/>
      <x:c r="N1922" s="35"/>
      <x:c r="O1922" s="35"/>
      <x:c r="P1922" s="35"/>
      <x:c r="Q1922" s="35"/>
      <x:c r="R1922" s="35"/>
      <x:c r="S1922" s="35"/>
      <x:c r="T1922" s="35"/>
      <x:c r="U1922" s="35"/>
      <x:c r="V1922" s="35"/>
      <x:c r="W1922" s="35"/>
      <x:c r="X1922" s="35"/>
      <x:c r="Y1922" s="35"/>
      <x:c r="Z1922" s="35"/>
      <x:c r="AA1922" s="35"/>
    </x:row>
    <x:row r="1923">
      <x:c r="A1923" s="136" t="str">
        <x:v>SouthMountain | Conquest | Hilltop</x:v>
      </x:c>
      <x:c r="B1923" s="136" t="str">
        <x:v>Spawn | USA CQ4_Spawnpoint_USA_Infantry_0 [map-89/002]</x:v>
      </x:c>
      <x:c r="C1923" s="136" t="str">
        <x:v>spawn</x:v>
      </x:c>
      <x:c r="D1923" s="136" t="str">
        <x:v>USA</x:v>
      </x:c>
      <x:c r="E1923" s="136" t="str">
        <x:v>CQ4_Spawnpoint_USA_Infantry_0</x:v>
      </x:c>
      <x:c r="F1923" s="137" t="n">
        <x:v>2702.80859375</x:v>
      </x:c>
      <x:c r="G1923" s="137" t="n">
        <x:v>3724.1474609375</x:v>
      </x:c>
      <x:c r="H1923" s="137" t="n">
        <x:v>241.45835876464844</x:v>
      </x:c>
      <x:c r="I1923" s="137" t="n">
        <x:v>619.4902660481044</x:v>
      </x:c>
      <x:c r="J1923" s="137" t="n">
        <x:v>821.4720995753709</x:v>
      </x:c>
      <x:c r="K1923" s="136" t="str">
        <x:v>map-89</x:v>
      </x:c>
      <x:c r="L1923" s="136" t="str">
        <x:v>SouthMountain | Conquest | Hilltop||Spawn | USA CQ4_Spawnpoint_USA_Infantry_0 [map-89/002]</x:v>
      </x:c>
      <x:c r="M1923" s="35"/>
      <x:c r="N1923" s="35"/>
      <x:c r="O1923" s="35"/>
      <x:c r="P1923" s="35"/>
      <x:c r="Q1923" s="35"/>
      <x:c r="R1923" s="35"/>
      <x:c r="S1923" s="35"/>
      <x:c r="T1923" s="35"/>
      <x:c r="U1923" s="35"/>
      <x:c r="V1923" s="35"/>
      <x:c r="W1923" s="35"/>
      <x:c r="X1923" s="35"/>
      <x:c r="Y1923" s="35"/>
      <x:c r="Z1923" s="35"/>
      <x:c r="AA1923" s="35"/>
    </x:row>
    <x:row r="1924">
      <x:c r="A1924" s="136" t="str">
        <x:v>SouthMountain | Conquest | Hilltop</x:v>
      </x:c>
      <x:c r="B1924" s="136" t="str">
        <x:v>Spawn | USA CQ4_Spawnpoint_USA_Infantry_1 [map-89/003]</x:v>
      </x:c>
      <x:c r="C1924" s="136" t="str">
        <x:v>spawn</x:v>
      </x:c>
      <x:c r="D1924" s="136" t="str">
        <x:v>USA</x:v>
      </x:c>
      <x:c r="E1924" s="136" t="str">
        <x:v>CQ4_Spawnpoint_USA_Infantry_1</x:v>
      </x:c>
      <x:c r="F1924" s="137" t="n">
        <x:v>2692.16064453125</x:v>
      </x:c>
      <x:c r="G1924" s="137" t="n">
        <x:v>3739.64306640625</x:v>
      </x:c>
      <x:c r="H1924" s="137" t="n">
        <x:v>240.99148559570312</x:v>
      </x:c>
      <x:c r="I1924" s="137" t="n">
        <x:v>600.1920359421209</x:v>
      </x:c>
      <x:c r="J1924" s="137" t="n">
        <x:v>793.3631535927386</x:v>
      </x:c>
      <x:c r="K1924" s="136" t="str">
        <x:v>map-89</x:v>
      </x:c>
      <x:c r="L1924" s="136" t="str">
        <x:v>SouthMountain | Conquest | Hilltop||Spawn | USA CQ4_Spawnpoint_USA_Infantry_1 [map-89/003]</x:v>
      </x:c>
      <x:c r="M1924" s="35"/>
      <x:c r="N1924" s="35"/>
      <x:c r="O1924" s="35"/>
      <x:c r="P1924" s="35"/>
      <x:c r="Q1924" s="35"/>
      <x:c r="R1924" s="35"/>
      <x:c r="S1924" s="35"/>
      <x:c r="T1924" s="35"/>
      <x:c r="U1924" s="35"/>
      <x:c r="V1924" s="35"/>
      <x:c r="W1924" s="35"/>
      <x:c r="X1924" s="35"/>
      <x:c r="Y1924" s="35"/>
      <x:c r="Z1924" s="35"/>
      <x:c r="AA1924" s="35"/>
    </x:row>
    <x:row r="1925">
      <x:c r="A1925" s="136" t="str">
        <x:v>SouthMountain | Conquest | Hilltop</x:v>
      </x:c>
      <x:c r="B1925" s="136" t="str">
        <x:v>Objective | Victory_Conquest_4 [map-89/004]</x:v>
      </x:c>
      <x:c r="C1925" s="136" t="str">
        <x:v>objective</x:v>
      </x:c>
      <x:c r="D1925" s="136" t="str"/>
      <x:c r="E1925" s="136" t="str">
        <x:v>Victory_Conquest_4</x:v>
      </x:c>
      <x:c r="F1925" s="137" t="n">
        <x:v>2799.034423828125</x:v>
      </x:c>
      <x:c r="G1925" s="137" t="n">
        <x:v>3534.801025390625</x:v>
      </x:c>
      <x:c r="H1925" s="137" t="n">
        <x:v>261.27325439453125</x:v>
      </x:c>
      <x:c r="I1925" s="137" t="n">
        <x:v>793.8889387725153</x:v>
      </x:c>
      <x:c r="J1925" s="137" t="n">
        <x:v>1164.9455275433588</x:v>
      </x:c>
      <x:c r="K1925" s="136" t="str">
        <x:v>map-89</x:v>
      </x:c>
      <x:c r="L1925" s="136" t="str">
        <x:v>SouthMountain | Conquest | Hilltop||Objective | Victory_Conquest_4 [map-89/004]</x:v>
      </x:c>
      <x:c r="M1925" s="35"/>
      <x:c r="N1925" s="35"/>
      <x:c r="O1925" s="35"/>
      <x:c r="P1925" s="35"/>
      <x:c r="Q1925" s="35"/>
      <x:c r="R1925" s="35"/>
      <x:c r="S1925" s="35"/>
      <x:c r="T1925" s="35"/>
      <x:c r="U1925" s="35"/>
      <x:c r="V1925" s="35"/>
      <x:c r="W1925" s="35"/>
      <x:c r="X1925" s="35"/>
      <x:c r="Y1925" s="35"/>
      <x:c r="Z1925" s="35"/>
      <x:c r="AA1925" s="35"/>
    </x:row>
    <x:row r="1926">
      <x:c r="A1926" s="136" t="str">
        <x:v>SouthMountain | Conquest | Hilltop</x:v>
      </x:c>
      <x:c r="B1926" s="136" t="str">
        <x:v>Artillery | CSA CQ4_Spawnpoint_CSA_Artillery_Staging [map-89/005]</x:v>
      </x:c>
      <x:c r="C1926" s="136" t="str">
        <x:v>battery</x:v>
      </x:c>
      <x:c r="D1926" s="136" t="str">
        <x:v>CSA</x:v>
      </x:c>
      <x:c r="E1926" s="136" t="str">
        <x:v>CQ4_Spawnpoint_CSA_Artillery_Staging</x:v>
      </x:c>
      <x:c r="F1926" s="137" t="n">
        <x:v>3222.713623046875</x:v>
      </x:c>
      <x:c r="G1926" s="137" t="n">
        <x:v>3543.923095703125</x:v>
      </x:c>
      <x:c r="H1926" s="137" t="n">
        <x:v>179.71435546875</x:v>
      </x:c>
      <x:c r="I1926" s="137" t="n">
        <x:v>1561.7606208842858</x:v>
      </x:c>
      <x:c r="J1926" s="137" t="n">
        <x:v>1148.3981404676526</x:v>
      </x:c>
      <x:c r="K1926" s="136" t="str">
        <x:v>map-89</x:v>
      </x:c>
      <x:c r="L1926" s="136" t="str">
        <x:v>SouthMountain | Conquest | Hilltop||Artillery | CSA CQ4_Spawnpoint_CSA_Artillery_Staging [map-89/005]</x:v>
      </x:c>
      <x:c r="M1926" s="35"/>
      <x:c r="N1926" s="35"/>
      <x:c r="O1926" s="35"/>
      <x:c r="P1926" s="35"/>
      <x:c r="Q1926" s="35"/>
      <x:c r="R1926" s="35"/>
      <x:c r="S1926" s="35"/>
      <x:c r="T1926" s="35"/>
      <x:c r="U1926" s="35"/>
      <x:c r="V1926" s="35"/>
      <x:c r="W1926" s="35"/>
      <x:c r="X1926" s="35"/>
      <x:c r="Y1926" s="35"/>
      <x:c r="Z1926" s="35"/>
      <x:c r="AA1926" s="35"/>
    </x:row>
    <x:row r="1927">
      <x:c r="A1927" s="136" t="str">
        <x:v>SouthMountain | Conquest | Hilltop</x:v>
      </x:c>
      <x:c r="B1927" s="136" t="str">
        <x:v>Artillery | USA CQ4_Spawnpoint_USA_Artillery_Staging [map-89/006]</x:v>
      </x:c>
      <x:c r="C1927" s="136" t="str">
        <x:v>battery</x:v>
      </x:c>
      <x:c r="D1927" s="136" t="str">
        <x:v>USA</x:v>
      </x:c>
      <x:c r="E1927" s="136" t="str">
        <x:v>CQ4_Spawnpoint_USA_Artillery_Staging</x:v>
      </x:c>
      <x:c r="F1927" s="137" t="n">
        <x:v>2673.397216796875</x:v>
      </x:c>
      <x:c r="G1927" s="137" t="n">
        <x:v>3710.533935546875</x:v>
      </x:c>
      <x:c r="H1927" s="137" t="n">
        <x:v>248.83839416503906</x:v>
      </x:c>
      <x:c r="I1927" s="137" t="n">
        <x:v>566.1853987431628</x:v>
      </x:c>
      <x:c r="J1927" s="137" t="n">
        <x:v>846.1669622969331</x:v>
      </x:c>
      <x:c r="K1927" s="136" t="str">
        <x:v>map-89</x:v>
      </x:c>
      <x:c r="L1927" s="136" t="str">
        <x:v>SouthMountain | Conquest | Hilltop||Artillery | USA CQ4_Spawnpoint_USA_Artillery_Staging [map-89/006]</x:v>
      </x:c>
      <x:c r="M1927" s="35"/>
      <x:c r="N1927" s="35"/>
      <x:c r="O1927" s="35"/>
      <x:c r="P1927" s="35"/>
      <x:c r="Q1927" s="35"/>
      <x:c r="R1927" s="35"/>
      <x:c r="S1927" s="35"/>
      <x:c r="T1927" s="35"/>
      <x:c r="U1927" s="35"/>
      <x:c r="V1927" s="35"/>
      <x:c r="W1927" s="35"/>
      <x:c r="X1927" s="35"/>
      <x:c r="Y1927" s="35"/>
      <x:c r="Z1927" s="35"/>
      <x:c r="AA1927" s="35"/>
    </x:row>
    <x:row r="1928">
      <x:c r="A1928" s="136" t="str">
        <x:v>SouthMountain | Conquest | Hilltop</x:v>
      </x:c>
      <x:c r="B1928" s="136" t="str">
        <x:v>Artillery | USA CQ4_Spawnpoint_USA_Artillery_Forward [map-89/007]</x:v>
      </x:c>
      <x:c r="C1928" s="136" t="str">
        <x:v>battery</x:v>
      </x:c>
      <x:c r="D1928" s="136" t="str">
        <x:v>USA</x:v>
      </x:c>
      <x:c r="E1928" s="136" t="str">
        <x:v>CQ4_Spawnpoint_USA_Artillery_Forward</x:v>
      </x:c>
      <x:c r="F1928" s="137" t="n">
        <x:v>2669.3525390625</x:v>
      </x:c>
      <x:c r="G1928" s="137" t="n">
        <x:v>3440.341796875</x:v>
      </x:c>
      <x:c r="H1928" s="137" t="n">
        <x:v>267.61737060546875</x:v>
      </x:c>
      <x:c r="I1928" s="137" t="n">
        <x:v>558.8548677630685</x:v>
      </x:c>
      <x:c r="J1928" s="137" t="n">
        <x:v>1336.2940661507373</x:v>
      </x:c>
      <x:c r="K1928" s="136" t="str">
        <x:v>map-89</x:v>
      </x:c>
      <x:c r="L1928" s="136" t="str">
        <x:v>SouthMountain | Conquest | Hilltop||Artillery | USA CQ4_Spawnpoint_USA_Artillery_Forward [map-89/007]</x:v>
      </x:c>
      <x:c r="M1928" s="35"/>
      <x:c r="N1928" s="35"/>
      <x:c r="O1928" s="35"/>
      <x:c r="P1928" s="35"/>
      <x:c r="Q1928" s="35"/>
      <x:c r="R1928" s="35"/>
      <x:c r="S1928" s="35"/>
      <x:c r="T1928" s="35"/>
      <x:c r="U1928" s="35"/>
      <x:c r="V1928" s="35"/>
      <x:c r="W1928" s="35"/>
      <x:c r="X1928" s="35"/>
      <x:c r="Y1928" s="35"/>
      <x:c r="Z1928" s="35"/>
      <x:c r="AA1928" s="35"/>
    </x:row>
    <x:row r="1929">
      <x:c r="A1929" s="136" t="str">
        <x:v>SouthMountain | Conquest | Hilltop</x:v>
      </x:c>
      <x:c r="B1929" s="136" t="str">
        <x:v>Spawn | CSA CQ4_Spawnpoint_CSA_Infantry_0 [map-89/008]</x:v>
      </x:c>
      <x:c r="C1929" s="136" t="str">
        <x:v>spawn</x:v>
      </x:c>
      <x:c r="D1929" s="136" t="str">
        <x:v>CSA</x:v>
      </x:c>
      <x:c r="E1929" s="136" t="str">
        <x:v>CQ4_Spawnpoint_CSA_Infantry_0</x:v>
      </x:c>
      <x:c r="F1929" s="137" t="n">
        <x:v>3238.084228515625</x:v>
      </x:c>
      <x:c r="G1929" s="137" t="n">
        <x:v>3572.642822265625</x:v>
      </x:c>
      <x:c r="H1929" s="137" t="n">
        <x:v>175.46597290039062</x:v>
      </x:c>
      <x:c r="I1929" s="137" t="n">
        <x:v>1589.6181430334238</x:v>
      </x:c>
      <x:c r="J1929" s="137" t="n">
        <x:v>1096.300709088845</x:v>
      </x:c>
      <x:c r="K1929" s="136" t="str">
        <x:v>map-89</x:v>
      </x:c>
      <x:c r="L1929" s="136" t="str">
        <x:v>SouthMountain | Conquest | Hilltop||Spawn | CSA CQ4_Spawnpoint_CSA_Infantry_0 [map-89/008]</x:v>
      </x:c>
      <x:c r="M1929" s="35"/>
      <x:c r="N1929" s="35"/>
      <x:c r="O1929" s="35"/>
      <x:c r="P1929" s="35"/>
      <x:c r="Q1929" s="35"/>
      <x:c r="R1929" s="35"/>
      <x:c r="S1929" s="35"/>
      <x:c r="T1929" s="35"/>
      <x:c r="U1929" s="35"/>
      <x:c r="V1929" s="35"/>
      <x:c r="W1929" s="35"/>
      <x:c r="X1929" s="35"/>
      <x:c r="Y1929" s="35"/>
      <x:c r="Z1929" s="35"/>
      <x:c r="AA1929" s="35"/>
    </x:row>
    <x:row r="1930">
      <x:c r="A1930" s="136" t="str">
        <x:v>SouthMountain | Conquest | Hilltop</x:v>
      </x:c>
      <x:c r="B1930" s="136" t="str">
        <x:v>Artillery | CSA CQ4_Spawnpoint_CSA_Artillery_Forward [map-89/009]</x:v>
      </x:c>
      <x:c r="C1930" s="136" t="str">
        <x:v>battery</x:v>
      </x:c>
      <x:c r="D1930" s="136" t="str">
        <x:v>CSA</x:v>
      </x:c>
      <x:c r="E1930" s="136" t="str">
        <x:v>CQ4_Spawnpoint_CSA_Artillery_Forward</x:v>
      </x:c>
      <x:c r="F1930" s="137" t="n">
        <x:v>2990.02490234375</x:v>
      </x:c>
      <x:c r="G1930" s="137" t="n">
        <x:v>3444.084228515625</x:v>
      </x:c>
      <x:c r="H1930" s="137" t="n">
        <x:v>222.63807678222656</x:v>
      </x:c>
      <x:c r="I1930" s="137" t="n">
        <x:v>1140.0380541304417</x:v>
      </x:c>
      <x:c r="J1930" s="137" t="n">
        <x:v>1329.5053150404842</x:v>
      </x:c>
      <x:c r="K1930" s="136" t="str">
        <x:v>map-89</x:v>
      </x:c>
      <x:c r="L1930" s="136" t="str">
        <x:v>SouthMountain | Conquest | Hilltop||Artillery | CSA CQ4_Spawnpoint_CSA_Artillery_Forward [map-89/009]</x:v>
      </x:c>
      <x:c r="M1930" s="35"/>
      <x:c r="N1930" s="35"/>
      <x:c r="O1930" s="35"/>
      <x:c r="P1930" s="35"/>
      <x:c r="Q1930" s="35"/>
      <x:c r="R1930" s="35"/>
      <x:c r="S1930" s="35"/>
      <x:c r="T1930" s="35"/>
      <x:c r="U1930" s="35"/>
      <x:c r="V1930" s="35"/>
      <x:c r="W1930" s="35"/>
      <x:c r="X1930" s="35"/>
      <x:c r="Y1930" s="35"/>
      <x:c r="Z1930" s="35"/>
      <x:c r="AA1930" s="35"/>
    </x:row>
    <x:row r="1931">
      <x:c r="A1931" s="136" t="str">
        <x:v>SouthMountain | Conquest | Hilltop</x:v>
      </x:c>
      <x:c r="B1931" s="136" t="str">
        <x:v>Gun | 3-inch Ordnance · Entity-1679 [map-89/010]</x:v>
      </x:c>
      <x:c r="C1931" s="136" t="str">
        <x:v>gun_spawn</x:v>
      </x:c>
      <x:c r="D1931" s="136" t="str"/>
      <x:c r="E1931" s="136" t="str">
        <x:v>3-inch Ordnance · Entity-1679</x:v>
      </x:c>
      <x:c r="F1931" s="137" t="n">
        <x:v>2709.389404296875</x:v>
      </x:c>
      <x:c r="G1931" s="137" t="n">
        <x:v>3455.861572265625</x:v>
      </x:c>
      <x:c r="H1931" s="137" t="n">
        <x:v>267.5865478515625</x:v>
      </x:c>
      <x:c r="I1931" s="137" t="n">
        <x:v>631.4172572093551</x:v>
      </x:c>
      <x:c r="J1931" s="137" t="n">
        <x:v>1308.1412760582537</x:v>
      </x:c>
      <x:c r="K1931" s="136" t="str">
        <x:v>map-89</x:v>
      </x:c>
      <x:c r="L1931" s="136" t="str">
        <x:v>SouthMountain | Conquest | Hilltop||Gun | 3-inch Ordnance · Entity-1679 [map-89/010]</x:v>
      </x:c>
      <x:c r="M1931" s="35"/>
      <x:c r="N1931" s="35"/>
      <x:c r="O1931" s="35"/>
      <x:c r="P1931" s="35"/>
      <x:c r="Q1931" s="35"/>
      <x:c r="R1931" s="35"/>
      <x:c r="S1931" s="35"/>
      <x:c r="T1931" s="35"/>
      <x:c r="U1931" s="35"/>
      <x:c r="V1931" s="35"/>
      <x:c r="W1931" s="35"/>
      <x:c r="X1931" s="35"/>
      <x:c r="Y1931" s="35"/>
      <x:c r="Z1931" s="35"/>
      <x:c r="AA1931" s="35"/>
    </x:row>
    <x:row r="1932">
      <x:c r="A1932" s="136" t="str">
        <x:v>SouthMountain | Conquest | Hilltop</x:v>
      </x:c>
      <x:c r="B1932" s="136" t="str">
        <x:v>Gun | 3-inch Ordnance · Entity-1678 [map-89/011]</x:v>
      </x:c>
      <x:c r="C1932" s="136" t="str">
        <x:v>gun_spawn</x:v>
      </x:c>
      <x:c r="D1932" s="136" t="str"/>
      <x:c r="E1932" s="136" t="str">
        <x:v>3-inch Ordnance · Entity-1678</x:v>
      </x:c>
      <x:c r="F1932" s="137" t="n">
        <x:v>2709.2509765625</x:v>
      </x:c>
      <x:c r="G1932" s="137" t="n">
        <x:v>3463.229736328125</x:v>
      </x:c>
      <x:c r="H1932" s="137" t="n">
        <x:v>267.5647277832031</x:v>
      </x:c>
      <x:c r="I1932" s="137" t="n">
        <x:v>631.1663722533756</x:v>
      </x:c>
      <x:c r="J1932" s="137" t="n">
        <x:v>1294.775465600465</x:v>
      </x:c>
      <x:c r="K1932" s="136" t="str">
        <x:v>map-89</x:v>
      </x:c>
      <x:c r="L1932" s="136" t="str">
        <x:v>SouthMountain | Conquest | Hilltop||Gun | 3-inch Ordnance · Entity-1678 [map-89/011]</x:v>
      </x:c>
      <x:c r="M1932" s="35"/>
      <x:c r="N1932" s="35"/>
      <x:c r="O1932" s="35"/>
      <x:c r="P1932" s="35"/>
      <x:c r="Q1932" s="35"/>
      <x:c r="R1932" s="35"/>
      <x:c r="S1932" s="35"/>
      <x:c r="T1932" s="35"/>
      <x:c r="U1932" s="35"/>
      <x:c r="V1932" s="35"/>
      <x:c r="W1932" s="35"/>
      <x:c r="X1932" s="35"/>
      <x:c r="Y1932" s="35"/>
      <x:c r="Z1932" s="35"/>
      <x:c r="AA1932" s="35"/>
    </x:row>
    <x:row r="1933">
      <x:c r="A1933" s="136" t="str">
        <x:v>SouthMountain | Conquest | Hilltop</x:v>
      </x:c>
      <x:c r="B1933" s="136" t="str">
        <x:v>Gun | 12-pounder Napoleon (CSA) · Entity-1682 [map-89/012]</x:v>
      </x:c>
      <x:c r="C1933" s="136" t="str">
        <x:v>gun_spawn</x:v>
      </x:c>
      <x:c r="D1933" s="136" t="str"/>
      <x:c r="E1933" s="136" t="str">
        <x:v>12-pounder Napoleon (CSA) · Entity-1682</x:v>
      </x:c>
      <x:c r="F1933" s="137" t="n">
        <x:v>2711.578125</x:v>
      </x:c>
      <x:c r="G1933" s="137" t="n">
        <x:v>3433.04443359375</x:v>
      </x:c>
      <x:c r="H1933" s="137" t="n">
        <x:v>267.4690856933594</x:v>
      </x:c>
      <x:c r="I1933" s="137" t="n">
        <x:v>635.3840713722418</x:v>
      </x:c>
      <x:c r="J1933" s="137" t="n">
        <x:v>1349.5314443675466</x:v>
      </x:c>
      <x:c r="K1933" s="136" t="str">
        <x:v>map-89</x:v>
      </x:c>
      <x:c r="L1933" s="136" t="str">
        <x:v>SouthMountain | Conquest | Hilltop||Gun | 12-pounder Napoleon (CSA) · Entity-1682 [map-89/012]</x:v>
      </x:c>
      <x:c r="M1933" s="35"/>
      <x:c r="N1933" s="35"/>
      <x:c r="O1933" s="35"/>
      <x:c r="P1933" s="35"/>
      <x:c r="Q1933" s="35"/>
      <x:c r="R1933" s="35"/>
      <x:c r="S1933" s="35"/>
      <x:c r="T1933" s="35"/>
      <x:c r="U1933" s="35"/>
      <x:c r="V1933" s="35"/>
      <x:c r="W1933" s="35"/>
      <x:c r="X1933" s="35"/>
      <x:c r="Y1933" s="35"/>
      <x:c r="Z1933" s="35"/>
      <x:c r="AA1933" s="35"/>
    </x:row>
    <x:row r="1934">
      <x:c r="A1934" s="136" t="str">
        <x:v>SouthMountain | Conquest | Hilltop</x:v>
      </x:c>
      <x:c r="B1934" s="136" t="str">
        <x:v>Gun | 3-inch Ordnance · Entity-1692 [map-89/013]</x:v>
      </x:c>
      <x:c r="C1934" s="136" t="str">
        <x:v>gun_spawn</x:v>
      </x:c>
      <x:c r="D1934" s="136" t="str"/>
      <x:c r="E1934" s="136" t="str">
        <x:v>3-inch Ordnance · Entity-1692</x:v>
      </x:c>
      <x:c r="F1934" s="137" t="n">
        <x:v>2950.77734375</x:v>
      </x:c>
      <x:c r="G1934" s="137" t="n">
        <x:v>3431.973876953125</x:v>
      </x:c>
      <x:c r="H1934" s="137" t="n">
        <x:v>230.68832397460938</x:v>
      </x:c>
      <x:c r="I1934" s="137" t="n">
        <x:v>1068.9061956589028</x:v>
      </x:c>
      <x:c r="J1934" s="137" t="n">
        <x:v>1351.4734284251144</x:v>
      </x:c>
      <x:c r="K1934" s="136" t="str">
        <x:v>map-89</x:v>
      </x:c>
      <x:c r="L1934" s="136" t="str">
        <x:v>SouthMountain | Conquest | Hilltop||Gun | 3-inch Ordnance · Entity-1692 [map-89/013]</x:v>
      </x:c>
      <x:c r="M1934" s="35"/>
      <x:c r="N1934" s="35"/>
      <x:c r="O1934" s="35"/>
      <x:c r="P1934" s="35"/>
      <x:c r="Q1934" s="35"/>
      <x:c r="R1934" s="35"/>
      <x:c r="S1934" s="35"/>
      <x:c r="T1934" s="35"/>
      <x:c r="U1934" s="35"/>
      <x:c r="V1934" s="35"/>
      <x:c r="W1934" s="35"/>
      <x:c r="X1934" s="35"/>
      <x:c r="Y1934" s="35"/>
      <x:c r="Z1934" s="35"/>
      <x:c r="AA1934" s="35"/>
    </x:row>
    <x:row r="1935">
      <x:c r="A1935" s="136" t="str">
        <x:v>SouthMountain | Conquest | Hilltop</x:v>
      </x:c>
      <x:c r="B1935" s="136" t="str">
        <x:v>Gun | 12-pounder Napoleon (CSA) · Entity-1683 [map-89/014]</x:v>
      </x:c>
      <x:c r="C1935" s="136" t="str">
        <x:v>gun_spawn</x:v>
      </x:c>
      <x:c r="D1935" s="136" t="str"/>
      <x:c r="E1935" s="136" t="str">
        <x:v>12-pounder Napoleon (CSA) · Entity-1683</x:v>
      </x:c>
      <x:c r="F1935" s="137" t="n">
        <x:v>2712.365478515625</x:v>
      </x:c>
      <x:c r="G1935" s="137" t="n">
        <x:v>3423.15185546875</x:v>
      </x:c>
      <x:c r="H1935" s="137" t="n">
        <x:v>266.6916809082031</x:v>
      </x:c>
      <x:c r="I1935" s="137" t="n">
        <x:v>636.8110625239774</x:v>
      </x:c>
      <x:c r="J1935" s="137" t="n">
        <x:v>1367.476528520946</x:v>
      </x:c>
      <x:c r="K1935" s="136" t="str">
        <x:v>map-89</x:v>
      </x:c>
      <x:c r="L1935" s="136" t="str">
        <x:v>SouthMountain | Conquest | Hilltop||Gun | 12-pounder Napoleon (CSA) · Entity-1683 [map-89/014]</x:v>
      </x:c>
      <x:c r="M1935" s="35"/>
      <x:c r="N1935" s="35"/>
      <x:c r="O1935" s="35"/>
      <x:c r="P1935" s="35"/>
      <x:c r="Q1935" s="35"/>
      <x:c r="R1935" s="35"/>
      <x:c r="S1935" s="35"/>
      <x:c r="T1935" s="35"/>
      <x:c r="U1935" s="35"/>
      <x:c r="V1935" s="35"/>
      <x:c r="W1935" s="35"/>
      <x:c r="X1935" s="35"/>
      <x:c r="Y1935" s="35"/>
      <x:c r="Z1935" s="35"/>
      <x:c r="AA1935" s="35"/>
    </x:row>
    <x:row r="1936">
      <x:c r="A1936" s="136" t="str">
        <x:v>SouthMountain | Conquest | Hilltop</x:v>
      </x:c>
      <x:c r="B1936" s="136" t="str">
        <x:v>Gun | 12-pounder Napoleon (USA) · Entity-1681 [map-89/015]</x:v>
      </x:c>
      <x:c r="C1936" s="136" t="str">
        <x:v>gun_spawn</x:v>
      </x:c>
      <x:c r="D1936" s="136" t="str"/>
      <x:c r="E1936" s="136" t="str">
        <x:v>12-pounder Napoleon (USA) · Entity-1681</x:v>
      </x:c>
      <x:c r="F1936" s="137" t="n">
        <x:v>2710.892333984375</x:v>
      </x:c>
      <x:c r="G1936" s="137" t="n">
        <x:v>3441.44970703125</x:v>
      </x:c>
      <x:c r="H1936" s="137" t="n">
        <x:v>267.50714111328125</x:v>
      </x:c>
      <x:c r="I1936" s="137" t="n">
        <x:v>634.1411510171332</x:v>
      </x:c>
      <x:c r="J1936" s="137" t="n">
        <x:v>1334.2843230143078</x:v>
      </x:c>
      <x:c r="K1936" s="136" t="str">
        <x:v>map-89</x:v>
      </x:c>
      <x:c r="L1936" s="136" t="str">
        <x:v>SouthMountain | Conquest | Hilltop||Gun | 12-pounder Napoleon (USA) · Entity-1681 [map-89/015]</x:v>
      </x:c>
      <x:c r="M1936" s="35"/>
      <x:c r="N1936" s="35"/>
      <x:c r="O1936" s="35"/>
      <x:c r="P1936" s="35"/>
      <x:c r="Q1936" s="35"/>
      <x:c r="R1936" s="35"/>
      <x:c r="S1936" s="35"/>
      <x:c r="T1936" s="35"/>
      <x:c r="U1936" s="35"/>
      <x:c r="V1936" s="35"/>
      <x:c r="W1936" s="35"/>
      <x:c r="X1936" s="35"/>
      <x:c r="Y1936" s="35"/>
      <x:c r="Z1936" s="35"/>
      <x:c r="AA1936" s="35"/>
    </x:row>
    <x:row r="1937">
      <x:c r="A1937" s="136" t="str">
        <x:v>SouthMountain | Conquest | Hilltop</x:v>
      </x:c>
      <x:c r="B1937" s="136" t="str">
        <x:v>Gun | 3-inch Ordnance · Entity-1680 [map-89/016]</x:v>
      </x:c>
      <x:c r="C1937" s="136" t="str">
        <x:v>gun_spawn</x:v>
      </x:c>
      <x:c r="D1937" s="136" t="str"/>
      <x:c r="E1937" s="136" t="str">
        <x:v>3-inch Ordnance · Entity-1680</x:v>
      </x:c>
      <x:c r="F1937" s="137" t="n">
        <x:v>2709.852783203125</x:v>
      </x:c>
      <x:c r="G1937" s="137" t="n">
        <x:v>3448.1865234375</x:v>
      </x:c>
      <x:c r="H1937" s="137" t="n">
        <x:v>267.55877685546875</x:v>
      </x:c>
      <x:c r="I1937" s="137" t="n">
        <x:v>632.2570802189657</x:v>
      </x:c>
      <x:c r="J1937" s="137" t="n">
        <x:v>1322.0637738502185</x:v>
      </x:c>
      <x:c r="K1937" s="136" t="str">
        <x:v>map-89</x:v>
      </x:c>
      <x:c r="L1937" s="136" t="str">
        <x:v>SouthMountain | Conquest | Hilltop||Gun | 3-inch Ordnance · Entity-1680 [map-89/016]</x:v>
      </x:c>
      <x:c r="M1937" s="35"/>
      <x:c r="N1937" s="35"/>
      <x:c r="O1937" s="35"/>
      <x:c r="P1937" s="35"/>
      <x:c r="Q1937" s="35"/>
      <x:c r="R1937" s="35"/>
      <x:c r="S1937" s="35"/>
      <x:c r="T1937" s="35"/>
      <x:c r="U1937" s="35"/>
      <x:c r="V1937" s="35"/>
      <x:c r="W1937" s="35"/>
      <x:c r="X1937" s="35"/>
      <x:c r="Y1937" s="35"/>
      <x:c r="Z1937" s="35"/>
      <x:c r="AA1937" s="35"/>
    </x:row>
    <x:row r="1938">
      <x:c r="A1938" s="136" t="str">
        <x:v>SouthMountain | Conquest | Hilltop</x:v>
      </x:c>
      <x:c r="B1938" s="136" t="str">
        <x:v>Gun | 3-inch Ordnance · Entity-1691 [map-89/017]</x:v>
      </x:c>
      <x:c r="C1938" s="136" t="str">
        <x:v>gun_spawn</x:v>
      </x:c>
      <x:c r="D1938" s="136" t="str"/>
      <x:c r="E1938" s="136" t="str">
        <x:v>3-inch Ordnance · Entity-1691</x:v>
      </x:c>
      <x:c r="F1938" s="137" t="n">
        <x:v>2951.56591796875</x:v>
      </x:c>
      <x:c r="G1938" s="137" t="n">
        <x:v>3424.615234375</x:v>
      </x:c>
      <x:c r="H1938" s="137" t="n">
        <x:v>230.51768493652344</x:v>
      </x:c>
      <x:c r="I1938" s="137" t="n">
        <x:v>1070.3353992000207</x:v>
      </x:c>
      <x:c r="J1938" s="137" t="n">
        <x:v>1364.8219669608404</x:v>
      </x:c>
      <x:c r="K1938" s="136" t="str">
        <x:v>map-89</x:v>
      </x:c>
      <x:c r="L1938" s="136" t="str">
        <x:v>SouthMountain | Conquest | Hilltop||Gun | 3-inch Ordnance · Entity-1691 [map-89/017]</x:v>
      </x:c>
      <x:c r="M1938" s="35"/>
      <x:c r="N1938" s="35"/>
      <x:c r="O1938" s="35"/>
      <x:c r="P1938" s="35"/>
      <x:c r="Q1938" s="35"/>
      <x:c r="R1938" s="35"/>
      <x:c r="S1938" s="35"/>
      <x:c r="T1938" s="35"/>
      <x:c r="U1938" s="35"/>
      <x:c r="V1938" s="35"/>
      <x:c r="W1938" s="35"/>
      <x:c r="X1938" s="35"/>
      <x:c r="Y1938" s="35"/>
      <x:c r="Z1938" s="35"/>
      <x:c r="AA1938" s="35"/>
    </x:row>
    <x:row r="1939">
      <x:c r="A1939" s="136" t="str">
        <x:v>SouthMountain | Conquest | Hilltop</x:v>
      </x:c>
      <x:c r="B1939" s="136" t="str">
        <x:v>Gun | 12-pounder Napoleon (USA) · Entity-1694 [map-89/018]</x:v>
      </x:c>
      <x:c r="C1939" s="136" t="str">
        <x:v>gun_spawn</x:v>
      </x:c>
      <x:c r="D1939" s="136" t="str"/>
      <x:c r="E1939" s="136" t="str">
        <x:v>12-pounder Napoleon (USA) · Entity-1694</x:v>
      </x:c>
      <x:c r="F1939" s="137" t="n">
        <x:v>2948.702392578125</x:v>
      </x:c>
      <x:c r="G1939" s="137" t="n">
        <x:v>3449.529296875</x:v>
      </x:c>
      <x:c r="H1939" s="137" t="n">
        <x:v>231.08021545410156</x:v>
      </x:c>
      <x:c r="I1939" s="137" t="n">
        <x:v>1065.1455761864681</x:v>
      </x:c>
      <x:c r="J1939" s="137" t="n">
        <x:v>1319.6279899695744</x:v>
      </x:c>
      <x:c r="K1939" s="136" t="str">
        <x:v>map-89</x:v>
      </x:c>
      <x:c r="L1939" s="136" t="str">
        <x:v>SouthMountain | Conquest | Hilltop||Gun | 12-pounder Napoleon (USA) · Entity-1694 [map-89/018]</x:v>
      </x:c>
      <x:c r="M1939" s="35"/>
      <x:c r="N1939" s="35"/>
      <x:c r="O1939" s="35"/>
      <x:c r="P1939" s="35"/>
      <x:c r="Q1939" s="35"/>
      <x:c r="R1939" s="35"/>
      <x:c r="S1939" s="35"/>
      <x:c r="T1939" s="35"/>
      <x:c r="U1939" s="35"/>
      <x:c r="V1939" s="35"/>
      <x:c r="W1939" s="35"/>
      <x:c r="X1939" s="35"/>
      <x:c r="Y1939" s="35"/>
      <x:c r="Z1939" s="35"/>
      <x:c r="AA1939" s="35"/>
    </x:row>
    <x:row r="1940">
      <x:c r="A1940" s="136" t="str">
        <x:v>SouthMountain | Conquest | Hilltop</x:v>
      </x:c>
      <x:c r="B1940" s="136" t="str">
        <x:v>Gun | 3-inch Ordnance · Entity-1690 [map-89/019]</x:v>
      </x:c>
      <x:c r="C1940" s="136" t="str">
        <x:v>gun_spawn</x:v>
      </x:c>
      <x:c r="D1940" s="136" t="str"/>
      <x:c r="E1940" s="136" t="str">
        <x:v>3-inch Ordnance · Entity-1690</x:v>
      </x:c>
      <x:c r="F1940" s="137" t="n">
        <x:v>2952.39306640625</x:v>
      </x:c>
      <x:c r="G1940" s="137" t="n">
        <x:v>3415.836669921875</x:v>
      </x:c>
      <x:c r="H1940" s="137" t="n">
        <x:v>230.35653686523438</x:v>
      </x:c>
      <x:c r="I1940" s="137" t="n">
        <x:v>1071.8345142456271</x:v>
      </x:c>
      <x:c r="J1940" s="137" t="n">
        <x:v>1380.7462362328981</x:v>
      </x:c>
      <x:c r="K1940" s="136" t="str">
        <x:v>map-89</x:v>
      </x:c>
      <x:c r="L1940" s="136" t="str">
        <x:v>SouthMountain | Conquest | Hilltop||Gun | 3-inch Ordnance · Entity-1690 [map-89/019]</x:v>
      </x:c>
      <x:c r="M1940" s="35"/>
      <x:c r="N1940" s="35"/>
      <x:c r="O1940" s="35"/>
      <x:c r="P1940" s="35"/>
      <x:c r="Q1940" s="35"/>
      <x:c r="R1940" s="35"/>
      <x:c r="S1940" s="35"/>
      <x:c r="T1940" s="35"/>
      <x:c r="U1940" s="35"/>
      <x:c r="V1940" s="35"/>
      <x:c r="W1940" s="35"/>
      <x:c r="X1940" s="35"/>
      <x:c r="Y1940" s="35"/>
      <x:c r="Z1940" s="35"/>
      <x:c r="AA1940" s="35"/>
    </x:row>
    <x:row r="1941">
      <x:c r="A1941" s="136" t="str">
        <x:v>SouthMountain | Conquest | Hilltop</x:v>
      </x:c>
      <x:c r="B1941" s="136" t="str">
        <x:v>Gun | 12-pounder Napoleon (USA) · Entity-1693 [map-89/020]</x:v>
      </x:c>
      <x:c r="C1941" s="136" t="str">
        <x:v>gun_spawn</x:v>
      </x:c>
      <x:c r="D1941" s="136" t="str"/>
      <x:c r="E1941" s="136" t="str">
        <x:v>12-pounder Napoleon (USA) · Entity-1693</x:v>
      </x:c>
      <x:c r="F1941" s="137" t="n">
        <x:v>2949.81640625</x:v>
      </x:c>
      <x:c r="G1941" s="137" t="n">
        <x:v>3440.084716796875</x:v>
      </x:c>
      <x:c r="H1941" s="137" t="n">
        <x:v>230.829345703125</x:v>
      </x:c>
      <x:c r="I1941" s="137" t="n">
        <x:v>1067.1646027369704</x:v>
      </x:c>
      <x:c r="J1941" s="137" t="n">
        <x:v>1336.7604080464316</x:v>
      </x:c>
      <x:c r="K1941" s="136" t="str">
        <x:v>map-89</x:v>
      </x:c>
      <x:c r="L1941" s="136" t="str">
        <x:v>SouthMountain | Conquest | Hilltop||Gun | 12-pounder Napoleon (USA) · Entity-1693 [map-89/020]</x:v>
      </x:c>
      <x:c r="M1941" s="35"/>
      <x:c r="N1941" s="35"/>
      <x:c r="O1941" s="35"/>
      <x:c r="P1941" s="35"/>
      <x:c r="Q1941" s="35"/>
      <x:c r="R1941" s="35"/>
      <x:c r="S1941" s="35"/>
      <x:c r="T1941" s="35"/>
      <x:c r="U1941" s="35"/>
      <x:c r="V1941" s="35"/>
      <x:c r="W1941" s="35"/>
      <x:c r="X1941" s="35"/>
      <x:c r="Y1941" s="35"/>
      <x:c r="Z1941" s="35"/>
      <x:c r="AA1941" s="35"/>
    </x:row>
    <x:row r="1942">
      <x:c r="A1942" s="136" t="str">
        <x:v>SouthMountain | Conquest | Hilltop</x:v>
      </x:c>
      <x:c r="B1942" s="136" t="str">
        <x:v>Gun | 12-pounder Napoleon (USA) · Entity-1695 [map-89/021]</x:v>
      </x:c>
      <x:c r="C1942" s="136" t="str">
        <x:v>gun_spawn</x:v>
      </x:c>
      <x:c r="D1942" s="136" t="str"/>
      <x:c r="E1942" s="136" t="str">
        <x:v>12-pounder Napoleon (USA) · Entity-1695</x:v>
      </x:c>
      <x:c r="F1942" s="137" t="n">
        <x:v>2947.885986328125</x:v>
      </x:c>
      <x:c r="G1942" s="137" t="n">
        <x:v>3459.159423828125</x:v>
      </x:c>
      <x:c r="H1942" s="137" t="n">
        <x:v>232.0943603515625</x:v>
      </x:c>
      <x:c r="I1942" s="137" t="n">
        <x:v>1063.6659301674283</x:v>
      </x:c>
      <x:c r="J1942" s="137" t="n">
        <x:v>1302.1589908473918</x:v>
      </x:c>
      <x:c r="K1942" s="136" t="str">
        <x:v>map-89</x:v>
      </x:c>
      <x:c r="L1942" s="136" t="str">
        <x:v>SouthMountain | Conquest | Hilltop||Gun | 12-pounder Napoleon (USA) · Entity-1695 [map-89/021]</x:v>
      </x:c>
      <x:c r="M1942" s="35"/>
      <x:c r="N1942" s="35"/>
      <x:c r="O1942" s="35"/>
      <x:c r="P1942" s="35"/>
      <x:c r="Q1942" s="35"/>
      <x:c r="R1942" s="35"/>
      <x:c r="S1942" s="35"/>
      <x:c r="T1942" s="35"/>
      <x:c r="U1942" s="35"/>
      <x:c r="V1942" s="35"/>
      <x:c r="W1942" s="35"/>
      <x:c r="X1942" s="35"/>
      <x:c r="Y1942" s="35"/>
      <x:c r="Z1942" s="35"/>
      <x:c r="AA1942" s="35"/>
    </x:row>
    <x:row r="1943">
      <x:c r="A1943" s="136" t="str">
        <x:v>SouthMountain | Contention | Log Cabin</x:v>
      </x:c>
      <x:c r="B1943" s="136" t="str">
        <x:v>Spawn | USA CQ1_Spawnpoint_USA_Cavalry_0 [map-90/001]</x:v>
      </x:c>
      <x:c r="C1943" s="136" t="str">
        <x:v>spawn</x:v>
      </x:c>
      <x:c r="D1943" s="136" t="str">
        <x:v>USA</x:v>
      </x:c>
      <x:c r="E1943" s="136" t="str">
        <x:v>CQ1_Spawnpoint_USA_Cavalry_0</x:v>
      </x:c>
      <x:c r="F1943" s="137" t="n">
        <x:v>2422.304443359375</x:v>
      </x:c>
      <x:c r="G1943" s="137" t="n">
        <x:v>2050.403076171875</x:v>
      </x:c>
      <x:c r="H1943" s="137" t="n">
        <x:v>150.33126831054688</x:v>
      </x:c>
      <x:c r="I1943" s="137" t="n">
        <x:v>1404.4122492836677</x:v>
      </x:c>
      <x:c r="J1943" s="137" t="n">
        <x:v>1085.7140304623376</x:v>
      </x:c>
      <x:c r="K1943" s="136" t="str">
        <x:v>map-90</x:v>
      </x:c>
      <x:c r="L1943" s="136" t="str">
        <x:v>SouthMountain | Contention | Log Cabin||Spawn | USA CQ1_Spawnpoint_USA_Cavalry_0 [map-90/001]</x:v>
      </x:c>
      <x:c r="M1943" s="35"/>
      <x:c r="N1943" s="35"/>
      <x:c r="O1943" s="35"/>
      <x:c r="P1943" s="35"/>
      <x:c r="Q1943" s="35"/>
      <x:c r="R1943" s="35"/>
      <x:c r="S1943" s="35"/>
      <x:c r="T1943" s="35"/>
      <x:c r="U1943" s="35"/>
      <x:c r="V1943" s="35"/>
      <x:c r="W1943" s="35"/>
      <x:c r="X1943" s="35"/>
      <x:c r="Y1943" s="35"/>
      <x:c r="Z1943" s="35"/>
      <x:c r="AA1943" s="35"/>
    </x:row>
    <x:row r="1944">
      <x:c r="A1944" s="136" t="str">
        <x:v>SouthMountain | Contention | Log Cabin</x:v>
      </x:c>
      <x:c r="B1944" s="136" t="str">
        <x:v>Spawn | USA CQ1_Spawnpoint_USA_Infantry_1 [map-90/002]</x:v>
      </x:c>
      <x:c r="C1944" s="136" t="str">
        <x:v>spawn</x:v>
      </x:c>
      <x:c r="D1944" s="136" t="str">
        <x:v>USA</x:v>
      </x:c>
      <x:c r="E1944" s="136" t="str">
        <x:v>CQ1_Spawnpoint_USA_Infantry_1</x:v>
      </x:c>
      <x:c r="F1944" s="137" t="n">
        <x:v>2283.709228515625</x:v>
      </x:c>
      <x:c r="G1944" s="137" t="n">
        <x:v>2071.635498046875</x:v>
      </x:c>
      <x:c r="H1944" s="137" t="n">
        <x:v>165.9920654296875</x:v>
      </x:c>
      <x:c r="I1944" s="137" t="n">
        <x:v>1201.086318051576</x:v>
      </x:c>
      <x:c r="J1944" s="137" t="n">
        <x:v>1054.5873303793478</x:v>
      </x:c>
      <x:c r="K1944" s="136" t="str">
        <x:v>map-90</x:v>
      </x:c>
      <x:c r="L1944" s="136" t="str">
        <x:v>SouthMountain | Contention | Log Cabin||Spawn | USA CQ1_Spawnpoint_USA_Infantry_1 [map-90/002]</x:v>
      </x:c>
      <x:c r="M1944" s="35"/>
      <x:c r="N1944" s="35"/>
      <x:c r="O1944" s="35"/>
      <x:c r="P1944" s="35"/>
      <x:c r="Q1944" s="35"/>
      <x:c r="R1944" s="35"/>
      <x:c r="S1944" s="35"/>
      <x:c r="T1944" s="35"/>
      <x:c r="U1944" s="35"/>
      <x:c r="V1944" s="35"/>
      <x:c r="W1944" s="35"/>
      <x:c r="X1944" s="35"/>
      <x:c r="Y1944" s="35"/>
      <x:c r="Z1944" s="35"/>
      <x:c r="AA1944" s="35"/>
    </x:row>
    <x:row r="1945">
      <x:c r="A1945" s="136" t="str">
        <x:v>SouthMountain | Contention | Log Cabin</x:v>
      </x:c>
      <x:c r="B1945" s="136" t="str">
        <x:v>Artillery | USA CQ1_Spawnpoint_USA_Artillery_Forward [map-90/003]</x:v>
      </x:c>
      <x:c r="C1945" s="136" t="str">
        <x:v>battery</x:v>
      </x:c>
      <x:c r="D1945" s="136" t="str">
        <x:v>USA</x:v>
      </x:c>
      <x:c r="E1945" s="136" t="str">
        <x:v>CQ1_Spawnpoint_USA_Artillery_Forward</x:v>
      </x:c>
      <x:c r="F1945" s="137" t="n">
        <x:v>2465.6474609375</x:v>
      </x:c>
      <x:c r="G1945" s="137" t="n">
        <x:v>1668.099365234375</x:v>
      </x:c>
      <x:c r="H1945" s="137" t="n">
        <x:v>171.83900451660156</x:v>
      </x:c>
      <x:c r="I1945" s="137" t="n">
        <x:v>1467.9985673352437</x:v>
      </x:c>
      <x:c r="J1945" s="137" t="n">
        <x:v>1646.1707235811307</x:v>
      </x:c>
      <x:c r="K1945" s="136" t="str">
        <x:v>map-90</x:v>
      </x:c>
      <x:c r="L1945" s="136" t="str">
        <x:v>SouthMountain | Contention | Log Cabin||Artillery | USA CQ1_Spawnpoint_USA_Artillery_Forward [map-90/003]</x:v>
      </x:c>
      <x:c r="M1945" s="35"/>
      <x:c r="N1945" s="35"/>
      <x:c r="O1945" s="35"/>
      <x:c r="P1945" s="35"/>
      <x:c r="Q1945" s="35"/>
      <x:c r="R1945" s="35"/>
      <x:c r="S1945" s="35"/>
      <x:c r="T1945" s="35"/>
      <x:c r="U1945" s="35"/>
      <x:c r="V1945" s="35"/>
      <x:c r="W1945" s="35"/>
      <x:c r="X1945" s="35"/>
      <x:c r="Y1945" s="35"/>
      <x:c r="Z1945" s="35"/>
      <x:c r="AA1945" s="35"/>
    </x:row>
    <x:row r="1946">
      <x:c r="A1946" s="136" t="str">
        <x:v>SouthMountain | Contention | Log Cabin</x:v>
      </x:c>
      <x:c r="B1946" s="136" t="str">
        <x:v>Artillery | CSA CQ1_Spawnpoint_CSA_Artillery_Forward [map-90/004]</x:v>
      </x:c>
      <x:c r="C1946" s="136" t="str">
        <x:v>battery</x:v>
      </x:c>
      <x:c r="D1946" s="136" t="str">
        <x:v>CSA</x:v>
      </x:c>
      <x:c r="E1946" s="136" t="str">
        <x:v>CQ1_Spawnpoint_CSA_Artillery_Forward</x:v>
      </x:c>
      <x:c r="F1946" s="137" t="n">
        <x:v>2095.844970703125</x:v>
      </x:c>
      <x:c r="G1946" s="137" t="n">
        <x:v>1665.8184814453125</x:v>
      </x:c>
      <x:c r="H1946" s="137" t="n">
        <x:v>201.2507781982422</x:v>
      </x:c>
      <x:c r="I1946" s="137" t="n">
        <x:v>925.4803008595989</x:v>
      </x:c>
      <x:c r="J1946" s="137" t="n">
        <x:v>1649.514495951719</x:v>
      </x:c>
      <x:c r="K1946" s="136" t="str">
        <x:v>map-90</x:v>
      </x:c>
      <x:c r="L1946" s="136" t="str">
        <x:v>SouthMountain | Contention | Log Cabin||Artillery | CSA CQ1_Spawnpoint_CSA_Artillery_Forward [map-90/004]</x:v>
      </x:c>
      <x:c r="M1946" s="35"/>
      <x:c r="N1946" s="35"/>
      <x:c r="O1946" s="35"/>
      <x:c r="P1946" s="35"/>
      <x:c r="Q1946" s="35"/>
      <x:c r="R1946" s="35"/>
      <x:c r="S1946" s="35"/>
      <x:c r="T1946" s="35"/>
      <x:c r="U1946" s="35"/>
      <x:c r="V1946" s="35"/>
      <x:c r="W1946" s="35"/>
      <x:c r="X1946" s="35"/>
      <x:c r="Y1946" s="35"/>
      <x:c r="Z1946" s="35"/>
      <x:c r="AA1946" s="35"/>
    </x:row>
    <x:row r="1947">
      <x:c r="A1947" s="136" t="str">
        <x:v>SouthMountain | Contention | Log Cabin</x:v>
      </x:c>
      <x:c r="B1947" s="136" t="str">
        <x:v>Spawn | CSA CQ1_Spawnpoint_CSA_Infantry_1 [map-90/005]</x:v>
      </x:c>
      <x:c r="C1947" s="136" t="str">
        <x:v>spawn</x:v>
      </x:c>
      <x:c r="D1947" s="136" t="str">
        <x:v>CSA</x:v>
      </x:c>
      <x:c r="E1947" s="136" t="str">
        <x:v>CQ1_Spawnpoint_CSA_Infantry_1</x:v>
      </x:c>
      <x:c r="F1947" s="137" t="n">
        <x:v>1927.480224609375</x:v>
      </x:c>
      <x:c r="G1947" s="137" t="n">
        <x:v>2065.24560546875</x:v>
      </x:c>
      <x:c r="H1947" s="137" t="n">
        <x:v>192.89108276367188</x:v>
      </x:c>
      <x:c r="I1947" s="137" t="n">
        <x:v>678.4810171919771</x:v>
      </x:c>
      <x:c r="J1947" s="137" t="n">
        <x:v>1063.9549037542913</x:v>
      </x:c>
      <x:c r="K1947" s="136" t="str">
        <x:v>map-90</x:v>
      </x:c>
      <x:c r="L1947" s="136" t="str">
        <x:v>SouthMountain | Contention | Log Cabin||Spawn | CSA CQ1_Spawnpoint_CSA_Infantry_1 [map-90/005]</x:v>
      </x:c>
      <x:c r="M1947" s="35"/>
      <x:c r="N1947" s="35"/>
      <x:c r="O1947" s="35"/>
      <x:c r="P1947" s="35"/>
      <x:c r="Q1947" s="35"/>
      <x:c r="R1947" s="35"/>
      <x:c r="S1947" s="35"/>
      <x:c r="T1947" s="35"/>
      <x:c r="U1947" s="35"/>
      <x:c r="V1947" s="35"/>
      <x:c r="W1947" s="35"/>
      <x:c r="X1947" s="35"/>
      <x:c r="Y1947" s="35"/>
      <x:c r="Z1947" s="35"/>
      <x:c r="AA1947" s="35"/>
    </x:row>
    <x:row r="1948">
      <x:c r="A1948" s="136" t="str">
        <x:v>SouthMountain | Contention | Log Cabin</x:v>
      </x:c>
      <x:c r="B1948" s="136" t="str">
        <x:v>Spawn | USA CQ1_Spawnpoint_USA_Infantry_0 [map-90/006]</x:v>
      </x:c>
      <x:c r="C1948" s="136" t="str">
        <x:v>spawn</x:v>
      </x:c>
      <x:c r="D1948" s="136" t="str">
        <x:v>USA</x:v>
      </x:c>
      <x:c r="E1948" s="136" t="str">
        <x:v>CQ1_Spawnpoint_USA_Infantry_0</x:v>
      </x:c>
      <x:c r="F1948" s="137" t="n">
        <x:v>2291.150390625</x:v>
      </x:c>
      <x:c r="G1948" s="137" t="n">
        <x:v>2096.5087890625</x:v>
      </x:c>
      <x:c r="H1948" s="137" t="n">
        <x:v>165.6676788330078</x:v>
      </x:c>
      <x:c r="I1948" s="137" t="n">
        <x:v>1212.002865329513</x:v>
      </x:c>
      <x:c r="J1948" s="137" t="n">
        <x:v>1018.1231213466565</x:v>
      </x:c>
      <x:c r="K1948" s="136" t="str">
        <x:v>map-90</x:v>
      </x:c>
      <x:c r="L1948" s="136" t="str">
        <x:v>SouthMountain | Contention | Log Cabin||Spawn | USA CQ1_Spawnpoint_USA_Infantry_0 [map-90/006]</x:v>
      </x:c>
      <x:c r="M1948" s="35"/>
      <x:c r="N1948" s="35"/>
      <x:c r="O1948" s="35"/>
      <x:c r="P1948" s="35"/>
      <x:c r="Q1948" s="35"/>
      <x:c r="R1948" s="35"/>
      <x:c r="S1948" s="35"/>
      <x:c r="T1948" s="35"/>
      <x:c r="U1948" s="35"/>
      <x:c r="V1948" s="35"/>
      <x:c r="W1948" s="35"/>
      <x:c r="X1948" s="35"/>
      <x:c r="Y1948" s="35"/>
      <x:c r="Z1948" s="35"/>
      <x:c r="AA1948" s="35"/>
    </x:row>
    <x:row r="1949">
      <x:c r="A1949" s="136" t="str">
        <x:v>SouthMountain | Contention | Log Cabin</x:v>
      </x:c>
      <x:c r="B1949" s="136" t="str">
        <x:v>Artillery | USA CQ1_Spawnpoint_USA_Artillery_Staging [map-90/007]</x:v>
      </x:c>
      <x:c r="C1949" s="136" t="str">
        <x:v>battery</x:v>
      </x:c>
      <x:c r="D1949" s="136" t="str">
        <x:v>USA</x:v>
      </x:c>
      <x:c r="E1949" s="136" t="str">
        <x:v>CQ1_Spawnpoint_USA_Artillery_Staging</x:v>
      </x:c>
      <x:c r="F1949" s="137" t="n">
        <x:v>2304.39697265625</x:v>
      </x:c>
      <x:c r="G1949" s="137" t="n">
        <x:v>2056.994873046875</x:v>
      </x:c>
      <x:c r="H1949" s="137" t="n">
        <x:v>163.38363647460938</x:v>
      </x:c>
      <x:c r="I1949" s="137" t="n">
        <x:v>1231.436246418338</x:v>
      </x:c>
      <x:c r="J1949" s="137" t="n">
        <x:v>1076.0504656771209</x:v>
      </x:c>
      <x:c r="K1949" s="136" t="str">
        <x:v>map-90</x:v>
      </x:c>
      <x:c r="L1949" s="136" t="str">
        <x:v>SouthMountain | Contention | Log Cabin||Artillery | USA CQ1_Spawnpoint_USA_Artillery_Staging [map-90/007]</x:v>
      </x:c>
      <x:c r="M1949" s="35"/>
      <x:c r="N1949" s="35"/>
      <x:c r="O1949" s="35"/>
      <x:c r="P1949" s="35"/>
      <x:c r="Q1949" s="35"/>
      <x:c r="R1949" s="35"/>
      <x:c r="S1949" s="35"/>
      <x:c r="T1949" s="35"/>
      <x:c r="U1949" s="35"/>
      <x:c r="V1949" s="35"/>
      <x:c r="W1949" s="35"/>
      <x:c r="X1949" s="35"/>
      <x:c r="Y1949" s="35"/>
      <x:c r="Z1949" s="35"/>
      <x:c r="AA1949" s="35"/>
    </x:row>
    <x:row r="1950">
      <x:c r="A1950" s="136" t="str">
        <x:v>SouthMountain | Contention | Log Cabin</x:v>
      </x:c>
      <x:c r="B1950" s="136" t="str">
        <x:v>Objective | Victory_Conquest_1 [map-90/008]</x:v>
      </x:c>
      <x:c r="C1950" s="136" t="str">
        <x:v>objective</x:v>
      </x:c>
      <x:c r="D1950" s="136" t="str"/>
      <x:c r="E1950" s="136" t="str">
        <x:v>Victory_Conquest_1</x:v>
      </x:c>
      <x:c r="F1950" s="137" t="n">
        <x:v>2074.062744140625</x:v>
      </x:c>
      <x:c r="G1950" s="137" t="n">
        <x:v>2239.339111328125</x:v>
      </x:c>
      <x:c r="H1950" s="137" t="n">
        <x:v>198.156982421875</x:v>
      </x:c>
      <x:c r="I1950" s="137" t="n">
        <x:v>893.5247134670489</x:v>
      </x:c>
      <x:c r="J1950" s="137" t="n">
        <x:v>808.7340733100013</x:v>
      </x:c>
      <x:c r="K1950" s="136" t="str">
        <x:v>map-90</x:v>
      </x:c>
      <x:c r="L1950" s="136" t="str">
        <x:v>SouthMountain | Contention | Log Cabin||Objective | Victory_Conquest_1 [map-90/008]</x:v>
      </x:c>
      <x:c r="M1950" s="35"/>
      <x:c r="N1950" s="35"/>
      <x:c r="O1950" s="35"/>
      <x:c r="P1950" s="35"/>
      <x:c r="Q1950" s="35"/>
      <x:c r="R1950" s="35"/>
      <x:c r="S1950" s="35"/>
      <x:c r="T1950" s="35"/>
      <x:c r="U1950" s="35"/>
      <x:c r="V1950" s="35"/>
      <x:c r="W1950" s="35"/>
      <x:c r="X1950" s="35"/>
      <x:c r="Y1950" s="35"/>
      <x:c r="Z1950" s="35"/>
      <x:c r="AA1950" s="35"/>
    </x:row>
    <x:row r="1951">
      <x:c r="A1951" s="136" t="str">
        <x:v>SouthMountain | Contention | Log Cabin</x:v>
      </x:c>
      <x:c r="B1951" s="136" t="str">
        <x:v>Spawn | CSA CQ1_Spawnpoint_CSA_Cavalry_0 [map-90/009]</x:v>
      </x:c>
      <x:c r="C1951" s="136" t="str">
        <x:v>spawn</x:v>
      </x:c>
      <x:c r="D1951" s="136" t="str">
        <x:v>CSA</x:v>
      </x:c>
      <x:c r="E1951" s="136" t="str">
        <x:v>CQ1_Spawnpoint_CSA_Cavalry_0</x:v>
      </x:c>
      <x:c r="F1951" s="137" t="n">
        <x:v>1936.7894287109375</x:v>
      </x:c>
      <x:c r="G1951" s="137" t="n">
        <x:v>1898.19189453125</x:v>
      </x:c>
      <x:c r="H1951" s="137" t="n">
        <x:v>192.65306091308594</x:v>
      </x:c>
      <x:c r="I1951" s="137" t="n">
        <x:v>692.1380730659026</x:v>
      </x:c>
      <x:c r="J1951" s="137" t="n">
        <x:v>1308.8554049177767</x:v>
      </x:c>
      <x:c r="K1951" s="136" t="str">
        <x:v>map-90</x:v>
      </x:c>
      <x:c r="L1951" s="136" t="str">
        <x:v>SouthMountain | Contention | Log Cabin||Spawn | CSA CQ1_Spawnpoint_CSA_Cavalry_0 [map-90/009]</x:v>
      </x:c>
      <x:c r="M1951" s="35"/>
      <x:c r="N1951" s="35"/>
      <x:c r="O1951" s="35"/>
      <x:c r="P1951" s="35"/>
      <x:c r="Q1951" s="35"/>
      <x:c r="R1951" s="35"/>
      <x:c r="S1951" s="35"/>
      <x:c r="T1951" s="35"/>
      <x:c r="U1951" s="35"/>
      <x:c r="V1951" s="35"/>
      <x:c r="W1951" s="35"/>
      <x:c r="X1951" s="35"/>
      <x:c r="Y1951" s="35"/>
      <x:c r="Z1951" s="35"/>
      <x:c r="AA1951" s="35"/>
    </x:row>
    <x:row r="1952">
      <x:c r="A1952" s="136" t="str">
        <x:v>SouthMountain | Contention | Log Cabin</x:v>
      </x:c>
      <x:c r="B1952" s="136" t="str">
        <x:v>Spawn | CSA CQ1_Spawnpoint_CSA_Infantry_0 [map-90/010]</x:v>
      </x:c>
      <x:c r="C1952" s="136" t="str">
        <x:v>spawn</x:v>
      </x:c>
      <x:c r="D1952" s="136" t="str">
        <x:v>CSA</x:v>
      </x:c>
      <x:c r="E1952" s="136" t="str">
        <x:v>CQ1_Spawnpoint_CSA_Infantry_0</x:v>
      </x:c>
      <x:c r="F1952" s="137" t="n">
        <x:v>1934.596435546875</x:v>
      </x:c>
      <x:c r="G1952" s="137" t="n">
        <x:v>2081.671142578125</x:v>
      </x:c>
      <x:c r="H1952" s="137" t="n">
        <x:v>195.07054138183594</x:v>
      </x:c>
      <x:c r="I1952" s="137" t="n">
        <x:v>688.9208452722063</x:v>
      </x:c>
      <x:c r="J1952" s="137" t="n">
        <x:v>1039.8750898585656</x:v>
      </x:c>
      <x:c r="K1952" s="136" t="str">
        <x:v>map-90</x:v>
      </x:c>
      <x:c r="L1952" s="136" t="str">
        <x:v>SouthMountain | Contention | Log Cabin||Spawn | CSA CQ1_Spawnpoint_CSA_Infantry_0 [map-90/010]</x:v>
      </x:c>
      <x:c r="M1952" s="35"/>
      <x:c r="N1952" s="35"/>
      <x:c r="O1952" s="35"/>
      <x:c r="P1952" s="35"/>
      <x:c r="Q1952" s="35"/>
      <x:c r="R1952" s="35"/>
      <x:c r="S1952" s="35"/>
      <x:c r="T1952" s="35"/>
      <x:c r="U1952" s="35"/>
      <x:c r="V1952" s="35"/>
      <x:c r="W1952" s="35"/>
      <x:c r="X1952" s="35"/>
      <x:c r="Y1952" s="35"/>
      <x:c r="Z1952" s="35"/>
      <x:c r="AA1952" s="35"/>
    </x:row>
    <x:row r="1953">
      <x:c r="A1953" s="136" t="str">
        <x:v>SouthMountain | Contention | Log Cabin</x:v>
      </x:c>
      <x:c r="B1953" s="136" t="str">
        <x:v>Artillery | CSA CQ1_Spawnpoint_CSA_Artillery_Staging [map-90/011]</x:v>
      </x:c>
      <x:c r="C1953" s="136" t="str">
        <x:v>battery</x:v>
      </x:c>
      <x:c r="D1953" s="136" t="str">
        <x:v>CSA</x:v>
      </x:c>
      <x:c r="E1953" s="136" t="str">
        <x:v>CQ1_Spawnpoint_CSA_Artillery_Staging</x:v>
      </x:c>
      <x:c r="F1953" s="137" t="n">
        <x:v>1937.4276123046875</x:v>
      </x:c>
      <x:c r="G1953" s="137" t="n">
        <x:v>2039.363525390625</x:v>
      </x:c>
      <x:c r="H1953" s="137" t="n">
        <x:v>193.1080322265625</x:v>
      </x:c>
      <x:c r="I1953" s="137" t="n">
        <x:v>693.0743194842407</x:v>
      </x:c>
      <x:c r="J1953" s="137" t="n">
        <x:v>1101.8979961089276</x:v>
      </x:c>
      <x:c r="K1953" s="136" t="str">
        <x:v>map-90</x:v>
      </x:c>
      <x:c r="L1953" s="136" t="str">
        <x:v>SouthMountain | Contention | Log Cabin||Artillery | CSA CQ1_Spawnpoint_CSA_Artillery_Staging [map-90/011]</x:v>
      </x:c>
      <x:c r="M1953" s="35"/>
      <x:c r="N1953" s="35"/>
      <x:c r="O1953" s="35"/>
      <x:c r="P1953" s="35"/>
      <x:c r="Q1953" s="35"/>
      <x:c r="R1953" s="35"/>
      <x:c r="S1953" s="35"/>
      <x:c r="T1953" s="35"/>
      <x:c r="U1953" s="35"/>
      <x:c r="V1953" s="35"/>
      <x:c r="W1953" s="35"/>
      <x:c r="X1953" s="35"/>
      <x:c r="Y1953" s="35"/>
      <x:c r="Z1953" s="35"/>
      <x:c r="AA1953" s="35"/>
    </x:row>
    <x:row r="1954">
      <x:c r="A1954" s="136" t="str">
        <x:v>SouthMountain | Contention | Log Cabin</x:v>
      </x:c>
      <x:c r="B1954" s="136" t="str">
        <x:v>Spawn | CSA CQ1_Spawnpoint_CSA_Infantry_2 [map-90/012]</x:v>
      </x:c>
      <x:c r="C1954" s="136" t="str">
        <x:v>spawn</x:v>
      </x:c>
      <x:c r="D1954" s="136" t="str">
        <x:v>CSA</x:v>
      </x:c>
      <x:c r="E1954" s="136" t="str">
        <x:v>CQ1_Spawnpoint_CSA_Infantry_2</x:v>
      </x:c>
      <x:c r="F1954" s="137" t="n">
        <x:v>1924.4798583984375</x:v>
      </x:c>
      <x:c r="G1954" s="137" t="n">
        <x:v>2050.0361328125</x:v>
      </x:c>
      <x:c r="H1954" s="137" t="n">
        <x:v>191.41148376464844</x:v>
      </x:c>
      <x:c r="I1954" s="137" t="n">
        <x:v>674.0793338108882</x:v>
      </x:c>
      <x:c r="J1954" s="137" t="n">
        <x:v>1086.251968902048</x:v>
      </x:c>
      <x:c r="K1954" s="136" t="str">
        <x:v>map-90</x:v>
      </x:c>
      <x:c r="L1954" s="136" t="str">
        <x:v>SouthMountain | Contention | Log Cabin||Spawn | CSA CQ1_Spawnpoint_CSA_Infantry_2 [map-90/012]</x:v>
      </x:c>
      <x:c r="M1954" s="35"/>
      <x:c r="N1954" s="35"/>
      <x:c r="O1954" s="35"/>
      <x:c r="P1954" s="35"/>
      <x:c r="Q1954" s="35"/>
      <x:c r="R1954" s="35"/>
      <x:c r="S1954" s="35"/>
      <x:c r="T1954" s="35"/>
      <x:c r="U1954" s="35"/>
      <x:c r="V1954" s="35"/>
      <x:c r="W1954" s="35"/>
      <x:c r="X1954" s="35"/>
      <x:c r="Y1954" s="35"/>
      <x:c r="Z1954" s="35"/>
      <x:c r="AA1954" s="35"/>
    </x:row>
    <x:row r="1955">
      <x:c r="A1955" s="136" t="str">
        <x:v>SouthMountain | Contention | Log Cabin</x:v>
      </x:c>
      <x:c r="B1955" s="136" t="str">
        <x:v>Spawn | USA CQ1_Spawnpoint_USA_Infantry_2 [map-90/013]</x:v>
      </x:c>
      <x:c r="C1955" s="136" t="str">
        <x:v>spawn</x:v>
      </x:c>
      <x:c r="D1955" s="136" t="str">
        <x:v>USA</x:v>
      </x:c>
      <x:c r="E1955" s="136" t="str">
        <x:v>CQ1_Spawnpoint_USA_Infantry_2</x:v>
      </x:c>
      <x:c r="F1955" s="137" t="n">
        <x:v>2289.92822265625</x:v>
      </x:c>
      <x:c r="G1955" s="137" t="n">
        <x:v>2048.298583984375</x:v>
      </x:c>
      <x:c r="H1955" s="137" t="n">
        <x:v>167.06800842285156</x:v>
      </x:c>
      <x:c r="I1955" s="137" t="n">
        <x:v>1210.2098853868197</x:v>
      </x:c>
      <x:c r="J1955" s="137" t="n">
        <x:v>1088.7992129974698</x:v>
      </x:c>
      <x:c r="K1955" s="136" t="str">
        <x:v>map-90</x:v>
      </x:c>
      <x:c r="L1955" s="136" t="str">
        <x:v>SouthMountain | Contention | Log Cabin||Spawn | USA CQ1_Spawnpoint_USA_Infantry_2 [map-90/013]</x:v>
      </x:c>
      <x:c r="M1955" s="35"/>
      <x:c r="N1955" s="35"/>
      <x:c r="O1955" s="35"/>
      <x:c r="P1955" s="35"/>
      <x:c r="Q1955" s="35"/>
      <x:c r="R1955" s="35"/>
      <x:c r="S1955" s="35"/>
      <x:c r="T1955" s="35"/>
      <x:c r="U1955" s="35"/>
      <x:c r="V1955" s="35"/>
      <x:c r="W1955" s="35"/>
      <x:c r="X1955" s="35"/>
      <x:c r="Y1955" s="35"/>
      <x:c r="Z1955" s="35"/>
      <x:c r="AA1955" s="35"/>
    </x:row>
    <x:row r="1956">
      <x:c r="A1956" s="136" t="str">
        <x:v>SouthMountain | Contention | Log Cabin</x:v>
      </x:c>
      <x:c r="B1956" s="136" t="str">
        <x:v>Gun | 12-pounder Napoleon (CSA) · Entity-1617 [map-90/014]</x:v>
      </x:c>
      <x:c r="C1956" s="136" t="str">
        <x:v>gun_spawn</x:v>
      </x:c>
      <x:c r="D1956" s="136" t="str"/>
      <x:c r="E1956" s="136" t="str">
        <x:v>12-pounder Napoleon (CSA) · Entity-1617</x:v>
      </x:c>
      <x:c r="F1956" s="137" t="n">
        <x:v>2423.703857421875</x:v>
      </x:c>
      <x:c r="G1956" s="137" t="n">
        <x:v>1689.603271484375</x:v>
      </x:c>
      <x:c r="H1956" s="137" t="n">
        <x:v>172.86790466308594</x:v>
      </x:c>
      <x:c r="I1956" s="137" t="n">
        <x:v>1406.4652578796563</x:v>
      </x:c>
      <x:c r="J1956" s="137" t="n">
        <x:v>1614.6460277929127</x:v>
      </x:c>
      <x:c r="K1956" s="136" t="str">
        <x:v>map-90</x:v>
      </x:c>
      <x:c r="L1956" s="136" t="str">
        <x:v>SouthMountain | Contention | Log Cabin||Gun | 12-pounder Napoleon (CSA) · Entity-1617 [map-90/014]</x:v>
      </x:c>
      <x:c r="M1956" s="35"/>
      <x:c r="N1956" s="35"/>
      <x:c r="O1956" s="35"/>
      <x:c r="P1956" s="35"/>
      <x:c r="Q1956" s="35"/>
      <x:c r="R1956" s="35"/>
      <x:c r="S1956" s="35"/>
      <x:c r="T1956" s="35"/>
      <x:c r="U1956" s="35"/>
      <x:c r="V1956" s="35"/>
      <x:c r="W1956" s="35"/>
      <x:c r="X1956" s="35"/>
      <x:c r="Y1956" s="35"/>
      <x:c r="Z1956" s="35"/>
      <x:c r="AA1956" s="35"/>
    </x:row>
    <x:row r="1957">
      <x:c r="A1957" s="136" t="str">
        <x:v>SouthMountain | Contention | Log Cabin</x:v>
      </x:c>
      <x:c r="B1957" s="136" t="str">
        <x:v>Gun | 3-inch Ordnance · Entity-1626 [map-90/015]</x:v>
      </x:c>
      <x:c r="C1957" s="136" t="str">
        <x:v>gun_spawn</x:v>
      </x:c>
      <x:c r="D1957" s="136" t="str"/>
      <x:c r="E1957" s="136" t="str">
        <x:v>3-inch Ordnance · Entity-1626</x:v>
      </x:c>
      <x:c r="F1957" s="137" t="n">
        <x:v>2420.36328125</x:v>
      </x:c>
      <x:c r="G1957" s="137" t="n">
        <x:v>1649.54345703125</x:v>
      </x:c>
      <x:c r="H1957" s="137" t="n">
        <x:v>170.05795288085938</x:v>
      </x:c>
      <x:c r="I1957" s="137" t="n">
        <x:v>1401.5644699140403</x:v>
      </x:c>
      <x:c r="J1957" s="137" t="n">
        <x:v>1673.3736584515157</x:v>
      </x:c>
      <x:c r="K1957" s="136" t="str">
        <x:v>map-90</x:v>
      </x:c>
      <x:c r="L1957" s="136" t="str">
        <x:v>SouthMountain | Contention | Log Cabin||Gun | 3-inch Ordnance · Entity-1626 [map-90/015]</x:v>
      </x:c>
      <x:c r="M1957" s="35"/>
      <x:c r="N1957" s="35"/>
      <x:c r="O1957" s="35"/>
      <x:c r="P1957" s="35"/>
      <x:c r="Q1957" s="35"/>
      <x:c r="R1957" s="35"/>
      <x:c r="S1957" s="35"/>
      <x:c r="T1957" s="35"/>
      <x:c r="U1957" s="35"/>
      <x:c r="V1957" s="35"/>
      <x:c r="W1957" s="35"/>
      <x:c r="X1957" s="35"/>
      <x:c r="Y1957" s="35"/>
      <x:c r="Z1957" s="35"/>
      <x:c r="AA1957" s="35"/>
    </x:row>
    <x:row r="1958">
      <x:c r="A1958" s="136" t="str">
        <x:v>SouthMountain | Contention | Log Cabin</x:v>
      </x:c>
      <x:c r="B1958" s="136" t="str">
        <x:v>Gun | 10-pounder Parrott · Entity-1606 [map-90/016]</x:v>
      </x:c>
      <x:c r="C1958" s="136" t="str">
        <x:v>gun_spawn</x:v>
      </x:c>
      <x:c r="D1958" s="136" t="str"/>
      <x:c r="E1958" s="136" t="str">
        <x:v>10-pounder Parrott · Entity-1606</x:v>
      </x:c>
      <x:c r="F1958" s="137" t="n">
        <x:v>2133.768798828125</x:v>
      </x:c>
      <x:c r="G1958" s="137" t="n">
        <x:v>1673.1512451171875</x:v>
      </x:c>
      <x:c r="H1958" s="137" t="n">
        <x:v>197.94960021972656</x:v>
      </x:c>
      <x:c r="I1958" s="137" t="n">
        <x:v>981.1164040114613</x:v>
      </x:c>
      <x:c r="J1958" s="137" t="n">
        <x:v>1638.7646749026826</x:v>
      </x:c>
      <x:c r="K1958" s="136" t="str">
        <x:v>map-90</x:v>
      </x:c>
      <x:c r="L1958" s="136" t="str">
        <x:v>SouthMountain | Contention | Log Cabin||Gun | 10-pounder Parrott · Entity-1606 [map-90/016]</x:v>
      </x:c>
      <x:c r="M1958" s="35"/>
      <x:c r="N1958" s="35"/>
      <x:c r="O1958" s="35"/>
      <x:c r="P1958" s="35"/>
      <x:c r="Q1958" s="35"/>
      <x:c r="R1958" s="35"/>
      <x:c r="S1958" s="35"/>
      <x:c r="T1958" s="35"/>
      <x:c r="U1958" s="35"/>
      <x:c r="V1958" s="35"/>
      <x:c r="W1958" s="35"/>
      <x:c r="X1958" s="35"/>
      <x:c r="Y1958" s="35"/>
      <x:c r="Z1958" s="35"/>
      <x:c r="AA1958" s="35"/>
    </x:row>
    <x:row r="1959">
      <x:c r="A1959" s="136" t="str">
        <x:v>SouthMountain | Contention | Log Cabin</x:v>
      </x:c>
      <x:c r="B1959" s="136" t="str">
        <x:v>Gun | 3-inch Ordnance · Entity-1622 [map-90/017]</x:v>
      </x:c>
      <x:c r="C1959" s="136" t="str">
        <x:v>gun_spawn</x:v>
      </x:c>
      <x:c r="D1959" s="136" t="str"/>
      <x:c r="E1959" s="136" t="str">
        <x:v>3-inch Ordnance · Entity-1622</x:v>
      </x:c>
      <x:c r="F1959" s="137" t="n">
        <x:v>2422.17724609375</x:v>
      </x:c>
      <x:c r="G1959" s="137" t="n">
        <x:v>1664.48876953125</x:v>
      </x:c>
      <x:c r="H1959" s="137" t="n">
        <x:v>171.17724609375</x:v>
      </x:c>
      <x:c r="I1959" s="137" t="n">
        <x:v>1404.2256446991405</x:v>
      </x:c>
      <x:c r="J1959" s="137" t="n">
        <x:v>1651.4638517147814</x:v>
      </x:c>
      <x:c r="K1959" s="136" t="str">
        <x:v>map-90</x:v>
      </x:c>
      <x:c r="L1959" s="136" t="str">
        <x:v>SouthMountain | Contention | Log Cabin||Gun | 3-inch Ordnance · Entity-1622 [map-90/017]</x:v>
      </x:c>
      <x:c r="M1959" s="35"/>
      <x:c r="N1959" s="35"/>
      <x:c r="O1959" s="35"/>
      <x:c r="P1959" s="35"/>
      <x:c r="Q1959" s="35"/>
      <x:c r="R1959" s="35"/>
      <x:c r="S1959" s="35"/>
      <x:c r="T1959" s="35"/>
      <x:c r="U1959" s="35"/>
      <x:c r="V1959" s="35"/>
      <x:c r="W1959" s="35"/>
      <x:c r="X1959" s="35"/>
      <x:c r="Y1959" s="35"/>
      <x:c r="Z1959" s="35"/>
      <x:c r="AA1959" s="35"/>
    </x:row>
    <x:row r="1960">
      <x:c r="A1960" s="136" t="str">
        <x:v>SouthMountain | Contention | Log Cabin</x:v>
      </x:c>
      <x:c r="B1960" s="136" t="str">
        <x:v>Gun | 12-pounder Napoleon (USA) · Entity-1609 [map-90/018]</x:v>
      </x:c>
      <x:c r="C1960" s="136" t="str">
        <x:v>gun_spawn</x:v>
      </x:c>
      <x:c r="D1960" s="136" t="str"/>
      <x:c r="E1960" s="136" t="str">
        <x:v>12-pounder Napoleon (USA) · Entity-1609</x:v>
      </x:c>
      <x:c r="F1960" s="137" t="n">
        <x:v>2136.818603515625</x:v>
      </x:c>
      <x:c r="G1960" s="137" t="n">
        <x:v>1645.9830322265625</x:v>
      </x:c>
      <x:c r="H1960" s="137" t="n">
        <x:v>194.85055541992188</x:v>
      </x:c>
      <x:c r="I1960" s="137" t="n">
        <x:v>985.5906160458453</x:v>
      </x:c>
      <x:c r="J1960" s="137" t="n">
        <x:v>1678.5932361198568</x:v>
      </x:c>
      <x:c r="K1960" s="136" t="str">
        <x:v>map-90</x:v>
      </x:c>
      <x:c r="L1960" s="136" t="str">
        <x:v>SouthMountain | Contention | Log Cabin||Gun | 12-pounder Napoleon (USA) · Entity-1609 [map-90/018]</x:v>
      </x:c>
      <x:c r="M1960" s="35"/>
      <x:c r="N1960" s="35"/>
      <x:c r="O1960" s="35"/>
      <x:c r="P1960" s="35"/>
      <x:c r="Q1960" s="35"/>
      <x:c r="R1960" s="35"/>
      <x:c r="S1960" s="35"/>
      <x:c r="T1960" s="35"/>
      <x:c r="U1960" s="35"/>
      <x:c r="V1960" s="35"/>
      <x:c r="W1960" s="35"/>
      <x:c r="X1960" s="35"/>
      <x:c r="Y1960" s="35"/>
      <x:c r="Z1960" s="35"/>
      <x:c r="AA1960" s="35"/>
    </x:row>
    <x:row r="1961">
      <x:c r="A1961" s="136" t="str">
        <x:v>SouthMountain | Contention | Log Cabin</x:v>
      </x:c>
      <x:c r="B1961" s="136" t="str">
        <x:v>Gun | 10-pounder Parrott · Entity-1604 [map-90/019]</x:v>
      </x:c>
      <x:c r="C1961" s="136" t="str">
        <x:v>gun_spawn</x:v>
      </x:c>
      <x:c r="D1961" s="136" t="str"/>
      <x:c r="E1961" s="136" t="str">
        <x:v>10-pounder Parrott · Entity-1604</x:v>
      </x:c>
      <x:c r="F1961" s="137" t="n">
        <x:v>2132.058349609375</x:v>
      </x:c>
      <x:c r="G1961" s="137" t="n">
        <x:v>1689.2783203125</x:v>
      </x:c>
      <x:c r="H1961" s="137" t="n">
        <x:v>199.83226013183594</x:v>
      </x:c>
      <x:c r="I1961" s="137" t="n">
        <x:v>978.6070916905444</x:v>
      </x:c>
      <x:c r="J1961" s="137" t="n">
        <x:v>1615.122405745843</x:v>
      </x:c>
      <x:c r="K1961" s="136" t="str">
        <x:v>map-90</x:v>
      </x:c>
      <x:c r="L1961" s="136" t="str">
        <x:v>SouthMountain | Contention | Log Cabin||Gun | 10-pounder Parrott · Entity-1604 [map-90/019]</x:v>
      </x:c>
      <x:c r="M1961" s="35"/>
      <x:c r="N1961" s="35"/>
      <x:c r="O1961" s="35"/>
      <x:c r="P1961" s="35"/>
      <x:c r="Q1961" s="35"/>
      <x:c r="R1961" s="35"/>
      <x:c r="S1961" s="35"/>
      <x:c r="T1961" s="35"/>
      <x:c r="U1961" s="35"/>
      <x:c r="V1961" s="35"/>
      <x:c r="W1961" s="35"/>
      <x:c r="X1961" s="35"/>
      <x:c r="Y1961" s="35"/>
      <x:c r="Z1961" s="35"/>
      <x:c r="AA1961" s="35"/>
    </x:row>
    <x:row r="1962">
      <x:c r="A1962" s="136" t="str">
        <x:v>SouthMountain | Contention | Log Cabin</x:v>
      </x:c>
      <x:c r="B1962" s="136" t="str">
        <x:v>Gun | 12-pounder Napoleon (USA) · Entity-1608 [map-90/020]</x:v>
      </x:c>
      <x:c r="C1962" s="136" t="str">
        <x:v>gun_spawn</x:v>
      </x:c>
      <x:c r="D1962" s="136" t="str"/>
      <x:c r="E1962" s="136" t="str">
        <x:v>12-pounder Napoleon (USA) · Entity-1608</x:v>
      </x:c>
      <x:c r="F1962" s="137" t="n">
        <x:v>2135.9462890625</x:v>
      </x:c>
      <x:c r="G1962" s="137" t="n">
        <x:v>1655.6082763671875</x:v>
      </x:c>
      <x:c r="H1962" s="137" t="n">
        <x:v>195.8636016845703</x:v>
      </x:c>
      <x:c r="I1962" s="137" t="n">
        <x:v>984.3108882521491</x:v>
      </x:c>
      <x:c r="J1962" s="137" t="n">
        <x:v>1664.482641984406</x:v>
      </x:c>
      <x:c r="K1962" s="136" t="str">
        <x:v>map-90</x:v>
      </x:c>
      <x:c r="L1962" s="136" t="str">
        <x:v>SouthMountain | Contention | Log Cabin||Gun | 12-pounder Napoleon (USA) · Entity-1608 [map-90/020]</x:v>
      </x:c>
      <x:c r="M1962" s="35"/>
      <x:c r="N1962" s="35"/>
      <x:c r="O1962" s="35"/>
      <x:c r="P1962" s="35"/>
      <x:c r="Q1962" s="35"/>
      <x:c r="R1962" s="35"/>
      <x:c r="S1962" s="35"/>
      <x:c r="T1962" s="35"/>
      <x:c r="U1962" s="35"/>
      <x:c r="V1962" s="35"/>
      <x:c r="W1962" s="35"/>
      <x:c r="X1962" s="35"/>
      <x:c r="Y1962" s="35"/>
      <x:c r="Z1962" s="35"/>
      <x:c r="AA1962" s="35"/>
    </x:row>
    <x:row r="1963">
      <x:c r="A1963" s="136" t="str">
        <x:v>SouthMountain | Contention | Log Cabin</x:v>
      </x:c>
      <x:c r="B1963" s="136" t="str">
        <x:v>Gun | 12-pounder Napoleon (USA) · Entity-1621 [map-90/021]</x:v>
      </x:c>
      <x:c r="C1963" s="136" t="str">
        <x:v>gun_spawn</x:v>
      </x:c>
      <x:c r="D1963" s="136" t="str"/>
      <x:c r="E1963" s="136" t="str">
        <x:v>12-pounder Napoleon (USA) · Entity-1621</x:v>
      </x:c>
      <x:c r="F1963" s="137" t="n">
        <x:v>2422.229248046875</x:v>
      </x:c>
      <x:c r="G1963" s="137" t="n">
        <x:v>1671.30517578125</x:v>
      </x:c>
      <x:c r="H1963" s="137" t="n">
        <x:v>171.85369873046875</x:v>
      </x:c>
      <x:c r="I1963" s="137" t="n">
        <x:v>1404.301934097421</x:v>
      </x:c>
      <x:c r="J1963" s="137" t="n">
        <x:v>1641.4710099072536</x:v>
      </x:c>
      <x:c r="K1963" s="136" t="str">
        <x:v>map-90</x:v>
      </x:c>
      <x:c r="L1963" s="136" t="str">
        <x:v>SouthMountain | Contention | Log Cabin||Gun | 12-pounder Napoleon (USA) · Entity-1621 [map-90/021]</x:v>
      </x:c>
      <x:c r="M1963" s="35"/>
      <x:c r="N1963" s="35"/>
      <x:c r="O1963" s="35"/>
      <x:c r="P1963" s="35"/>
      <x:c r="Q1963" s="35"/>
      <x:c r="R1963" s="35"/>
      <x:c r="S1963" s="35"/>
      <x:c r="T1963" s="35"/>
      <x:c r="U1963" s="35"/>
      <x:c r="V1963" s="35"/>
      <x:c r="W1963" s="35"/>
      <x:c r="X1963" s="35"/>
      <x:c r="Y1963" s="35"/>
      <x:c r="Z1963" s="35"/>
      <x:c r="AA1963" s="35"/>
    </x:row>
    <x:row r="1964">
      <x:c r="A1964" s="136" t="str">
        <x:v>SouthMountain | Contention | Log Cabin</x:v>
      </x:c>
      <x:c r="B1964" s="136" t="str">
        <x:v>Gun | 10-pounder Parrott · Entity-1605 [map-90/022]</x:v>
      </x:c>
      <x:c r="C1964" s="136" t="str">
        <x:v>gun_spawn</x:v>
      </x:c>
      <x:c r="D1964" s="136" t="str"/>
      <x:c r="E1964" s="136" t="str">
        <x:v>10-pounder Parrott · Entity-1605</x:v>
      </x:c>
      <x:c r="F1964" s="137" t="n">
        <x:v>2132.93701171875</x:v>
      </x:c>
      <x:c r="G1964" s="137" t="n">
        <x:v>1680.5048828125</x:v>
      </x:c>
      <x:c r="H1964" s="137" t="n">
        <x:v>198.93679809570312</x:v>
      </x:c>
      <x:c r="I1964" s="137" t="n">
        <x:v>979.8961318051577</x:v>
      </x:c>
      <x:c r="J1964" s="137" t="n">
        <x:v>1627.9842525651597</x:v>
      </x:c>
      <x:c r="K1964" s="136" t="str">
        <x:v>map-90</x:v>
      </x:c>
      <x:c r="L1964" s="136" t="str">
        <x:v>SouthMountain | Contention | Log Cabin||Gun | 10-pounder Parrott · Entity-1605 [map-90/022]</x:v>
      </x:c>
      <x:c r="M1964" s="35"/>
      <x:c r="N1964" s="35"/>
      <x:c r="O1964" s="35"/>
      <x:c r="P1964" s="35"/>
      <x:c r="Q1964" s="35"/>
      <x:c r="R1964" s="35"/>
      <x:c r="S1964" s="35"/>
      <x:c r="T1964" s="35"/>
      <x:c r="U1964" s="35"/>
      <x:c r="V1964" s="35"/>
      <x:c r="W1964" s="35"/>
      <x:c r="X1964" s="35"/>
      <x:c r="Y1964" s="35"/>
      <x:c r="Z1964" s="35"/>
      <x:c r="AA1964" s="35"/>
    </x:row>
    <x:row r="1965">
      <x:c r="A1965" s="136" t="str">
        <x:v>SouthMountain | Contention | Log Cabin</x:v>
      </x:c>
      <x:c r="B1965" s="136" t="str">
        <x:v>Gun | 12-pounder Napoleon (CSA) · Entity-1618 [map-90/023]</x:v>
      </x:c>
      <x:c r="C1965" s="136" t="str">
        <x:v>gun_spawn</x:v>
      </x:c>
      <x:c r="D1965" s="136" t="str"/>
      <x:c r="E1965" s="136" t="str">
        <x:v>12-pounder Napoleon (CSA) · Entity-1618</x:v>
      </x:c>
      <x:c r="F1965" s="137" t="n">
        <x:v>2422.897705078125</x:v>
      </x:c>
      <x:c r="G1965" s="137" t="n">
        <x:v>1679.711669921875</x:v>
      </x:c>
      <x:c r="H1965" s="137" t="n">
        <x:v>172.4095001220703</x:v>
      </x:c>
      <x:c r="I1965" s="137" t="n">
        <x:v>1405.2825931232092</x:v>
      </x:c>
      <x:c r="J1965" s="137" t="n">
        <x:v>1629.1471015276475</x:v>
      </x:c>
      <x:c r="K1965" s="136" t="str">
        <x:v>map-90</x:v>
      </x:c>
      <x:c r="L1965" s="136" t="str">
        <x:v>SouthMountain | Contention | Log Cabin||Gun | 12-pounder Napoleon (CSA) · Entity-1618 [map-90/023]</x:v>
      </x:c>
      <x:c r="M1965" s="35"/>
      <x:c r="N1965" s="35"/>
      <x:c r="O1965" s="35"/>
      <x:c r="P1965" s="35"/>
      <x:c r="Q1965" s="35"/>
      <x:c r="R1965" s="35"/>
      <x:c r="S1965" s="35"/>
      <x:c r="T1965" s="35"/>
      <x:c r="U1965" s="35"/>
      <x:c r="V1965" s="35"/>
      <x:c r="W1965" s="35"/>
      <x:c r="X1965" s="35"/>
      <x:c r="Y1965" s="35"/>
      <x:c r="Z1965" s="35"/>
      <x:c r="AA1965" s="35"/>
    </x:row>
    <x:row r="1966">
      <x:c r="A1966" s="136" t="str">
        <x:v>SouthMountain | Contention | Log Cabin</x:v>
      </x:c>
      <x:c r="B1966" s="136" t="str">
        <x:v>Gun | 3-inch Ordnance · Entity-1625 [map-90/024]</x:v>
      </x:c>
      <x:c r="C1966" s="136" t="str">
        <x:v>gun_spawn</x:v>
      </x:c>
      <x:c r="D1966" s="136" t="str"/>
      <x:c r="E1966" s="136" t="str">
        <x:v>3-inch Ordnance · Entity-1625</x:v>
      </x:c>
      <x:c r="F1966" s="137" t="n">
        <x:v>2421.40625</x:v>
      </x:c>
      <x:c r="G1966" s="137" t="n">
        <x:v>1656.8382568359375</x:v>
      </x:c>
      <x:c r="H1966" s="137" t="n">
        <x:v>170.8046417236328</x:v>
      </x:c>
      <x:c r="I1966" s="137" t="n">
        <x:v>1403.0945558739254</x:v>
      </x:c>
      <x:c r="J1966" s="137" t="n">
        <x:v>1662.679492377446</x:v>
      </x:c>
      <x:c r="K1966" s="136" t="str">
        <x:v>map-90</x:v>
      </x:c>
      <x:c r="L1966" s="136" t="str">
        <x:v>SouthMountain | Contention | Log Cabin||Gun | 3-inch Ordnance · Entity-1625 [map-90/024]</x:v>
      </x:c>
      <x:c r="M1966" s="35"/>
      <x:c r="N1966" s="35"/>
      <x:c r="O1966" s="35"/>
      <x:c r="P1966" s="35"/>
      <x:c r="Q1966" s="35"/>
      <x:c r="R1966" s="35"/>
      <x:c r="S1966" s="35"/>
      <x:c r="T1966" s="35"/>
      <x:c r="U1966" s="35"/>
      <x:c r="V1966" s="35"/>
      <x:c r="W1966" s="35"/>
      <x:c r="X1966" s="35"/>
      <x:c r="Y1966" s="35"/>
      <x:c r="Z1966" s="35"/>
      <x:c r="AA1966" s="35"/>
    </x:row>
    <x:row r="1967">
      <x:c r="A1967" s="136" t="str">
        <x:v>SouthMountain | Contention | Log Cabin</x:v>
      </x:c>
      <x:c r="B1967" s="136" t="str">
        <x:v>Gun | 12-pounder Napoleon (USA) · Entity-1607 [map-90/025]</x:v>
      </x:c>
      <x:c r="C1967" s="136" t="str">
        <x:v>gun_spawn</x:v>
      </x:c>
      <x:c r="D1967" s="136" t="str"/>
      <x:c r="E1967" s="136" t="str">
        <x:v>12-pounder Napoleon (USA) · Entity-1607</x:v>
      </x:c>
      <x:c r="F1967" s="137" t="n">
        <x:v>2134.77685546875</x:v>
      </x:c>
      <x:c r="G1967" s="137" t="n">
        <x:v>1665.0457763671875</x:v>
      </x:c>
      <x:c r="H1967" s="137" t="n">
        <x:v>197.09149169921875</x:v>
      </x:c>
      <x:c r="I1967" s="137" t="n">
        <x:v>982.5952722063038</x:v>
      </x:c>
      <x:c r="J1967" s="137" t="n">
        <x:v>1650.6472804904306</x:v>
      </x:c>
      <x:c r="K1967" s="136" t="str">
        <x:v>map-90</x:v>
      </x:c>
      <x:c r="L1967" s="136" t="str">
        <x:v>SouthMountain | Contention | Log Cabin||Gun | 12-pounder Napoleon (USA) · Entity-1607 [map-90/025]</x:v>
      </x:c>
      <x:c r="M1967" s="35"/>
      <x:c r="N1967" s="35"/>
      <x:c r="O1967" s="35"/>
      <x:c r="P1967" s="35"/>
      <x:c r="Q1967" s="35"/>
      <x:c r="R1967" s="35"/>
      <x:c r="S1967" s="35"/>
      <x:c r="T1967" s="35"/>
      <x:c r="U1967" s="35"/>
      <x:c r="V1967" s="35"/>
      <x:c r="W1967" s="35"/>
      <x:c r="X1967" s="35"/>
      <x:c r="Y1967" s="35"/>
      <x:c r="Z1967" s="35"/>
      <x:c r="AA1967" s="35"/>
    </x:row>
    <x:row r="1968">
      <x:c r="A1968" s="136" t="str">
        <x:v>SouthMountain | Contention | Wheat Fields</x:v>
      </x:c>
      <x:c r="B1968" s="136" t="str">
        <x:v>Objective | Victory_Conquest_2 [map-91/001]</x:v>
      </x:c>
      <x:c r="C1968" s="136" t="str">
        <x:v>objective</x:v>
      </x:c>
      <x:c r="D1968" s="136" t="str"/>
      <x:c r="E1968" s="136" t="str">
        <x:v>Victory_Conquest_2</x:v>
      </x:c>
      <x:c r="F1968" s="137" t="n">
        <x:v>1920.5625</x:v>
      </x:c>
      <x:c r="G1968" s="137" t="n">
        <x:v>1062.793701171875</x:v>
      </x:c>
      <x:c r="H1968" s="137" t="n">
        <x:v>214.91860961914062</x:v>
      </x:c>
      <x:c r="I1968" s="137" t="n">
        <x:v>1310.020618556701</x:v>
      </x:c>
      <x:c r="J1968" s="137" t="n">
        <x:v>1543.4007731958764</x:v>
      </x:c>
      <x:c r="K1968" s="136" t="str">
        <x:v>map-91</x:v>
      </x:c>
      <x:c r="L1968" s="136" t="str">
        <x:v>SouthMountain | Contention | Wheat Fields||Objective | Victory_Conquest_2 [map-91/001]</x:v>
      </x:c>
      <x:c r="M1968" s="35"/>
      <x:c r="N1968" s="35"/>
      <x:c r="O1968" s="35"/>
      <x:c r="P1968" s="35"/>
      <x:c r="Q1968" s="35"/>
      <x:c r="R1968" s="35"/>
      <x:c r="S1968" s="35"/>
      <x:c r="T1968" s="35"/>
      <x:c r="U1968" s="35"/>
      <x:c r="V1968" s="35"/>
      <x:c r="W1968" s="35"/>
      <x:c r="X1968" s="35"/>
      <x:c r="Y1968" s="35"/>
      <x:c r="Z1968" s="35"/>
      <x:c r="AA1968" s="35"/>
    </x:row>
    <x:row r="1969">
      <x:c r="A1969" s="136" t="str">
        <x:v>SouthMountain | Contention | Wheat Fields</x:v>
      </x:c>
      <x:c r="B1969" s="136" t="str">
        <x:v>Spawn | USA CQ2_Spawnpoint_USA_Infantry_1 [map-91/002]</x:v>
      </x:c>
      <x:c r="C1969" s="136" t="str">
        <x:v>spawn</x:v>
      </x:c>
      <x:c r="D1969" s="136" t="str">
        <x:v>USA</x:v>
      </x:c>
      <x:c r="E1969" s="136" t="str">
        <x:v>CQ2_Spawnpoint_USA_Infantry_1</x:v>
      </x:c>
      <x:c r="F1969" s="137" t="n">
        <x:v>2122.331298828125</x:v>
      </x:c>
      <x:c r="G1969" s="137" t="n">
        <x:v>999.3908081054688</x:v>
      </x:c>
      <x:c r="H1969" s="137" t="n">
        <x:v>165.34071350097656</x:v>
      </x:c>
      <x:c r="I1969" s="137" t="n">
        <x:v>1665.0227663230241</x:v>
      </x:c>
      <x:c r="J1969" s="137" t="n">
        <x:v>1654.9550042955327</x:v>
      </x:c>
      <x:c r="K1969" s="136" t="str">
        <x:v>map-91</x:v>
      </x:c>
      <x:c r="L1969" s="136" t="str">
        <x:v>SouthMountain | Contention | Wheat Fields||Spawn | USA CQ2_Spawnpoint_USA_Infantry_1 [map-91/002]</x:v>
      </x:c>
      <x:c r="M1969" s="35"/>
      <x:c r="N1969" s="35"/>
      <x:c r="O1969" s="35"/>
      <x:c r="P1969" s="35"/>
      <x:c r="Q1969" s="35"/>
      <x:c r="R1969" s="35"/>
      <x:c r="S1969" s="35"/>
      <x:c r="T1969" s="35"/>
      <x:c r="U1969" s="35"/>
      <x:c r="V1969" s="35"/>
      <x:c r="W1969" s="35"/>
      <x:c r="X1969" s="35"/>
      <x:c r="Y1969" s="35"/>
      <x:c r="Z1969" s="35"/>
      <x:c r="AA1969" s="35"/>
    </x:row>
    <x:row r="1970">
      <x:c r="A1970" s="136" t="str">
        <x:v>SouthMountain | Contention | Wheat Fields</x:v>
      </x:c>
      <x:c r="B1970" s="136" t="str">
        <x:v>Spawn | CSA CQ2_Spawnpoint_CSA_Cavalry_0 [map-91/003]</x:v>
      </x:c>
      <x:c r="C1970" s="136" t="str">
        <x:v>spawn</x:v>
      </x:c>
      <x:c r="D1970" s="136" t="str">
        <x:v>CSA</x:v>
      </x:c>
      <x:c r="E1970" s="136" t="str">
        <x:v>CQ2_Spawnpoint_CSA_Cavalry_0</x:v>
      </x:c>
      <x:c r="F1970" s="137" t="n">
        <x:v>1705.0352783203125</x:v>
      </x:c>
      <x:c r="G1970" s="137" t="n">
        <x:v>1650.5496826171875</x:v>
      </x:c>
      <x:c r="H1970" s="137" t="n">
        <x:v>196.15866088867188</x:v>
      </x:c>
      <x:c r="I1970" s="137" t="n">
        <x:v>930.8112113402062</x:v>
      </x:c>
      <x:c r="J1970" s="137" t="n">
        <x:v>509.273410652921</x:v>
      </x:c>
      <x:c r="K1970" s="136" t="str">
        <x:v>map-91</x:v>
      </x:c>
      <x:c r="L1970" s="136" t="str">
        <x:v>SouthMountain | Contention | Wheat Fields||Spawn | CSA CQ2_Spawnpoint_CSA_Cavalry_0 [map-91/003]</x:v>
      </x:c>
      <x:c r="M1970" s="35"/>
      <x:c r="N1970" s="35"/>
      <x:c r="O1970" s="35"/>
      <x:c r="P1970" s="35"/>
      <x:c r="Q1970" s="35"/>
      <x:c r="R1970" s="35"/>
      <x:c r="S1970" s="35"/>
      <x:c r="T1970" s="35"/>
      <x:c r="U1970" s="35"/>
      <x:c r="V1970" s="35"/>
      <x:c r="W1970" s="35"/>
      <x:c r="X1970" s="35"/>
      <x:c r="Y1970" s="35"/>
      <x:c r="Z1970" s="35"/>
      <x:c r="AA1970" s="35"/>
    </x:row>
    <x:row r="1971">
      <x:c r="A1971" s="136" t="str">
        <x:v>SouthMountain | Contention | Wheat Fields</x:v>
      </x:c>
      <x:c r="B1971" s="136" t="str">
        <x:v>Spawn | USA CQ2_Spawnpoint_USA_Cavalry_0 [map-91/004]</x:v>
      </x:c>
      <x:c r="C1971" s="136" t="str">
        <x:v>spawn</x:v>
      </x:c>
      <x:c r="D1971" s="136" t="str">
        <x:v>USA</x:v>
      </x:c>
      <x:c r="E1971" s="136" t="str">
        <x:v>CQ2_Spawnpoint_USA_Cavalry_0</x:v>
      </x:c>
      <x:c r="F1971" s="137" t="n">
        <x:v>2150.864013671875</x:v>
      </x:c>
      <x:c r="G1971" s="137" t="n">
        <x:v>960.229736328125</x:v>
      </x:c>
      <x:c r="H1971" s="137" t="n">
        <x:v>175.13241577148438</x:v>
      </x:c>
      <x:c r="I1971" s="137" t="n">
        <x:v>1715.2246563573883</x:v>
      </x:c>
      <x:c r="J1971" s="137" t="n">
        <x:v>1723.8569587628865</x:v>
      </x:c>
      <x:c r="K1971" s="136" t="str">
        <x:v>map-91</x:v>
      </x:c>
      <x:c r="L1971" s="136" t="str">
        <x:v>SouthMountain | Contention | Wheat Fields||Spawn | USA CQ2_Spawnpoint_USA_Cavalry_0 [map-91/004]</x:v>
      </x:c>
      <x:c r="M1971" s="35"/>
      <x:c r="N1971" s="35"/>
      <x:c r="O1971" s="35"/>
      <x:c r="P1971" s="35"/>
      <x:c r="Q1971" s="35"/>
      <x:c r="R1971" s="35"/>
      <x:c r="S1971" s="35"/>
      <x:c r="T1971" s="35"/>
      <x:c r="U1971" s="35"/>
      <x:c r="V1971" s="35"/>
      <x:c r="W1971" s="35"/>
      <x:c r="X1971" s="35"/>
      <x:c r="Y1971" s="35"/>
      <x:c r="Z1971" s="35"/>
      <x:c r="AA1971" s="35"/>
    </x:row>
    <x:row r="1972">
      <x:c r="A1972" s="136" t="str">
        <x:v>SouthMountain | Contention | Wheat Fields</x:v>
      </x:c>
      <x:c r="B1972" s="136" t="str">
        <x:v>Spawn | USA CQ2_Spawnpoint_USA_Infantry_0 [map-91/005]</x:v>
      </x:c>
      <x:c r="C1972" s="136" t="str">
        <x:v>spawn</x:v>
      </x:c>
      <x:c r="D1972" s="136" t="str">
        <x:v>USA</x:v>
      </x:c>
      <x:c r="E1972" s="136" t="str">
        <x:v>CQ2_Spawnpoint_USA_Infantry_0</x:v>
      </x:c>
      <x:c r="F1972" s="137" t="n">
        <x:v>2100.363037109375</x:v>
      </x:c>
      <x:c r="G1972" s="137" t="n">
        <x:v>983.286865234375</x:v>
      </x:c>
      <x:c r="H1972" s="137" t="n">
        <x:v>168.39920043945312</x:v>
      </x:c>
      <x:c r="I1972" s="137" t="n">
        <x:v>1626.370704467354</x:v>
      </x:c>
      <x:c r="J1972" s="137" t="n">
        <x:v>1683.289089347079</x:v>
      </x:c>
      <x:c r="K1972" s="136" t="str">
        <x:v>map-91</x:v>
      </x:c>
      <x:c r="L1972" s="136" t="str">
        <x:v>SouthMountain | Contention | Wheat Fields||Spawn | USA CQ2_Spawnpoint_USA_Infantry_0 [map-91/005]</x:v>
      </x:c>
      <x:c r="M1972" s="35"/>
      <x:c r="N1972" s="35"/>
      <x:c r="O1972" s="35"/>
      <x:c r="P1972" s="35"/>
      <x:c r="Q1972" s="35"/>
      <x:c r="R1972" s="35"/>
      <x:c r="S1972" s="35"/>
      <x:c r="T1972" s="35"/>
      <x:c r="U1972" s="35"/>
      <x:c r="V1972" s="35"/>
      <x:c r="W1972" s="35"/>
      <x:c r="X1972" s="35"/>
      <x:c r="Y1972" s="35"/>
      <x:c r="Z1972" s="35"/>
      <x:c r="AA1972" s="35"/>
    </x:row>
    <x:row r="1973">
      <x:c r="A1973" s="136" t="str">
        <x:v>SouthMountain | Contention | Wheat Fields</x:v>
      </x:c>
      <x:c r="B1973" s="136" t="str">
        <x:v>Artillery | CSA CQ2_Spawnpoint_CSA_Artillery_Staging [map-91/006]</x:v>
      </x:c>
      <x:c r="C1973" s="136" t="str">
        <x:v>battery</x:v>
      </x:c>
      <x:c r="D1973" s="136" t="str">
        <x:v>CSA</x:v>
      </x:c>
      <x:c r="E1973" s="136" t="str">
        <x:v>CQ2_Spawnpoint_CSA_Artillery_Staging</x:v>
      </x:c>
      <x:c r="F1973" s="137" t="n">
        <x:v>1753.90283203125</x:v>
      </x:c>
      <x:c r="G1973" s="137" t="n">
        <x:v>1596.2291259765625</x:v>
      </x:c>
      <x:c r="H1973" s="137" t="n">
        <x:v>206.014892578125</x:v>
      </x:c>
      <x:c r="I1973" s="137" t="n">
        <x:v>1016.7912371134021</x:v>
      </x:c>
      <x:c r="J1973" s="137" t="n">
        <x:v>604.8477233676975</x:v>
      </x:c>
      <x:c r="K1973" s="136" t="str">
        <x:v>map-91</x:v>
      </x:c>
      <x:c r="L1973" s="136" t="str">
        <x:v>SouthMountain | Contention | Wheat Fields||Artillery | CSA CQ2_Spawnpoint_CSA_Artillery_Staging [map-91/006]</x:v>
      </x:c>
      <x:c r="M1973" s="35"/>
      <x:c r="N1973" s="35"/>
      <x:c r="O1973" s="35"/>
      <x:c r="P1973" s="35"/>
      <x:c r="Q1973" s="35"/>
      <x:c r="R1973" s="35"/>
      <x:c r="S1973" s="35"/>
      <x:c r="T1973" s="35"/>
      <x:c r="U1973" s="35"/>
      <x:c r="V1973" s="35"/>
      <x:c r="W1973" s="35"/>
      <x:c r="X1973" s="35"/>
      <x:c r="Y1973" s="35"/>
      <x:c r="Z1973" s="35"/>
      <x:c r="AA1973" s="35"/>
    </x:row>
    <x:row r="1974">
      <x:c r="A1974" s="136" t="str">
        <x:v>SouthMountain | Contention | Wheat Fields</x:v>
      </x:c>
      <x:c r="B1974" s="136" t="str">
        <x:v>Artillery | USA CQ2_Spawnpoint_USA_Artillery_Forward [map-91/007]</x:v>
      </x:c>
      <x:c r="C1974" s="136" t="str">
        <x:v>battery</x:v>
      </x:c>
      <x:c r="D1974" s="136" t="str">
        <x:v>USA</x:v>
      </x:c>
      <x:c r="E1974" s="136" t="str">
        <x:v>CQ2_Spawnpoint_USA_Artillery_Forward</x:v>
      </x:c>
      <x:c r="F1974" s="137" t="n">
        <x:v>1972.9595947265625</x:v>
      </x:c>
      <x:c r="G1974" s="137" t="n">
        <x:v>1077.332763671875</x:v>
      </x:c>
      <x:c r="H1974" s="137" t="n">
        <x:v>208.76522827148438</x:v>
      </x:c>
      <x:c r="I1974" s="137" t="n">
        <x:v>1402.2106958762886</x:v>
      </x:c>
      <x:c r="J1974" s="137" t="n">
        <x:v>1517.8200171821306</x:v>
      </x:c>
      <x:c r="K1974" s="136" t="str">
        <x:v>map-91</x:v>
      </x:c>
      <x:c r="L1974" s="136" t="str">
        <x:v>SouthMountain | Contention | Wheat Fields||Artillery | USA CQ2_Spawnpoint_USA_Artillery_Forward [map-91/007]</x:v>
      </x:c>
      <x:c r="M1974" s="35"/>
      <x:c r="N1974" s="35"/>
      <x:c r="O1974" s="35"/>
      <x:c r="P1974" s="35"/>
      <x:c r="Q1974" s="35"/>
      <x:c r="R1974" s="35"/>
      <x:c r="S1974" s="35"/>
      <x:c r="T1974" s="35"/>
      <x:c r="U1974" s="35"/>
      <x:c r="V1974" s="35"/>
      <x:c r="W1974" s="35"/>
      <x:c r="X1974" s="35"/>
      <x:c r="Y1974" s="35"/>
      <x:c r="Z1974" s="35"/>
      <x:c r="AA1974" s="35"/>
    </x:row>
    <x:row r="1975">
      <x:c r="A1975" s="136" t="str">
        <x:v>SouthMountain | Contention | Wheat Fields</x:v>
      </x:c>
      <x:c r="B1975" s="136" t="str">
        <x:v>Artillery | CSA CQ2_Spawnpoint_CSA_Artillery_Forward [map-91/008]</x:v>
      </x:c>
      <x:c r="C1975" s="136" t="str">
        <x:v>battery</x:v>
      </x:c>
      <x:c r="D1975" s="136" t="str">
        <x:v>CSA</x:v>
      </x:c>
      <x:c r="E1975" s="136" t="str">
        <x:v>CQ2_Spawnpoint_CSA_Artillery_Forward</x:v>
      </x:c>
      <x:c r="F1975" s="137" t="n">
        <x:v>1793.3096923828125</x:v>
      </x:c>
      <x:c r="G1975" s="137" t="n">
        <x:v>1403.7076416015625</x:v>
      </x:c>
      <x:c r="H1975" s="137" t="n">
        <x:v>212.11447143554688</x:v>
      </x:c>
      <x:c r="I1975" s="137" t="n">
        <x:v>1086.1256443298969</x:v>
      </x:c>
      <x:c r="J1975" s="137" t="n">
        <x:v>943.5796821305842</x:v>
      </x:c>
      <x:c r="K1975" s="136" t="str">
        <x:v>map-91</x:v>
      </x:c>
      <x:c r="L1975" s="136" t="str">
        <x:v>SouthMountain | Contention | Wheat Fields||Artillery | CSA CQ2_Spawnpoint_CSA_Artillery_Forward [map-91/008]</x:v>
      </x:c>
      <x:c r="M1975" s="35"/>
      <x:c r="N1975" s="35"/>
      <x:c r="O1975" s="35"/>
      <x:c r="P1975" s="35"/>
      <x:c r="Q1975" s="35"/>
      <x:c r="R1975" s="35"/>
      <x:c r="S1975" s="35"/>
      <x:c r="T1975" s="35"/>
      <x:c r="U1975" s="35"/>
      <x:c r="V1975" s="35"/>
      <x:c r="W1975" s="35"/>
      <x:c r="X1975" s="35"/>
      <x:c r="Y1975" s="35"/>
      <x:c r="Z1975" s="35"/>
      <x:c r="AA1975" s="35"/>
    </x:row>
    <x:row r="1976">
      <x:c r="A1976" s="136" t="str">
        <x:v>SouthMountain | Contention | Wheat Fields</x:v>
      </x:c>
      <x:c r="B1976" s="136" t="str">
        <x:v>Artillery | USA CQ2_Spawnpoint_USA_Artillery_Staging [map-91/009]</x:v>
      </x:c>
      <x:c r="C1976" s="136" t="str">
        <x:v>battery</x:v>
      </x:c>
      <x:c r="D1976" s="136" t="str">
        <x:v>USA</x:v>
      </x:c>
      <x:c r="E1976" s="136" t="str">
        <x:v>CQ2_Spawnpoint_USA_Artillery_Staging</x:v>
      </x:c>
      <x:c r="F1976" s="137" t="n">
        <x:v>2133.62353515625</x:v>
      </x:c>
      <x:c r="G1976" s="137" t="n">
        <x:v>1034.226318359375</x:v>
      </x:c>
      <x:c r="H1976" s="137" t="n">
        <x:v>168.19036865234375</x:v>
      </x:c>
      <x:c r="I1976" s="137" t="n">
        <x:v>1684.8908934707904</x:v>
      </x:c>
      <x:c r="J1976" s="137" t="n">
        <x:v>1593.6636597938145</x:v>
      </x:c>
      <x:c r="K1976" s="136" t="str">
        <x:v>map-91</x:v>
      </x:c>
      <x:c r="L1976" s="136" t="str">
        <x:v>SouthMountain | Contention | Wheat Fields||Artillery | USA CQ2_Spawnpoint_USA_Artillery_Staging [map-91/009]</x:v>
      </x:c>
      <x:c r="M1976" s="35"/>
      <x:c r="N1976" s="35"/>
      <x:c r="O1976" s="35"/>
      <x:c r="P1976" s="35"/>
      <x:c r="Q1976" s="35"/>
      <x:c r="R1976" s="35"/>
      <x:c r="S1976" s="35"/>
      <x:c r="T1976" s="35"/>
      <x:c r="U1976" s="35"/>
      <x:c r="V1976" s="35"/>
      <x:c r="W1976" s="35"/>
      <x:c r="X1976" s="35"/>
      <x:c r="Y1976" s="35"/>
      <x:c r="Z1976" s="35"/>
      <x:c r="AA1976" s="35"/>
    </x:row>
    <x:row r="1977">
      <x:c r="A1977" s="136" t="str">
        <x:v>SouthMountain | Contention | Wheat Fields</x:v>
      </x:c>
      <x:c r="B1977" s="136" t="str">
        <x:v>Spawn | CSA CQ2_Spawnpoint_CSA_Infantry_1 [map-91/010]</x:v>
      </x:c>
      <x:c r="C1977" s="136" t="str">
        <x:v>spawn</x:v>
      </x:c>
      <x:c r="D1977" s="136" t="str">
        <x:v>CSA</x:v>
      </x:c>
      <x:c r="E1977" s="136" t="str">
        <x:v>CQ2_Spawnpoint_CSA_Infantry_1</x:v>
      </x:c>
      <x:c r="F1977" s="137" t="n">
        <x:v>1760.35107421875</x:v>
      </x:c>
      <x:c r="G1977" s="137" t="n">
        <x:v>1579.09326171875</x:v>
      </x:c>
      <x:c r="H1977" s="137" t="n">
        <x:v>208.27964782714844</x:v>
      </x:c>
      <x:c r="I1977" s="137" t="n">
        <x:v>1028.1365979381444</x:v>
      </x:c>
      <x:c r="J1977" s="137" t="n">
        <x:v>634.9974226804123</x:v>
      </x:c>
      <x:c r="K1977" s="136" t="str">
        <x:v>map-91</x:v>
      </x:c>
      <x:c r="L1977" s="136" t="str">
        <x:v>SouthMountain | Contention | Wheat Fields||Spawn | CSA CQ2_Spawnpoint_CSA_Infantry_1 [map-91/010]</x:v>
      </x:c>
      <x:c r="M1977" s="35"/>
      <x:c r="N1977" s="35"/>
      <x:c r="O1977" s="35"/>
      <x:c r="P1977" s="35"/>
      <x:c r="Q1977" s="35"/>
      <x:c r="R1977" s="35"/>
      <x:c r="S1977" s="35"/>
      <x:c r="T1977" s="35"/>
      <x:c r="U1977" s="35"/>
      <x:c r="V1977" s="35"/>
      <x:c r="W1977" s="35"/>
      <x:c r="X1977" s="35"/>
      <x:c r="Y1977" s="35"/>
      <x:c r="Z1977" s="35"/>
      <x:c r="AA1977" s="35"/>
    </x:row>
    <x:row r="1978">
      <x:c r="A1978" s="136" t="str">
        <x:v>SouthMountain | Contention | Wheat Fields</x:v>
      </x:c>
      <x:c r="B1978" s="136" t="str">
        <x:v>Spawn | CSA CQ2_Spawnpoint_CSA_Infantry_0 [map-91/011]</x:v>
      </x:c>
      <x:c r="C1978" s="136" t="str">
        <x:v>spawn</x:v>
      </x:c>
      <x:c r="D1978" s="136" t="str">
        <x:v>CSA</x:v>
      </x:c>
      <x:c r="E1978" s="136" t="str">
        <x:v>CQ2_Spawnpoint_CSA_Infantry_0</x:v>
      </x:c>
      <x:c r="F1978" s="137" t="n">
        <x:v>1767.6829833984375</x:v>
      </x:c>
      <x:c r="G1978" s="137" t="n">
        <x:v>1570.6978759765625</x:v>
      </x:c>
      <x:c r="H1978" s="137" t="n">
        <x:v>209.28224182128906</x:v>
      </x:c>
      <x:c r="I1978" s="137" t="n">
        <x:v>1041.0367268041236</x:v>
      </x:c>
      <x:c r="J1978" s="137" t="n">
        <x:v>649.7686855670103</x:v>
      </x:c>
      <x:c r="K1978" s="136" t="str">
        <x:v>map-91</x:v>
      </x:c>
      <x:c r="L1978" s="136" t="str">
        <x:v>SouthMountain | Contention | Wheat Fields||Spawn | CSA CQ2_Spawnpoint_CSA_Infantry_0 [map-91/011]</x:v>
      </x:c>
      <x:c r="M1978" s="35"/>
      <x:c r="N1978" s="35"/>
      <x:c r="O1978" s="35"/>
      <x:c r="P1978" s="35"/>
      <x:c r="Q1978" s="35"/>
      <x:c r="R1978" s="35"/>
      <x:c r="S1978" s="35"/>
      <x:c r="T1978" s="35"/>
      <x:c r="U1978" s="35"/>
      <x:c r="V1978" s="35"/>
      <x:c r="W1978" s="35"/>
      <x:c r="X1978" s="35"/>
      <x:c r="Y1978" s="35"/>
      <x:c r="Z1978" s="35"/>
      <x:c r="AA1978" s="35"/>
    </x:row>
    <x:row r="1979">
      <x:c r="A1979" s="136" t="str">
        <x:v>SouthMountain | Contention | Wheat Fields</x:v>
      </x:c>
      <x:c r="B1979" s="136" t="str">
        <x:v>Spawn | CSA CQ2_Spawnpoint_CSA_Infantry_2 [map-91/012]</x:v>
      </x:c>
      <x:c r="C1979" s="136" t="str">
        <x:v>spawn</x:v>
      </x:c>
      <x:c r="D1979" s="136" t="str">
        <x:v>CSA</x:v>
      </x:c>
      <x:c r="E1979" s="136" t="str">
        <x:v>CQ2_Spawnpoint_CSA_Infantry_2</x:v>
      </x:c>
      <x:c r="F1979" s="137" t="n">
        <x:v>1761.0230712890625</x:v>
      </x:c>
      <x:c r="G1979" s="137" t="n">
        <x:v>1610.743896484375</x:v>
      </x:c>
      <x:c r="H1979" s="137" t="n">
        <x:v>205.01878356933594</x:v>
      </x:c>
      <x:c r="I1979" s="137" t="n">
        <x:v>1029.318943298969</x:v>
      </x:c>
      <x:c r="J1979" s="137" t="n">
        <x:v>579.3097079037801</x:v>
      </x:c>
      <x:c r="K1979" s="136" t="str">
        <x:v>map-91</x:v>
      </x:c>
      <x:c r="L1979" s="136" t="str">
        <x:v>SouthMountain | Contention | Wheat Fields||Spawn | CSA CQ2_Spawnpoint_CSA_Infantry_2 [map-91/012]</x:v>
      </x:c>
      <x:c r="M1979" s="35"/>
      <x:c r="N1979" s="35"/>
      <x:c r="O1979" s="35"/>
      <x:c r="P1979" s="35"/>
      <x:c r="Q1979" s="35"/>
      <x:c r="R1979" s="35"/>
      <x:c r="S1979" s="35"/>
      <x:c r="T1979" s="35"/>
      <x:c r="U1979" s="35"/>
      <x:c r="V1979" s="35"/>
      <x:c r="W1979" s="35"/>
      <x:c r="X1979" s="35"/>
      <x:c r="Y1979" s="35"/>
      <x:c r="Z1979" s="35"/>
      <x:c r="AA1979" s="35"/>
    </x:row>
    <x:row r="1980">
      <x:c r="A1980" s="136" t="str">
        <x:v>SouthMountain | Contention | Wheat Fields</x:v>
      </x:c>
      <x:c r="B1980" s="136" t="str">
        <x:v>Spawn | USA CQ2_Spawnpoint_USA_Infantry_2 [map-91/013]</x:v>
      </x:c>
      <x:c r="C1980" s="136" t="str">
        <x:v>spawn</x:v>
      </x:c>
      <x:c r="D1980" s="136" t="str">
        <x:v>USA</x:v>
      </x:c>
      <x:c r="E1980" s="136" t="str">
        <x:v>CQ2_Spawnpoint_USA_Infantry_2</x:v>
      </x:c>
      <x:c r="F1980" s="137" t="n">
        <x:v>2124.253173828125</x:v>
      </x:c>
      <x:c r="G1980" s="137" t="n">
        <x:v>979.9642944335938</x:v>
      </x:c>
      <x:c r="H1980" s="137" t="n">
        <x:v>168.7425079345703</x:v>
      </x:c>
      <x:c r="I1980" s="137" t="n">
        <x:v>1668.4042096219932</x:v>
      </x:c>
      <x:c r="J1980" s="137" t="n">
        <x:v>1689.134987113402</x:v>
      </x:c>
      <x:c r="K1980" s="136" t="str">
        <x:v>map-91</x:v>
      </x:c>
      <x:c r="L1980" s="136" t="str">
        <x:v>SouthMountain | Contention | Wheat Fields||Spawn | USA CQ2_Spawnpoint_USA_Infantry_2 [map-91/013]</x:v>
      </x:c>
      <x:c r="M1980" s="35"/>
      <x:c r="N1980" s="35"/>
      <x:c r="O1980" s="35"/>
      <x:c r="P1980" s="35"/>
      <x:c r="Q1980" s="35"/>
      <x:c r="R1980" s="35"/>
      <x:c r="S1980" s="35"/>
      <x:c r="T1980" s="35"/>
      <x:c r="U1980" s="35"/>
      <x:c r="V1980" s="35"/>
      <x:c r="W1980" s="35"/>
      <x:c r="X1980" s="35"/>
      <x:c r="Y1980" s="35"/>
      <x:c r="Z1980" s="35"/>
      <x:c r="AA1980" s="35"/>
    </x:row>
    <x:row r="1981">
      <x:c r="A1981" s="136" t="str">
        <x:v>SouthMountain | Contention | Wheat Fields</x:v>
      </x:c>
      <x:c r="B1981" s="136" t="str">
        <x:v>Gun | 3-inch Ordnance · Entity-1635 [map-91/014]</x:v>
      </x:c>
      <x:c r="C1981" s="136" t="str">
        <x:v>gun_spawn</x:v>
      </x:c>
      <x:c r="D1981" s="136" t="str"/>
      <x:c r="E1981" s="136" t="str">
        <x:v>3-inch Ordnance · Entity-1635</x:v>
      </x:c>
      <x:c r="F1981" s="137" t="n">
        <x:v>1810.748291015625</x:v>
      </x:c>
      <x:c r="G1981" s="137" t="n">
        <x:v>1368.133544921875</x:v>
      </x:c>
      <x:c r="H1981" s="137" t="n">
        <x:v>206.63150024414062</x:v>
      </x:c>
      <x:c r="I1981" s="137" t="n">
        <x:v>1116.8079896907216</x:v>
      </x:c>
      <x:c r="J1981" s="137" t="n">
        <x:v>1006.1705326460481</x:v>
      </x:c>
      <x:c r="K1981" s="136" t="str">
        <x:v>map-91</x:v>
      </x:c>
      <x:c r="L1981" s="136" t="str">
        <x:v>SouthMountain | Contention | Wheat Fields||Gun | 3-inch Ordnance · Entity-1635 [map-91/014]</x:v>
      </x:c>
      <x:c r="M1981" s="35"/>
      <x:c r="N1981" s="35"/>
      <x:c r="O1981" s="35"/>
      <x:c r="P1981" s="35"/>
      <x:c r="Q1981" s="35"/>
      <x:c r="R1981" s="35"/>
      <x:c r="S1981" s="35"/>
      <x:c r="T1981" s="35"/>
      <x:c r="U1981" s="35"/>
      <x:c r="V1981" s="35"/>
      <x:c r="W1981" s="35"/>
      <x:c r="X1981" s="35"/>
      <x:c r="Y1981" s="35"/>
      <x:c r="Z1981" s="35"/>
      <x:c r="AA1981" s="35"/>
    </x:row>
    <x:row r="1982">
      <x:c r="A1982" s="136" t="str">
        <x:v>SouthMountain | Contention | Wheat Fields</x:v>
      </x:c>
      <x:c r="B1982" s="136" t="str">
        <x:v>Gun | 3-inch Ordnance · Entity-1648 [map-91/015]</x:v>
      </x:c>
      <x:c r="C1982" s="136" t="str">
        <x:v>gun_spawn</x:v>
      </x:c>
      <x:c r="D1982" s="136" t="str"/>
      <x:c r="E1982" s="136" t="str">
        <x:v>3-inch Ordnance · Entity-1648</x:v>
      </x:c>
      <x:c r="F1982" s="137" t="n">
        <x:v>1950.9593505859375</x:v>
      </x:c>
      <x:c r="G1982" s="137" t="n">
        <x:v>1110.154052734375</x:v>
      </x:c>
      <x:c r="H1982" s="137" t="n">
        <x:v>208.0377655029297</x:v>
      </x:c>
      <x:c r="I1982" s="137" t="n">
        <x:v>1363.5023625429553</x:v>
      </x:c>
      <x:c r="J1982" s="137" t="n">
        <x:v>1460.0725945017182</x:v>
      </x:c>
      <x:c r="K1982" s="136" t="str">
        <x:v>map-91</x:v>
      </x:c>
      <x:c r="L1982" s="136" t="str">
        <x:v>SouthMountain | Contention | Wheat Fields||Gun | 3-inch Ordnance · Entity-1648 [map-91/015]</x:v>
      </x:c>
      <x:c r="M1982" s="35"/>
      <x:c r="N1982" s="35"/>
      <x:c r="O1982" s="35"/>
      <x:c r="P1982" s="35"/>
      <x:c r="Q1982" s="35"/>
      <x:c r="R1982" s="35"/>
      <x:c r="S1982" s="35"/>
      <x:c r="T1982" s="35"/>
      <x:c r="U1982" s="35"/>
      <x:c r="V1982" s="35"/>
      <x:c r="W1982" s="35"/>
      <x:c r="X1982" s="35"/>
      <x:c r="Y1982" s="35"/>
      <x:c r="Z1982" s="35"/>
      <x:c r="AA1982" s="35"/>
    </x:row>
    <x:row r="1983">
      <x:c r="A1983" s="136" t="str">
        <x:v>SouthMountain | Contention | Wheat Fields</x:v>
      </x:c>
      <x:c r="B1983" s="136" t="str">
        <x:v>Gun | 12-pounder Napoleon (CSA) · Entity-1650 [map-91/016]</x:v>
      </x:c>
      <x:c r="C1983" s="136" t="str">
        <x:v>gun_spawn</x:v>
      </x:c>
      <x:c r="D1983" s="136" t="str"/>
      <x:c r="E1983" s="136" t="str">
        <x:v>12-pounder Napoleon (CSA) · Entity-1650</x:v>
      </x:c>
      <x:c r="F1983" s="137" t="n">
        <x:v>1962.899658203125</x:v>
      </x:c>
      <x:c r="G1983" s="137" t="n">
        <x:v>1119.6246337890625</x:v>
      </x:c>
      <x:c r="H1983" s="137" t="n">
        <x:v>206.09304809570312</x:v>
      </x:c>
      <x:c r="I1983" s="137" t="n">
        <x:v>1384.510738831615</x:v>
      </x:c>
      <x:c r="J1983" s="137" t="n">
        <x:v>1443.4095790378008</x:v>
      </x:c>
      <x:c r="K1983" s="136" t="str">
        <x:v>map-91</x:v>
      </x:c>
      <x:c r="L1983" s="136" t="str">
        <x:v>SouthMountain | Contention | Wheat Fields||Gun | 12-pounder Napoleon (CSA) · Entity-1650 [map-91/016]</x:v>
      </x:c>
      <x:c r="M1983" s="35"/>
      <x:c r="N1983" s="35"/>
      <x:c r="O1983" s="35"/>
      <x:c r="P1983" s="35"/>
      <x:c r="Q1983" s="35"/>
      <x:c r="R1983" s="35"/>
      <x:c r="S1983" s="35"/>
      <x:c r="T1983" s="35"/>
      <x:c r="U1983" s="35"/>
      <x:c r="V1983" s="35"/>
      <x:c r="W1983" s="35"/>
      <x:c r="X1983" s="35"/>
      <x:c r="Y1983" s="35"/>
      <x:c r="Z1983" s="35"/>
      <x:c r="AA1983" s="35"/>
    </x:row>
    <x:row r="1984">
      <x:c r="A1984" s="136" t="str">
        <x:v>SouthMountain | Contention | Wheat Fields</x:v>
      </x:c>
      <x:c r="B1984" s="136" t="str">
        <x:v>Gun | 12-pounder Napoleon (USA) · Entity-1639 [map-91/017]</x:v>
      </x:c>
      <x:c r="C1984" s="136" t="str">
        <x:v>gun_spawn</x:v>
      </x:c>
      <x:c r="D1984" s="136" t="str"/>
      <x:c r="E1984" s="136" t="str">
        <x:v>12-pounder Napoleon (USA) · Entity-1639</x:v>
      </x:c>
      <x:c r="F1984" s="137" t="n">
        <x:v>1777.210693359375</x:v>
      </x:c>
      <x:c r="G1984" s="137" t="n">
        <x:v>1359.074951171875</x:v>
      </x:c>
      <x:c r="H1984" s="137" t="n">
        <x:v>209.73562622070312</x:v>
      </x:c>
      <x:c r="I1984" s="137" t="n">
        <x:v>1057.8002577319587</x:v>
      </x:c>
      <x:c r="J1984" s="137" t="n">
        <x:v>1022.1086769759451</x:v>
      </x:c>
      <x:c r="K1984" s="136" t="str">
        <x:v>map-91</x:v>
      </x:c>
      <x:c r="L1984" s="136" t="str">
        <x:v>SouthMountain | Contention | Wheat Fields||Gun | 12-pounder Napoleon (USA) · Entity-1639 [map-91/017]</x:v>
      </x:c>
      <x:c r="M1984" s="35"/>
      <x:c r="N1984" s="35"/>
      <x:c r="O1984" s="35"/>
      <x:c r="P1984" s="35"/>
      <x:c r="Q1984" s="35"/>
      <x:c r="R1984" s="35"/>
      <x:c r="S1984" s="35"/>
      <x:c r="T1984" s="35"/>
      <x:c r="U1984" s="35"/>
      <x:c r="V1984" s="35"/>
      <x:c r="W1984" s="35"/>
      <x:c r="X1984" s="35"/>
      <x:c r="Y1984" s="35"/>
      <x:c r="Z1984" s="35"/>
      <x:c r="AA1984" s="35"/>
    </x:row>
    <x:row r="1985">
      <x:c r="A1985" s="136" t="str">
        <x:v>SouthMountain | Contention | Wheat Fields</x:v>
      </x:c>
      <x:c r="B1985" s="136" t="str">
        <x:v>Gun | 12-pounder Napoleon (USA) · Entity-1638 [map-91/018]</x:v>
      </x:c>
      <x:c r="C1985" s="136" t="str">
        <x:v>gun_spawn</x:v>
      </x:c>
      <x:c r="D1985" s="136" t="str"/>
      <x:c r="E1985" s="136" t="str">
        <x:v>12-pounder Napoleon (USA) · Entity-1638</x:v>
      </x:c>
      <x:c r="F1985" s="137" t="n">
        <x:v>1786.5933837890625</x:v>
      </x:c>
      <x:c r="G1985" s="137" t="n">
        <x:v>1361.393310546875</x:v>
      </x:c>
      <x:c r="H1985" s="137" t="n">
        <x:v>209.16598510742188</x:v>
      </x:c>
      <x:c r="I1985" s="137" t="n">
        <x:v>1074.3086340206185</x:v>
      </x:c>
      <x:c r="J1985" s="137" t="n">
        <x:v>1018.0296391752578</x:v>
      </x:c>
      <x:c r="K1985" s="136" t="str">
        <x:v>map-91</x:v>
      </x:c>
      <x:c r="L1985" s="136" t="str">
        <x:v>SouthMountain | Contention | Wheat Fields||Gun | 12-pounder Napoleon (USA) · Entity-1638 [map-91/018]</x:v>
      </x:c>
      <x:c r="M1985" s="35"/>
      <x:c r="N1985" s="35"/>
      <x:c r="O1985" s="35"/>
      <x:c r="P1985" s="35"/>
      <x:c r="Q1985" s="35"/>
      <x:c r="R1985" s="35"/>
      <x:c r="S1985" s="35"/>
      <x:c r="T1985" s="35"/>
      <x:c r="U1985" s="35"/>
      <x:c r="V1985" s="35"/>
      <x:c r="W1985" s="35"/>
      <x:c r="X1985" s="35"/>
      <x:c r="Y1985" s="35"/>
      <x:c r="Z1985" s="35"/>
      <x:c r="AA1985" s="35"/>
    </x:row>
    <x:row r="1986">
      <x:c r="A1986" s="136" t="str">
        <x:v>SouthMountain | Contention | Wheat Fields</x:v>
      </x:c>
      <x:c r="B1986" s="136" t="str">
        <x:v>Gun | 3-inch Ordnance · Entity-1634 [map-91/019]</x:v>
      </x:c>
      <x:c r="C1986" s="136" t="str">
        <x:v>gun_spawn</x:v>
      </x:c>
      <x:c r="D1986" s="136" t="str"/>
      <x:c r="E1986" s="136" t="str">
        <x:v>3-inch Ordnance · Entity-1634</x:v>
      </x:c>
      <x:c r="F1986" s="137" t="n">
        <x:v>1819.2880859375</x:v>
      </x:c>
      <x:c r="G1986" s="137" t="n">
        <x:v>1370.3289794921875</x:v>
      </x:c>
      <x:c r="H1986" s="137" t="n">
        <x:v>205.886474609375</x:v>
      </x:c>
      <x:c r="I1986" s="137" t="n">
        <x:v>1131.8333333333333</x:v>
      </x:c>
      <x:c r="J1986" s="137" t="n">
        <x:v>1002.3077749140894</x:v>
      </x:c>
      <x:c r="K1986" s="136" t="str">
        <x:v>map-91</x:v>
      </x:c>
      <x:c r="L1986" s="136" t="str">
        <x:v>SouthMountain | Contention | Wheat Fields||Gun | 3-inch Ordnance · Entity-1634 [map-91/019]</x:v>
      </x:c>
      <x:c r="M1986" s="35"/>
      <x:c r="N1986" s="35"/>
      <x:c r="O1986" s="35"/>
      <x:c r="P1986" s="35"/>
      <x:c r="Q1986" s="35"/>
      <x:c r="R1986" s="35"/>
      <x:c r="S1986" s="35"/>
      <x:c r="T1986" s="35"/>
      <x:c r="U1986" s="35"/>
      <x:c r="V1986" s="35"/>
      <x:c r="W1986" s="35"/>
      <x:c r="X1986" s="35"/>
      <x:c r="Y1986" s="35"/>
      <x:c r="Z1986" s="35"/>
      <x:c r="AA1986" s="35"/>
    </x:row>
    <x:row r="1987">
      <x:c r="A1987" s="136" t="str">
        <x:v>SouthMountain | Contention | Wheat Fields</x:v>
      </x:c>
      <x:c r="B1987" s="136" t="str">
        <x:v>Gun | 3-inch Ordnance · Entity-1647 [map-91/020]</x:v>
      </x:c>
      <x:c r="C1987" s="136" t="str">
        <x:v>gun_spawn</x:v>
      </x:c>
      <x:c r="D1987" s="136" t="str"/>
      <x:c r="E1987" s="136" t="str">
        <x:v>3-inch Ordnance · Entity-1647</x:v>
      </x:c>
      <x:c r="F1987" s="137" t="n">
        <x:v>1944.68994140625</x:v>
      </x:c>
      <x:c r="G1987" s="137" t="n">
        <x:v>1105.702392578125</x:v>
      </x:c>
      <x:c r="H1987" s="137" t="n">
        <x:v>209.1453857421875</x:v>
      </x:c>
      <x:c r="I1987" s="137" t="n">
        <x:v>1352.471649484536</x:v>
      </x:c>
      <x:c r="J1987" s="137" t="n">
        <x:v>1467.9050687285223</x:v>
      </x:c>
      <x:c r="K1987" s="136" t="str">
        <x:v>map-91</x:v>
      </x:c>
      <x:c r="L1987" s="136" t="str">
        <x:v>SouthMountain | Contention | Wheat Fields||Gun | 3-inch Ordnance · Entity-1647 [map-91/020]</x:v>
      </x:c>
      <x:c r="M1987" s="35"/>
      <x:c r="N1987" s="35"/>
      <x:c r="O1987" s="35"/>
      <x:c r="P1987" s="35"/>
      <x:c r="Q1987" s="35"/>
      <x:c r="R1987" s="35"/>
      <x:c r="S1987" s="35"/>
      <x:c r="T1987" s="35"/>
      <x:c r="U1987" s="35"/>
      <x:c r="V1987" s="35"/>
      <x:c r="W1987" s="35"/>
      <x:c r="X1987" s="35"/>
      <x:c r="Y1987" s="35"/>
      <x:c r="Z1987" s="35"/>
      <x:c r="AA1987" s="35"/>
    </x:row>
    <x:row r="1988">
      <x:c r="A1988" s="136" t="str">
        <x:v>SouthMountain | Contention | Wheat Fields</x:v>
      </x:c>
      <x:c r="B1988" s="136" t="str">
        <x:v>Gun | 3-inch Ordnance · Entity-1636 [map-91/021]</x:v>
      </x:c>
      <x:c r="C1988" s="136" t="str">
        <x:v>gun_spawn</x:v>
      </x:c>
      <x:c r="D1988" s="136" t="str"/>
      <x:c r="E1988" s="136" t="str">
        <x:v>3-inch Ordnance · Entity-1636</x:v>
      </x:c>
      <x:c r="F1988" s="137" t="n">
        <x:v>1803.60498046875</x:v>
      </x:c>
      <x:c r="G1988" s="137" t="n">
        <x:v>1366.1993408203125</x:v>
      </x:c>
      <x:c r="H1988" s="137" t="n">
        <x:v>207.35055541992188</x:v>
      </x:c>
      <x:c r="I1988" s="137" t="n">
        <x:v>1104.2396907216496</x:v>
      </x:c>
      <x:c r="J1988" s="137" t="n">
        <x:v>1009.5736683848797</x:v>
      </x:c>
      <x:c r="K1988" s="136" t="str">
        <x:v>map-91</x:v>
      </x:c>
      <x:c r="L1988" s="136" t="str">
        <x:v>SouthMountain | Contention | Wheat Fields||Gun | 3-inch Ordnance · Entity-1636 [map-91/021]</x:v>
      </x:c>
      <x:c r="M1988" s="35"/>
      <x:c r="N1988" s="35"/>
      <x:c r="O1988" s="35"/>
      <x:c r="P1988" s="35"/>
      <x:c r="Q1988" s="35"/>
      <x:c r="R1988" s="35"/>
      <x:c r="S1988" s="35"/>
      <x:c r="T1988" s="35"/>
      <x:c r="U1988" s="35"/>
      <x:c r="V1988" s="35"/>
      <x:c r="W1988" s="35"/>
      <x:c r="X1988" s="35"/>
      <x:c r="Y1988" s="35"/>
      <x:c r="Z1988" s="35"/>
      <x:c r="AA1988" s="35"/>
    </x:row>
    <x:row r="1989">
      <x:c r="A1989" s="136" t="str">
        <x:v>SouthMountain | Contention | Wheat Fields</x:v>
      </x:c>
      <x:c r="B1989" s="136" t="str">
        <x:v>Gun | 12-pounder Napoleon (CSA) · Entity-1651 [map-91/022]</x:v>
      </x:c>
      <x:c r="C1989" s="136" t="str">
        <x:v>gun_spawn</x:v>
      </x:c>
      <x:c r="D1989" s="136" t="str"/>
      <x:c r="E1989" s="136" t="str">
        <x:v>12-pounder Napoleon (CSA) · Entity-1651</x:v>
      </x:c>
      <x:c r="F1989" s="137" t="n">
        <x:v>1970.880126953125</x:v>
      </x:c>
      <x:c r="G1989" s="137" t="n">
        <x:v>1125.5240478515625</x:v>
      </x:c>
      <x:c r="H1989" s="137" t="n">
        <x:v>204.9488983154297</x:v>
      </x:c>
      <x:c r="I1989" s="137" t="n">
        <x:v>1398.5519759450171</x:v>
      </x:c>
      <x:c r="J1989" s="137" t="n">
        <x:v>1433.0298539518901</x:v>
      </x:c>
      <x:c r="K1989" s="136" t="str">
        <x:v>map-91</x:v>
      </x:c>
      <x:c r="L1989" s="136" t="str">
        <x:v>SouthMountain | Contention | Wheat Fields||Gun | 12-pounder Napoleon (CSA) · Entity-1651 [map-91/022]</x:v>
      </x:c>
      <x:c r="M1989" s="35"/>
      <x:c r="N1989" s="35"/>
      <x:c r="O1989" s="35"/>
      <x:c r="P1989" s="35"/>
      <x:c r="Q1989" s="35"/>
      <x:c r="R1989" s="35"/>
      <x:c r="S1989" s="35"/>
      <x:c r="T1989" s="35"/>
      <x:c r="U1989" s="35"/>
      <x:c r="V1989" s="35"/>
      <x:c r="W1989" s="35"/>
      <x:c r="X1989" s="35"/>
      <x:c r="Y1989" s="35"/>
      <x:c r="Z1989" s="35"/>
      <x:c r="AA1989" s="35"/>
    </x:row>
    <x:row r="1990">
      <x:c r="A1990" s="136" t="str">
        <x:v>SouthMountain | Contention | Wheat Fields</x:v>
      </x:c>
      <x:c r="B1990" s="136" t="str">
        <x:v>Gun | 12-pounder Napoleon (USA) · Entity-1637 [map-91/023]</x:v>
      </x:c>
      <x:c r="C1990" s="136" t="str">
        <x:v>gun_spawn</x:v>
      </x:c>
      <x:c r="D1990" s="136" t="str"/>
      <x:c r="E1990" s="136" t="str">
        <x:v>12-pounder Napoleon (USA) · Entity-1637</x:v>
      </x:c>
      <x:c r="F1990" s="137" t="n">
        <x:v>1793.403076171875</x:v>
      </x:c>
      <x:c r="G1990" s="137" t="n">
        <x:v>1363.416015625</x:v>
      </x:c>
      <x:c r="H1990" s="137" t="n">
        <x:v>208.5907745361328</x:v>
      </x:c>
      <x:c r="I1990" s="137" t="n">
        <x:v>1086.2899484536083</x:v>
      </x:c>
      <x:c r="J1990" s="137" t="n">
        <x:v>1014.4707903780069</x:v>
      </x:c>
      <x:c r="K1990" s="136" t="str">
        <x:v>map-91</x:v>
      </x:c>
      <x:c r="L1990" s="136" t="str">
        <x:v>SouthMountain | Contention | Wheat Fields||Gun | 12-pounder Napoleon (USA) · Entity-1637 [map-91/023]</x:v>
      </x:c>
      <x:c r="M1990" s="35"/>
      <x:c r="N1990" s="35"/>
      <x:c r="O1990" s="35"/>
      <x:c r="P1990" s="35"/>
      <x:c r="Q1990" s="35"/>
      <x:c r="R1990" s="35"/>
      <x:c r="S1990" s="35"/>
      <x:c r="T1990" s="35"/>
      <x:c r="U1990" s="35"/>
      <x:c r="V1990" s="35"/>
      <x:c r="W1990" s="35"/>
      <x:c r="X1990" s="35"/>
      <x:c r="Y1990" s="35"/>
      <x:c r="Z1990" s="35"/>
      <x:c r="AA1990" s="35"/>
    </x:row>
    <x:row r="1991">
      <x:c r="A1991" s="136" t="str">
        <x:v>SouthMountain | Contention | Wheat Fields</x:v>
      </x:c>
      <x:c r="B1991" s="136" t="str">
        <x:v>Gun | 3-inch Ordnance · Entity-1646 [map-91/024]</x:v>
      </x:c>
      <x:c r="C1991" s="136" t="str">
        <x:v>gun_spawn</x:v>
      </x:c>
      <x:c r="D1991" s="136" t="str"/>
      <x:c r="E1991" s="136" t="str">
        <x:v>3-inch Ordnance · Entity-1646</x:v>
      </x:c>
      <x:c r="F1991" s="137" t="n">
        <x:v>1938.5093994140625</x:v>
      </x:c>
      <x:c r="G1991" s="137" t="n">
        <x:v>1101.6895751953125</x:v>
      </x:c>
      <x:c r="H1991" s="137" t="n">
        <x:v>209.49057006835938</x:v>
      </x:c>
      <x:c r="I1991" s="137" t="n">
        <x:v>1341.597293814433</x:v>
      </x:c>
      <x:c r="J1991" s="137" t="n">
        <x:v>1474.9654209621992</x:v>
      </x:c>
      <x:c r="K1991" s="136" t="str">
        <x:v>map-91</x:v>
      </x:c>
      <x:c r="L1991" s="136" t="str">
        <x:v>SouthMountain | Contention | Wheat Fields||Gun | 3-inch Ordnance · Entity-1646 [map-91/024]</x:v>
      </x:c>
      <x:c r="M1991" s="35"/>
      <x:c r="N1991" s="35"/>
      <x:c r="O1991" s="35"/>
      <x:c r="P1991" s="35"/>
      <x:c r="Q1991" s="35"/>
      <x:c r="R1991" s="35"/>
      <x:c r="S1991" s="35"/>
      <x:c r="T1991" s="35"/>
      <x:c r="U1991" s="35"/>
      <x:c r="V1991" s="35"/>
      <x:c r="W1991" s="35"/>
      <x:c r="X1991" s="35"/>
      <x:c r="Y1991" s="35"/>
      <x:c r="Z1991" s="35"/>
      <x:c r="AA1991" s="35"/>
    </x:row>
    <x:row r="1992">
      <x:c r="A1992" s="136" t="str">
        <x:v>SouthMountain | Contention | Wheat Fields</x:v>
      </x:c>
      <x:c r="B1992" s="136" t="str">
        <x:v>Gun | 12-pounder Napoleon (USA) · Entity-1649 [map-91/025]</x:v>
      </x:c>
      <x:c r="C1992" s="136" t="str">
        <x:v>gun_spawn</x:v>
      </x:c>
      <x:c r="D1992" s="136" t="str"/>
      <x:c r="E1992" s="136" t="str">
        <x:v>12-pounder Napoleon (USA) · Entity-1649</x:v>
      </x:c>
      <x:c r="F1992" s="137" t="n">
        <x:v>1956.1279296875</x:v>
      </x:c>
      <x:c r="G1992" s="137" t="n">
        <x:v>1114.5985107421875</x:v>
      </x:c>
      <x:c r="H1992" s="137" t="n">
        <x:v>207.089111328125</x:v>
      </x:c>
      <x:c r="I1992" s="137" t="n">
        <x:v>1372.5962199312714</x:v>
      </x:c>
      <x:c r="J1992" s="137" t="n">
        <x:v>1452.25279209622</x:v>
      </x:c>
      <x:c r="K1992" s="136" t="str">
        <x:v>map-91</x:v>
      </x:c>
      <x:c r="L1992" s="136" t="str">
        <x:v>SouthMountain | Contention | Wheat Fields||Gun | 12-pounder Napoleon (USA) · Entity-1649 [map-91/025]</x:v>
      </x:c>
      <x:c r="M1992" s="35"/>
      <x:c r="N1992" s="35"/>
      <x:c r="O1992" s="35"/>
      <x:c r="P1992" s="35"/>
      <x:c r="Q1992" s="35"/>
      <x:c r="R1992" s="35"/>
      <x:c r="S1992" s="35"/>
      <x:c r="T1992" s="35"/>
      <x:c r="U1992" s="35"/>
      <x:c r="V1992" s="35"/>
      <x:c r="W1992" s="35"/>
      <x:c r="X1992" s="35"/>
      <x:c r="Y1992" s="35"/>
      <x:c r="Z1992" s="35"/>
      <x:c r="AA1992" s="35"/>
    </x:row>
    <x:row r="1993">
      <x:c r="A1993" s="136" t="str">
        <x:v>SouthMountain | Contention | Rocky Slopes</x:v>
      </x:c>
      <x:c r="B1993" s="136" t="str">
        <x:v>Spawn | USA CQ3_Spawnpoint_USA_Infantry_1 [map-92/001]</x:v>
      </x:c>
      <x:c r="C1993" s="136" t="str">
        <x:v>spawn</x:v>
      </x:c>
      <x:c r="D1993" s="136" t="str">
        <x:v>USA</x:v>
      </x:c>
      <x:c r="E1993" s="136" t="str">
        <x:v>CQ3_Spawnpoint_USA_Infantry_1</x:v>
      </x:c>
      <x:c r="F1993" s="137" t="n">
        <x:v>2387.578125</x:v>
      </x:c>
      <x:c r="G1993" s="137" t="n">
        <x:v>3348.931884765625</x:v>
      </x:c>
      <x:c r="H1993" s="137" t="n">
        <x:v>231.65463256835938</x:v>
      </x:c>
      <x:c r="I1993" s="137" t="n">
        <x:v>1427.3044401396005</x:v>
      </x:c>
      <x:c r="J1993" s="137" t="n">
        <x:v>990.3142743614421</x:v>
      </x:c>
      <x:c r="K1993" s="136" t="str">
        <x:v>map-92</x:v>
      </x:c>
      <x:c r="L1993" s="136" t="str">
        <x:v>SouthMountain | Contention | Rocky Slopes||Spawn | USA CQ3_Spawnpoint_USA_Infantry_1 [map-92/001]</x:v>
      </x:c>
      <x:c r="M1993" s="35"/>
      <x:c r="N1993" s="35"/>
      <x:c r="O1993" s="35"/>
      <x:c r="P1993" s="35"/>
      <x:c r="Q1993" s="35"/>
      <x:c r="R1993" s="35"/>
      <x:c r="S1993" s="35"/>
      <x:c r="T1993" s="35"/>
      <x:c r="U1993" s="35"/>
      <x:c r="V1993" s="35"/>
      <x:c r="W1993" s="35"/>
      <x:c r="X1993" s="35"/>
      <x:c r="Y1993" s="35"/>
      <x:c r="Z1993" s="35"/>
      <x:c r="AA1993" s="35"/>
    </x:row>
    <x:row r="1994">
      <x:c r="A1994" s="136" t="str">
        <x:v>SouthMountain | Contention | Rocky Slopes</x:v>
      </x:c>
      <x:c r="B1994" s="136" t="str">
        <x:v>Spawn | CSA CQ3_Spawnpoint_CSA_Infantry_0 [map-92/002]</x:v>
      </x:c>
      <x:c r="C1994" s="136" t="str">
        <x:v>spawn</x:v>
      </x:c>
      <x:c r="D1994" s="136" t="str">
        <x:v>CSA</x:v>
      </x:c>
      <x:c r="E1994" s="136" t="str">
        <x:v>CQ3_Spawnpoint_CSA_Infantry_0</x:v>
      </x:c>
      <x:c r="F1994" s="137" t="n">
        <x:v>1852.269287109375</x:v>
      </x:c>
      <x:c r="G1994" s="137" t="n">
        <x:v>3325.41943359375</x:v>
      </x:c>
      <x:c r="H1994" s="137" t="n">
        <x:v>173.39389038085938</x:v>
      </x:c>
      <x:c r="I1994" s="137" t="n">
        <x:v>585.9004068154778</x:v>
      </x:c>
      <x:c r="J1994" s="137" t="n">
        <x:v>1027.2701454136898</x:v>
      </x:c>
      <x:c r="K1994" s="136" t="str">
        <x:v>map-92</x:v>
      </x:c>
      <x:c r="L1994" s="136" t="str">
        <x:v>SouthMountain | Contention | Rocky Slopes||Spawn | CSA CQ3_Spawnpoint_CSA_Infantry_0 [map-92/002]</x:v>
      </x:c>
      <x:c r="M1994" s="35"/>
      <x:c r="N1994" s="35"/>
      <x:c r="O1994" s="35"/>
      <x:c r="P1994" s="35"/>
      <x:c r="Q1994" s="35"/>
      <x:c r="R1994" s="35"/>
      <x:c r="S1994" s="35"/>
      <x:c r="T1994" s="35"/>
      <x:c r="U1994" s="35"/>
      <x:c r="V1994" s="35"/>
      <x:c r="W1994" s="35"/>
      <x:c r="X1994" s="35"/>
      <x:c r="Y1994" s="35"/>
      <x:c r="Z1994" s="35"/>
      <x:c r="AA1994" s="35"/>
    </x:row>
    <x:row r="1995">
      <x:c r="A1995" s="136" t="str">
        <x:v>SouthMountain | Contention | Rocky Slopes</x:v>
      </x:c>
      <x:c r="B1995" s="136" t="str">
        <x:v>Spawn | USA CQ3_Spawnpoint_USA_Infantry_0 [map-92/003]</x:v>
      </x:c>
      <x:c r="C1995" s="136" t="str">
        <x:v>spawn</x:v>
      </x:c>
      <x:c r="D1995" s="136" t="str">
        <x:v>USA</x:v>
      </x:c>
      <x:c r="E1995" s="136" t="str">
        <x:v>CQ3_Spawnpoint_USA_Infantry_0</x:v>
      </x:c>
      <x:c r="F1995" s="137" t="n">
        <x:v>2354.022705078125</x:v>
      </x:c>
      <x:c r="G1995" s="137" t="n">
        <x:v>3385.959228515625</x:v>
      </x:c>
      <x:c r="H1995" s="137" t="n">
        <x:v>228.3290252685547</x:v>
      </x:c>
      <x:c r="I1995" s="137" t="n">
        <x:v>1374.6081224126356</x:v>
      </x:c>
      <x:c r="J1995" s="137" t="n">
        <x:v>932.1162697795521</x:v>
      </x:c>
      <x:c r="K1995" s="136" t="str">
        <x:v>map-92</x:v>
      </x:c>
      <x:c r="L1995" s="136" t="str">
        <x:v>SouthMountain | Contention | Rocky Slopes||Spawn | USA CQ3_Spawnpoint_USA_Infantry_0 [map-92/003]</x:v>
      </x:c>
      <x:c r="M1995" s="35"/>
      <x:c r="N1995" s="35"/>
      <x:c r="O1995" s="35"/>
      <x:c r="P1995" s="35"/>
      <x:c r="Q1995" s="35"/>
      <x:c r="R1995" s="35"/>
      <x:c r="S1995" s="35"/>
      <x:c r="T1995" s="35"/>
      <x:c r="U1995" s="35"/>
      <x:c r="V1995" s="35"/>
      <x:c r="W1995" s="35"/>
      <x:c r="X1995" s="35"/>
      <x:c r="Y1995" s="35"/>
      <x:c r="Z1995" s="35"/>
      <x:c r="AA1995" s="35"/>
    </x:row>
    <x:row r="1996">
      <x:c r="A1996" s="136" t="str">
        <x:v>SouthMountain | Contention | Rocky Slopes</x:v>
      </x:c>
      <x:c r="B1996" s="136" t="str">
        <x:v>Spawn | USA CQ3_Spawnpoint_USA_Cavalry_0 [map-92/004]</x:v>
      </x:c>
      <x:c r="C1996" s="136" t="str">
        <x:v>spawn</x:v>
      </x:c>
      <x:c r="D1996" s="136" t="str">
        <x:v>USA</x:v>
      </x:c>
      <x:c r="E1996" s="136" t="str">
        <x:v>CQ3_Spawnpoint_USA_Cavalry_0</x:v>
      </x:c>
      <x:c r="F1996" s="137" t="n">
        <x:v>2464.215087890625</x:v>
      </x:c>
      <x:c r="G1996" s="137" t="n">
        <x:v>3316.7529296875</x:v>
      </x:c>
      <x:c r="H1996" s="137" t="n">
        <x:v>236.00416564941406</x:v>
      </x:c>
      <x:c r="I1996" s="137" t="n">
        <x:v>1547.7203437856729</x:v>
      </x:c>
      <x:c r="J1996" s="137" t="n">
        <x:v>1040.891787772113</x:v>
      </x:c>
      <x:c r="K1996" s="136" t="str">
        <x:v>map-92</x:v>
      </x:c>
      <x:c r="L1996" s="136" t="str">
        <x:v>SouthMountain | Contention | Rocky Slopes||Spawn | USA CQ3_Spawnpoint_USA_Cavalry_0 [map-92/004]</x:v>
      </x:c>
      <x:c r="M1996" s="35"/>
      <x:c r="N1996" s="35"/>
      <x:c r="O1996" s="35"/>
      <x:c r="P1996" s="35"/>
      <x:c r="Q1996" s="35"/>
      <x:c r="R1996" s="35"/>
      <x:c r="S1996" s="35"/>
      <x:c r="T1996" s="35"/>
      <x:c r="U1996" s="35"/>
      <x:c r="V1996" s="35"/>
      <x:c r="W1996" s="35"/>
      <x:c r="X1996" s="35"/>
      <x:c r="Y1996" s="35"/>
      <x:c r="Z1996" s="35"/>
      <x:c r="AA1996" s="35"/>
    </x:row>
    <x:row r="1997">
      <x:c r="A1997" s="136" t="str">
        <x:v>SouthMountain | Contention | Rocky Slopes</x:v>
      </x:c>
      <x:c r="B1997" s="136" t="str">
        <x:v>Spawn | CSA CQ3_Spawnpoint_CSA_Infantry_1 [map-92/005]</x:v>
      </x:c>
      <x:c r="C1997" s="136" t="str">
        <x:v>spawn</x:v>
      </x:c>
      <x:c r="D1997" s="136" t="str">
        <x:v>CSA</x:v>
      </x:c>
      <x:c r="E1997" s="136" t="str">
        <x:v>CQ3_Spawnpoint_CSA_Infantry_1</x:v>
      </x:c>
      <x:c r="F1997" s="137" t="n">
        <x:v>1874.680419921875</x:v>
      </x:c>
      <x:c r="G1997" s="137" t="n">
        <x:v>3323.63916015625</x:v>
      </x:c>
      <x:c r="H1997" s="137" t="n">
        <x:v>168.62472534179688</x:v>
      </x:c>
      <x:c r="I1997" s="137" t="n">
        <x:v>621.123125023692</x:v>
      </x:c>
      <x:c r="J1997" s="137" t="n">
        <x:v>1030.0683035092902</x:v>
      </x:c>
      <x:c r="K1997" s="136" t="str">
        <x:v>map-92</x:v>
      </x:c>
      <x:c r="L1997" s="136" t="str">
        <x:v>SouthMountain | Contention | Rocky Slopes||Spawn | CSA CQ3_Spawnpoint_CSA_Infantry_1 [map-92/005]</x:v>
      </x:c>
      <x:c r="M1997" s="35"/>
      <x:c r="N1997" s="35"/>
      <x:c r="O1997" s="35"/>
      <x:c r="P1997" s="35"/>
      <x:c r="Q1997" s="35"/>
      <x:c r="R1997" s="35"/>
      <x:c r="S1997" s="35"/>
      <x:c r="T1997" s="35"/>
      <x:c r="U1997" s="35"/>
      <x:c r="V1997" s="35"/>
      <x:c r="W1997" s="35"/>
      <x:c r="X1997" s="35"/>
      <x:c r="Y1997" s="35"/>
      <x:c r="Z1997" s="35"/>
      <x:c r="AA1997" s="35"/>
    </x:row>
    <x:row r="1998">
      <x:c r="A1998" s="136" t="str">
        <x:v>SouthMountain | Contention | Rocky Slopes</x:v>
      </x:c>
      <x:c r="B1998" s="136" t="str">
        <x:v>Artillery | CSA CQ3_Spawnpoint_CSA_Artillery_Forward [map-92/006]</x:v>
      </x:c>
      <x:c r="C1998" s="136" t="str">
        <x:v>battery</x:v>
      </x:c>
      <x:c r="D1998" s="136" t="str">
        <x:v>CSA</x:v>
      </x:c>
      <x:c r="E1998" s="136" t="str">
        <x:v>CQ3_Spawnpoint_CSA_Artillery_Forward</x:v>
      </x:c>
      <x:c r="F1998" s="137" t="n">
        <x:v>2136.345947265625</x:v>
      </x:c>
      <x:c r="G1998" s="137" t="n">
        <x:v>3121.040771484375</x:v>
      </x:c>
      <x:c r="H1998" s="137" t="n">
        <x:v>148.51951599121094</x:v>
      </x:c>
      <x:c r="I1998" s="137" t="n">
        <x:v>1032.1534891214142</x:v>
      </x:c>
      <x:c r="J1998" s="137" t="n">
        <x:v>1348.5038367686614</x:v>
      </x:c>
      <x:c r="K1998" s="136" t="str">
        <x:v>map-92</x:v>
      </x:c>
      <x:c r="L1998" s="136" t="str">
        <x:v>SouthMountain | Contention | Rocky Slopes||Artillery | CSA CQ3_Spawnpoint_CSA_Artillery_Forward [map-92/006]</x:v>
      </x:c>
      <x:c r="M1998" s="35"/>
      <x:c r="N1998" s="35"/>
      <x:c r="O1998" s="35"/>
      <x:c r="P1998" s="35"/>
      <x:c r="Q1998" s="35"/>
      <x:c r="R1998" s="35"/>
      <x:c r="S1998" s="35"/>
      <x:c r="T1998" s="35"/>
      <x:c r="U1998" s="35"/>
      <x:c r="V1998" s="35"/>
      <x:c r="W1998" s="35"/>
      <x:c r="X1998" s="35"/>
      <x:c r="Y1998" s="35"/>
      <x:c r="Z1998" s="35"/>
      <x:c r="AA1998" s="35"/>
    </x:row>
    <x:row r="1999">
      <x:c r="A1999" s="136" t="str">
        <x:v>SouthMountain | Contention | Rocky Slopes</x:v>
      </x:c>
      <x:c r="B1999" s="136" t="str">
        <x:v>Artillery | USA CQ3_Spawnpoint_USA_Artillery_Forward [map-92/007]</x:v>
      </x:c>
      <x:c r="C1999" s="136" t="str">
        <x:v>battery</x:v>
      </x:c>
      <x:c r="D1999" s="136" t="str">
        <x:v>USA</x:v>
      </x:c>
      <x:c r="E1999" s="136" t="str">
        <x:v>CQ3_Spawnpoint_USA_Artillery_Forward</x:v>
      </x:c>
      <x:c r="F1999" s="137" t="n">
        <x:v>2187.8369140625</x:v>
      </x:c>
      <x:c r="G1999" s="137" t="n">
        <x:v>3629.4814453125</x:v>
      </x:c>
      <x:c r="H1999" s="137" t="n">
        <x:v>225.97671508789062</x:v>
      </x:c>
      <x:c r="I1999" s="137" t="n">
        <x:v>1113.69811305264</x:v>
      </x:c>
      <x:c r="J1999" s="137" t="n">
        <x:v>549.358403467942</x:v>
      </x:c>
      <x:c r="K1999" s="136" t="str">
        <x:v>map-92</x:v>
      </x:c>
      <x:c r="L1999" s="136" t="str">
        <x:v>SouthMountain | Contention | Rocky Slopes||Artillery | USA CQ3_Spawnpoint_USA_Artillery_Forward [map-92/007]</x:v>
      </x:c>
      <x:c r="M1999" s="35"/>
      <x:c r="N1999" s="35"/>
      <x:c r="O1999" s="35"/>
      <x:c r="P1999" s="35"/>
      <x:c r="Q1999" s="35"/>
      <x:c r="R1999" s="35"/>
      <x:c r="S1999" s="35"/>
      <x:c r="T1999" s="35"/>
      <x:c r="U1999" s="35"/>
      <x:c r="V1999" s="35"/>
      <x:c r="W1999" s="35"/>
      <x:c r="X1999" s="35"/>
      <x:c r="Y1999" s="35"/>
      <x:c r="Z1999" s="35"/>
      <x:c r="AA1999" s="35"/>
    </x:row>
    <x:row r="2000">
      <x:c r="A2000" s="136" t="str">
        <x:v>SouthMountain | Contention | Rocky Slopes</x:v>
      </x:c>
      <x:c r="B2000" s="136" t="str">
        <x:v>Artillery | CSA CQ3_Spawnpoint_CSA_Artillery_Staging [map-92/008]</x:v>
      </x:c>
      <x:c r="C2000" s="136" t="str">
        <x:v>battery</x:v>
      </x:c>
      <x:c r="D2000" s="136" t="str">
        <x:v>CSA</x:v>
      </x:c>
      <x:c r="E2000" s="136" t="str">
        <x:v>CQ3_Spawnpoint_CSA_Artillery_Staging</x:v>
      </x:c>
      <x:c r="F2000" s="137" t="n">
        <x:v>1889.916748046875</x:v>
      </x:c>
      <x:c r="G2000" s="137" t="n">
        <x:v>3285.972412109375</x:v>
      </x:c>
      <x:c r="H2000" s="137" t="n">
        <x:v>166.786376953125</x:v>
      </x:c>
      <x:c r="I2000" s="137" t="n">
        <x:v>645.0255018655986</x:v>
      </x:c>
      <x:c r="J2000" s="137" t="n">
        <x:v>1089.2712965788896</x:v>
      </x:c>
      <x:c r="K2000" s="136" t="str">
        <x:v>map-92</x:v>
      </x:c>
      <x:c r="L2000" s="136" t="str">
        <x:v>SouthMountain | Contention | Rocky Slopes||Artillery | CSA CQ3_Spawnpoint_CSA_Artillery_Staging [map-92/008]</x:v>
      </x:c>
      <x:c r="M2000" s="35"/>
      <x:c r="N2000" s="35"/>
      <x:c r="O2000" s="35"/>
      <x:c r="P2000" s="35"/>
      <x:c r="Q2000" s="35"/>
      <x:c r="R2000" s="35"/>
      <x:c r="S2000" s="35"/>
      <x:c r="T2000" s="35"/>
      <x:c r="U2000" s="35"/>
      <x:c r="V2000" s="35"/>
      <x:c r="W2000" s="35"/>
      <x:c r="X2000" s="35"/>
      <x:c r="Y2000" s="35"/>
      <x:c r="Z2000" s="35"/>
      <x:c r="AA2000" s="35"/>
    </x:row>
    <x:row r="2001">
      <x:c r="A2001" s="136" t="str">
        <x:v>SouthMountain | Contention | Rocky Slopes</x:v>
      </x:c>
      <x:c r="B2001" s="136" t="str">
        <x:v>Spawn | CSA CQ3_Spawnpoint_CSA_Cavalry_0 [map-92/009]</x:v>
      </x:c>
      <x:c r="C2001" s="136" t="str">
        <x:v>spawn</x:v>
      </x:c>
      <x:c r="D2001" s="136" t="str">
        <x:v>CSA</x:v>
      </x:c>
      <x:c r="E2001" s="136" t="str">
        <x:v>CQ3_Spawnpoint_CSA_Cavalry_0</x:v>
      </x:c>
      <x:c r="F2001" s="137" t="n">
        <x:v>1828.7254638671875</x:v>
      </x:c>
      <x:c r="G2001" s="137" t="n">
        <x:v>3348.450927734375</x:v>
      </x:c>
      <x:c r="H2001" s="137" t="n">
        <x:v>177.86614990234375</x:v>
      </x:c>
      <x:c r="I2001" s="137" t="n">
        <x:v>548.9230084452843</x:v>
      </x:c>
      <x:c r="J2001" s="137" t="n">
        <x:v>991.0702221738849</x:v>
      </x:c>
      <x:c r="K2001" s="136" t="str">
        <x:v>map-92</x:v>
      </x:c>
      <x:c r="L2001" s="136" t="str">
        <x:v>SouthMountain | Contention | Rocky Slopes||Spawn | CSA CQ3_Spawnpoint_CSA_Cavalry_0 [map-92/009]</x:v>
      </x:c>
      <x:c r="M2001" s="35"/>
      <x:c r="N2001" s="35"/>
      <x:c r="O2001" s="35"/>
      <x:c r="P2001" s="35"/>
      <x:c r="Q2001" s="35"/>
      <x:c r="R2001" s="35"/>
      <x:c r="S2001" s="35"/>
      <x:c r="T2001" s="35"/>
      <x:c r="U2001" s="35"/>
      <x:c r="V2001" s="35"/>
      <x:c r="W2001" s="35"/>
      <x:c r="X2001" s="35"/>
      <x:c r="Y2001" s="35"/>
      <x:c r="Z2001" s="35"/>
      <x:c r="AA2001" s="35"/>
    </x:row>
    <x:row r="2002">
      <x:c r="A2002" s="136" t="str">
        <x:v>SouthMountain | Contention | Rocky Slopes</x:v>
      </x:c>
      <x:c r="B2002" s="136" t="str">
        <x:v>Objective | Victory_Conquest_3 [map-92/010]</x:v>
      </x:c>
      <x:c r="C2002" s="136" t="str">
        <x:v>objective</x:v>
      </x:c>
      <x:c r="D2002" s="136" t="str"/>
      <x:c r="E2002" s="136" t="str">
        <x:v>Victory_Conquest_3</x:v>
      </x:c>
      <x:c r="F2002" s="137" t="n">
        <x:v>2026.169189453125</x:v>
      </x:c>
      <x:c r="G2002" s="137" t="n">
        <x:v>3730.110595703125</x:v>
      </x:c>
      <x:c r="H2002" s="137" t="n">
        <x:v>249.45733642578125</x:v>
      </x:c>
      <x:c r="I2002" s="137" t="n">
        <x:v>859.7170421923971</x:v>
      </x:c>
      <x:c r="J2002" s="137" t="n">
        <x:v>391.19378342264685</x:v>
      </x:c>
      <x:c r="K2002" s="136" t="str">
        <x:v>map-92</x:v>
      </x:c>
      <x:c r="L2002" s="136" t="str">
        <x:v>SouthMountain | Contention | Rocky Slopes||Objective | Victory_Conquest_3 [map-92/010]</x:v>
      </x:c>
      <x:c r="M2002" s="35"/>
      <x:c r="N2002" s="35"/>
      <x:c r="O2002" s="35"/>
      <x:c r="P2002" s="35"/>
      <x:c r="Q2002" s="35"/>
      <x:c r="R2002" s="35"/>
      <x:c r="S2002" s="35"/>
      <x:c r="T2002" s="35"/>
      <x:c r="U2002" s="35"/>
      <x:c r="V2002" s="35"/>
      <x:c r="W2002" s="35"/>
      <x:c r="X2002" s="35"/>
      <x:c r="Y2002" s="35"/>
      <x:c r="Z2002" s="35"/>
      <x:c r="AA2002" s="35"/>
    </x:row>
    <x:row r="2003">
      <x:c r="A2003" s="136" t="str">
        <x:v>SouthMountain | Contention | Rocky Slopes</x:v>
      </x:c>
      <x:c r="B2003" s="136" t="str">
        <x:v>Artillery | USA CQ3_Spawnpoint_USA_Artillery_Staging [map-92/011]</x:v>
      </x:c>
      <x:c r="C2003" s="136" t="str">
        <x:v>battery</x:v>
      </x:c>
      <x:c r="D2003" s="136" t="str">
        <x:v>USA</x:v>
      </x:c>
      <x:c r="E2003" s="136" t="str">
        <x:v>CQ3_Spawnpoint_USA_Artillery_Staging</x:v>
      </x:c>
      <x:c r="F2003" s="137" t="n">
        <x:v>2388.985595703125</x:v>
      </x:c>
      <x:c r="G2003" s="137" t="n">
        <x:v>3379.89208984375</x:v>
      </x:c>
      <x:c r="H2003" s="137" t="n">
        <x:v>237.2665252685547</x:v>
      </x:c>
      <x:c r="I2003" s="137" t="n">
        <x:v>1429.5539888026187</x:v>
      </x:c>
      <x:c r="J2003" s="137" t="n">
        <x:v>941.6523403820983</x:v>
      </x:c>
      <x:c r="K2003" s="136" t="str">
        <x:v>map-92</x:v>
      </x:c>
      <x:c r="L2003" s="136" t="str">
        <x:v>SouthMountain | Contention | Rocky Slopes||Artillery | USA CQ3_Spawnpoint_USA_Artillery_Staging [map-92/011]</x:v>
      </x:c>
      <x:c r="M2003" s="35"/>
      <x:c r="N2003" s="35"/>
      <x:c r="O2003" s="35"/>
      <x:c r="P2003" s="35"/>
      <x:c r="Q2003" s="35"/>
      <x:c r="R2003" s="35"/>
      <x:c r="S2003" s="35"/>
      <x:c r="T2003" s="35"/>
      <x:c r="U2003" s="35"/>
      <x:c r="V2003" s="35"/>
      <x:c r="W2003" s="35"/>
      <x:c r="X2003" s="35"/>
      <x:c r="Y2003" s="35"/>
      <x:c r="Z2003" s="35"/>
      <x:c r="AA2003" s="35"/>
    </x:row>
    <x:row r="2004">
      <x:c r="A2004" s="136" t="str">
        <x:v>SouthMountain | Contention | Rocky Slopes</x:v>
      </x:c>
      <x:c r="B2004" s="136" t="str">
        <x:v>Spawn | CSA CQ3_Spawnpoint_CSA_Infantry_2 [map-92/012]</x:v>
      </x:c>
      <x:c r="C2004" s="136" t="str">
        <x:v>spawn</x:v>
      </x:c>
      <x:c r="D2004" s="136" t="str">
        <x:v>CSA</x:v>
      </x:c>
      <x:c r="E2004" s="136" t="str">
        <x:v>CQ3_Spawnpoint_CSA_Infantry_2</x:v>
      </x:c>
      <x:c r="F2004" s="137" t="n">
        <x:v>1878.2891845703125</x:v>
      </x:c>
      <x:c r="G2004" s="137" t="n">
        <x:v>3299.458251953125</x:v>
      </x:c>
      <x:c r="H2004" s="137" t="n">
        <x:v>167.91464233398438</x:v>
      </x:c>
      <x:c r="I2004" s="137" t="n">
        <x:v>626.7660594006509</x:v>
      </x:c>
      <x:c r="J2004" s="137" t="n">
        <x:v>1068.0748269018768</x:v>
      </x:c>
      <x:c r="K2004" s="136" t="str">
        <x:v>map-92</x:v>
      </x:c>
      <x:c r="L2004" s="136" t="str">
        <x:v>SouthMountain | Contention | Rocky Slopes||Spawn | CSA CQ3_Spawnpoint_CSA_Infantry_2 [map-92/012]</x:v>
      </x:c>
      <x:c r="M2004" s="35"/>
      <x:c r="N2004" s="35"/>
      <x:c r="O2004" s="35"/>
      <x:c r="P2004" s="35"/>
      <x:c r="Q2004" s="35"/>
      <x:c r="R2004" s="35"/>
      <x:c r="S2004" s="35"/>
      <x:c r="T2004" s="35"/>
      <x:c r="U2004" s="35"/>
      <x:c r="V2004" s="35"/>
      <x:c r="W2004" s="35"/>
      <x:c r="X2004" s="35"/>
      <x:c r="Y2004" s="35"/>
      <x:c r="Z2004" s="35"/>
      <x:c r="AA2004" s="35"/>
    </x:row>
    <x:row r="2005">
      <x:c r="A2005" s="136" t="str">
        <x:v>SouthMountain | Contention | Rocky Slopes</x:v>
      </x:c>
      <x:c r="B2005" s="136" t="str">
        <x:v>Spawn | USA CQ3_Spawnpoint_USA_Infantry_2 [map-92/013]</x:v>
      </x:c>
      <x:c r="C2005" s="136" t="str">
        <x:v>spawn</x:v>
      </x:c>
      <x:c r="D2005" s="136" t="str">
        <x:v>USA</x:v>
      </x:c>
      <x:c r="E2005" s="136" t="str">
        <x:v>CQ3_Spawnpoint_USA_Infantry_2</x:v>
      </x:c>
      <x:c r="F2005" s="137" t="n">
        <x:v>2386.497314453125</x:v>
      </x:c>
      <x:c r="G2005" s="137" t="n">
        <x:v>3324.012451171875</x:v>
      </x:c>
      <x:c r="H2005" s="137" t="n">
        <x:v>228.28782653808594</x:v>
      </x:c>
      <x:c r="I2005" s="137" t="n">
        <x:v>1425.5756087618092</x:v>
      </x:c>
      <x:c r="J2005" s="137" t="n">
        <x:v>1029.4815805624753</x:v>
      </x:c>
      <x:c r="K2005" s="136" t="str">
        <x:v>map-92</x:v>
      </x:c>
      <x:c r="L2005" s="136" t="str">
        <x:v>SouthMountain | Contention | Rocky Slopes||Spawn | USA CQ3_Spawnpoint_USA_Infantry_2 [map-92/013]</x:v>
      </x:c>
      <x:c r="M2005" s="35"/>
      <x:c r="N2005" s="35"/>
      <x:c r="O2005" s="35"/>
      <x:c r="P2005" s="35"/>
      <x:c r="Q2005" s="35"/>
      <x:c r="R2005" s="35"/>
      <x:c r="S2005" s="35"/>
      <x:c r="T2005" s="35"/>
      <x:c r="U2005" s="35"/>
      <x:c r="V2005" s="35"/>
      <x:c r="W2005" s="35"/>
      <x:c r="X2005" s="35"/>
      <x:c r="Y2005" s="35"/>
      <x:c r="Z2005" s="35"/>
      <x:c r="AA2005" s="35"/>
    </x:row>
    <x:row r="2006">
      <x:c r="A2006" s="136" t="str">
        <x:v>SouthMountain | Contention | Rocky Slopes</x:v>
      </x:c>
      <x:c r="B2006" s="136" t="str">
        <x:v>Gun | 3-inch Ordnance · Entity-1655 [map-92/014]</x:v>
      </x:c>
      <x:c r="C2006" s="136" t="str">
        <x:v>gun_spawn</x:v>
      </x:c>
      <x:c r="D2006" s="136" t="str"/>
      <x:c r="E2006" s="136" t="str">
        <x:v>3-inch Ordnance · Entity-1655</x:v>
      </x:c>
      <x:c r="F2006" s="137" t="n">
        <x:v>2118.099853515625</x:v>
      </x:c>
      <x:c r="G2006" s="137" t="n">
        <x:v>3159.916748046875</x:v>
      </x:c>
      <x:c r="H2006" s="137" t="n">
        <x:v>148.71951293945312</x:v>
      </x:c>
      <x:c r="I2006" s="137" t="n">
        <x:v>1003.521949282896</x:v>
      </x:c>
      <x:c r="J2006" s="137" t="n">
        <x:v>1287.4002297320421</x:v>
      </x:c>
      <x:c r="K2006" s="136" t="str">
        <x:v>map-92</x:v>
      </x:c>
      <x:c r="L2006" s="136" t="str">
        <x:v>SouthMountain | Contention | Rocky Slopes||Gun | 3-inch Ordnance · Entity-1655 [map-92/014]</x:v>
      </x:c>
      <x:c r="M2006" s="35"/>
      <x:c r="N2006" s="35"/>
      <x:c r="O2006" s="35"/>
      <x:c r="P2006" s="35"/>
      <x:c r="Q2006" s="35"/>
      <x:c r="R2006" s="35"/>
      <x:c r="S2006" s="35"/>
      <x:c r="T2006" s="35"/>
      <x:c r="U2006" s="35"/>
      <x:c r="V2006" s="35"/>
      <x:c r="W2006" s="35"/>
      <x:c r="X2006" s="35"/>
      <x:c r="Y2006" s="35"/>
      <x:c r="Z2006" s="35"/>
      <x:c r="AA2006" s="35"/>
    </x:row>
    <x:row r="2007">
      <x:c r="A2007" s="136" t="str">
        <x:v>SouthMountain | Contention | Rocky Slopes</x:v>
      </x:c>
      <x:c r="B2007" s="136" t="str">
        <x:v>Gun | 3-inch Ordnance · Entity-1676 [map-92/015]</x:v>
      </x:c>
      <x:c r="C2007" s="136" t="str">
        <x:v>gun_spawn</x:v>
      </x:c>
      <x:c r="D2007" s="136" t="str"/>
      <x:c r="E2007" s="136" t="str">
        <x:v>3-inch Ordnance · Entity-1676</x:v>
      </x:c>
      <x:c r="F2007" s="137" t="n">
        <x:v>2196.982666015625</x:v>
      </x:c>
      <x:c r="G2007" s="137" t="n">
        <x:v>3587.81884765625</x:v>
      </x:c>
      <x:c r="H2007" s="137" t="n">
        <x:v>219.89498901367188</x:v>
      </x:c>
      <x:c r="I2007" s="137" t="n">
        <x:v>1128.0227611927803</x:v>
      </x:c>
      <x:c r="J2007" s="137" t="n">
        <x:v>614.8419030584811</x:v>
      </x:c>
      <x:c r="K2007" s="136" t="str">
        <x:v>map-92</x:v>
      </x:c>
      <x:c r="L2007" s="136" t="str">
        <x:v>SouthMountain | Contention | Rocky Slopes||Gun | 3-inch Ordnance · Entity-1676 [map-92/015]</x:v>
      </x:c>
      <x:c r="M2007" s="35"/>
      <x:c r="N2007" s="35"/>
      <x:c r="O2007" s="35"/>
      <x:c r="P2007" s="35"/>
      <x:c r="Q2007" s="35"/>
      <x:c r="R2007" s="35"/>
      <x:c r="S2007" s="35"/>
      <x:c r="T2007" s="35"/>
      <x:c r="U2007" s="35"/>
      <x:c r="V2007" s="35"/>
      <x:c r="W2007" s="35"/>
      <x:c r="X2007" s="35"/>
      <x:c r="Y2007" s="35"/>
      <x:c r="Z2007" s="35"/>
      <x:c r="AA2007" s="35"/>
    </x:row>
    <x:row r="2008">
      <x:c r="A2008" s="136" t="str">
        <x:v>SouthMountain | Contention | Rocky Slopes</x:v>
      </x:c>
      <x:c r="B2008" s="136" t="str">
        <x:v>Gun | 12-pounder Napoleon (USA) · Entity-1659 [map-92/016]</x:v>
      </x:c>
      <x:c r="C2008" s="136" t="str">
        <x:v>gun_spawn</x:v>
      </x:c>
      <x:c r="D2008" s="136" t="str"/>
      <x:c r="E2008" s="136" t="str">
        <x:v>12-pounder Napoleon (USA) · Entity-1659</x:v>
      </x:c>
      <x:c r="F2008" s="137" t="n">
        <x:v>2152.739501953125</x:v>
      </x:c>
      <x:c r="G2008" s="137" t="n">
        <x:v>3162.546875</x:v>
      </x:c>
      <x:c r="H2008" s="137" t="n">
        <x:v>156.13734436035156</x:v>
      </x:c>
      <x:c r="I2008" s="137" t="n">
        <x:v>1057.9702485090845</x:v>
      </x:c>
      <x:c r="J2008" s="137" t="n">
        <x:v>1283.266308014557</x:v>
      </x:c>
      <x:c r="K2008" s="136" t="str">
        <x:v>map-92</x:v>
      </x:c>
      <x:c r="L2008" s="136" t="str">
        <x:v>SouthMountain | Contention | Rocky Slopes||Gun | 12-pounder Napoleon (USA) · Entity-1659 [map-92/016]</x:v>
      </x:c>
      <x:c r="M2008" s="35"/>
      <x:c r="N2008" s="35"/>
      <x:c r="O2008" s="35"/>
      <x:c r="P2008" s="35"/>
      <x:c r="Q2008" s="35"/>
      <x:c r="R2008" s="35"/>
      <x:c r="S2008" s="35"/>
      <x:c r="T2008" s="35"/>
      <x:c r="U2008" s="35"/>
      <x:c r="V2008" s="35"/>
      <x:c r="W2008" s="35"/>
      <x:c r="X2008" s="35"/>
      <x:c r="Y2008" s="35"/>
      <x:c r="Z2008" s="35"/>
      <x:c r="AA2008" s="35"/>
    </x:row>
    <x:row r="2009">
      <x:c r="A2009" s="136" t="str">
        <x:v>SouthMountain | Contention | Rocky Slopes</x:v>
      </x:c>
      <x:c r="B2009" s="136" t="str">
        <x:v>Gun | 12-pounder Napoleon (USA) · Entity-1658 [map-92/017]</x:v>
      </x:c>
      <x:c r="C2009" s="136" t="str">
        <x:v>gun_spawn</x:v>
      </x:c>
      <x:c r="D2009" s="136" t="str"/>
      <x:c r="E2009" s="136" t="str">
        <x:v>12-pounder Napoleon (USA) · Entity-1658</x:v>
      </x:c>
      <x:c r="F2009" s="137" t="n">
        <x:v>2143.0888671875</x:v>
      </x:c>
      <x:c r="G2009" s="137" t="n">
        <x:v>3162.023193359375</x:v>
      </x:c>
      <x:c r="H2009" s="137" t="n">
        <x:v>153.94281005859375</x:v>
      </x:c>
      <x:c r="I2009" s="137" t="n">
        <x:v>1042.801159412884</x:v>
      </x:c>
      <x:c r="J2009" s="137" t="n">
        <x:v>1284.089408551455</x:v>
      </x:c>
      <x:c r="K2009" s="136" t="str">
        <x:v>map-92</x:v>
      </x:c>
      <x:c r="L2009" s="136" t="str">
        <x:v>SouthMountain | Contention | Rocky Slopes||Gun | 12-pounder Napoleon (USA) · Entity-1658 [map-92/017]</x:v>
      </x:c>
      <x:c r="M2009" s="35"/>
      <x:c r="N2009" s="35"/>
      <x:c r="O2009" s="35"/>
      <x:c r="P2009" s="35"/>
      <x:c r="Q2009" s="35"/>
      <x:c r="R2009" s="35"/>
      <x:c r="S2009" s="35"/>
      <x:c r="T2009" s="35"/>
      <x:c r="U2009" s="35"/>
      <x:c r="V2009" s="35"/>
      <x:c r="W2009" s="35"/>
      <x:c r="X2009" s="35"/>
      <x:c r="Y2009" s="35"/>
      <x:c r="Z2009" s="35"/>
      <x:c r="AA2009" s="35"/>
    </x:row>
    <x:row r="2010">
      <x:c r="A2010" s="136" t="str">
        <x:v>SouthMountain | Contention | Rocky Slopes</x:v>
      </x:c>
      <x:c r="B2010" s="136" t="str">
        <x:v>Gun | 12-pounder Napoleon (CSA) · Entity-1673 [map-92/018]</x:v>
      </x:c>
      <x:c r="C2010" s="136" t="str">
        <x:v>gun_spawn</x:v>
      </x:c>
      <x:c r="D2010" s="136" t="str"/>
      <x:c r="E2010" s="136" t="str">
        <x:v>12-pounder Napoleon (CSA) · Entity-1673</x:v>
      </x:c>
      <x:c r="F2010" s="137" t="n">
        <x:v>2174.09716796875</x:v>
      </x:c>
      <x:c r="G2010" s="137" t="n">
        <x:v>3589.113037109375</x:v>
      </x:c>
      <x:c r="H2010" s="137" t="n">
        <x:v>218.0746612548828</x:v>
      </x:c>
      <x:c r="I2010" s="137" t="n">
        <x:v>1092.053869534554</x:v>
      </x:c>
      <x:c r="J2010" s="137" t="n">
        <x:v>612.8077511022582</x:v>
      </x:c>
      <x:c r="K2010" s="136" t="str">
        <x:v>map-92</x:v>
      </x:c>
      <x:c r="L2010" s="136" t="str">
        <x:v>SouthMountain | Contention | Rocky Slopes||Gun | 12-pounder Napoleon (CSA) · Entity-1673 [map-92/018]</x:v>
      </x:c>
      <x:c r="M2010" s="35"/>
      <x:c r="N2010" s="35"/>
      <x:c r="O2010" s="35"/>
      <x:c r="P2010" s="35"/>
      <x:c r="Q2010" s="35"/>
      <x:c r="R2010" s="35"/>
      <x:c r="S2010" s="35"/>
      <x:c r="T2010" s="35"/>
      <x:c r="U2010" s="35"/>
      <x:c r="V2010" s="35"/>
      <x:c r="W2010" s="35"/>
      <x:c r="X2010" s="35"/>
      <x:c r="Y2010" s="35"/>
      <x:c r="Z2010" s="35"/>
      <x:c r="AA2010" s="35"/>
    </x:row>
    <x:row r="2011">
      <x:c r="A2011" s="136" t="str">
        <x:v>SouthMountain | Contention | Rocky Slopes</x:v>
      </x:c>
      <x:c r="B2011" s="136" t="str">
        <x:v>Gun | 3-inch Ordnance · Entity-1677 [map-92/019]</x:v>
      </x:c>
      <x:c r="C2011" s="136" t="str">
        <x:v>gun_spawn</x:v>
      </x:c>
      <x:c r="D2011" s="136" t="str"/>
      <x:c r="E2011" s="136" t="str">
        <x:v>3-inch Ordnance · Entity-1677</x:v>
      </x:c>
      <x:c r="F2011" s="137" t="n">
        <x:v>2204.2861328125</x:v>
      </x:c>
      <x:c r="G2011" s="137" t="n">
        <x:v>3586.8388671875</x:v>
      </x:c>
      <x:c r="H2011" s="137" t="n">
        <x:v>220.68272399902344</x:v>
      </x:c>
      <x:c r="I2011" s="137" t="n">
        <x:v>1139.5008576649814</x:v>
      </x:c>
      <x:c r="J2011" s="137" t="n">
        <x:v>616.3821946925651</x:v>
      </x:c>
      <x:c r="K2011" s="136" t="str">
        <x:v>map-92</x:v>
      </x:c>
      <x:c r="L2011" s="136" t="str">
        <x:v>SouthMountain | Contention | Rocky Slopes||Gun | 3-inch Ordnance · Entity-1677 [map-92/019]</x:v>
      </x:c>
      <x:c r="M2011" s="35"/>
      <x:c r="N2011" s="35"/>
      <x:c r="O2011" s="35"/>
      <x:c r="P2011" s="35"/>
      <x:c r="Q2011" s="35"/>
      <x:c r="R2011" s="35"/>
      <x:c r="S2011" s="35"/>
      <x:c r="T2011" s="35"/>
      <x:c r="U2011" s="35"/>
      <x:c r="V2011" s="35"/>
      <x:c r="W2011" s="35"/>
      <x:c r="X2011" s="35"/>
      <x:c r="Y2011" s="35"/>
      <x:c r="Z2011" s="35"/>
      <x:c r="AA2011" s="35"/>
    </x:row>
    <x:row r="2012">
      <x:c r="A2012" s="136" t="str">
        <x:v>SouthMountain | Contention | Rocky Slopes</x:v>
      </x:c>
      <x:c r="B2012" s="136" t="str">
        <x:v>Gun | 3-inch Ordnance · Entity-1675 [map-92/020]</x:v>
      </x:c>
      <x:c r="C2012" s="136" t="str">
        <x:v>gun_spawn</x:v>
      </x:c>
      <x:c r="D2012" s="136" t="str"/>
      <x:c r="E2012" s="136" t="str">
        <x:v>3-inch Ordnance · Entity-1675</x:v>
      </x:c>
      <x:c r="F2012" s="137" t="n">
        <x:v>2189.325927734375</x:v>
      </x:c>
      <x:c r="G2012" s="137" t="n">
        <x:v>3588.523681640625</x:v>
      </x:c>
      <x:c r="H2012" s="137" t="n">
        <x:v>219.1850128173828</x:v>
      </x:c>
      <x:c r="I2012" s="137" t="n">
        <x:v>1115.989075723619</x:v>
      </x:c>
      <x:c r="J2012" s="137" t="n">
        <x:v>613.7340749698911</x:v>
      </x:c>
      <x:c r="K2012" s="136" t="str">
        <x:v>map-92</x:v>
      </x:c>
      <x:c r="L2012" s="136" t="str">
        <x:v>SouthMountain | Contention | Rocky Slopes||Gun | 3-inch Ordnance · Entity-1675 [map-92/020]</x:v>
      </x:c>
      <x:c r="M2012" s="35"/>
      <x:c r="N2012" s="35"/>
      <x:c r="O2012" s="35"/>
      <x:c r="P2012" s="35"/>
      <x:c r="Q2012" s="35"/>
      <x:c r="R2012" s="35"/>
      <x:c r="S2012" s="35"/>
      <x:c r="T2012" s="35"/>
      <x:c r="U2012" s="35"/>
      <x:c r="V2012" s="35"/>
      <x:c r="W2012" s="35"/>
      <x:c r="X2012" s="35"/>
      <x:c r="Y2012" s="35"/>
      <x:c r="Z2012" s="35"/>
      <x:c r="AA2012" s="35"/>
    </x:row>
    <x:row r="2013">
      <x:c r="A2013" s="136" t="str">
        <x:v>SouthMountain | Contention | Rocky Slopes</x:v>
      </x:c>
      <x:c r="B2013" s="136" t="str">
        <x:v>Gun | 12-pounder Napoleon (CSA) · Entity-1672 [map-92/021]</x:v>
      </x:c>
      <x:c r="C2013" s="136" t="str">
        <x:v>gun_spawn</x:v>
      </x:c>
      <x:c r="D2013" s="136" t="str"/>
      <x:c r="E2013" s="136" t="str">
        <x:v>12-pounder Napoleon (CSA) · Entity-1672</x:v>
      </x:c>
      <x:c r="F2013" s="137" t="n">
        <x:v>2164.198974609375</x:v>
      </x:c>
      <x:c r="G2013" s="137" t="n">
        <x:v>3589.833740234375</x:v>
      </x:c>
      <x:c r="H2013" s="137" t="n">
        <x:v>217.01727294921875</x:v>
      </x:c>
      <x:c r="I2013" s="137" t="n">
        <x:v>1076.497179417834</x:v>
      </x:c>
      <x:c r="J2013" s="137" t="n">
        <x:v>611.6749805731561</x:v>
      </x:c>
      <x:c r="K2013" s="136" t="str">
        <x:v>map-92</x:v>
      </x:c>
      <x:c r="L2013" s="136" t="str">
        <x:v>SouthMountain | Contention | Rocky Slopes||Gun | 12-pounder Napoleon (CSA) · Entity-1672 [map-92/021]</x:v>
      </x:c>
      <x:c r="M2013" s="35"/>
      <x:c r="N2013" s="35"/>
      <x:c r="O2013" s="35"/>
      <x:c r="P2013" s="35"/>
      <x:c r="Q2013" s="35"/>
      <x:c r="R2013" s="35"/>
      <x:c r="S2013" s="35"/>
      <x:c r="T2013" s="35"/>
      <x:c r="U2013" s="35"/>
      <x:c r="V2013" s="35"/>
      <x:c r="W2013" s="35"/>
      <x:c r="X2013" s="35"/>
      <x:c r="Y2013" s="35"/>
      <x:c r="Z2013" s="35"/>
      <x:c r="AA2013" s="35"/>
    </x:row>
    <x:row r="2014">
      <x:c r="A2014" s="136" t="str">
        <x:v>SouthMountain | Contention | Rocky Slopes</x:v>
      </x:c>
      <x:c r="B2014" s="136" t="str">
        <x:v>Gun | 3-inch Ordnance · Entity-1654 [map-92/022]</x:v>
      </x:c>
      <x:c r="C2014" s="136" t="str">
        <x:v>gun_spawn</x:v>
      </x:c>
      <x:c r="D2014" s="136" t="str"/>
      <x:c r="E2014" s="136" t="str">
        <x:v>3-inch Ordnance · Entity-1654</x:v>
      </x:c>
      <x:c r="F2014" s="137" t="n">
        <x:v>2109.300048828125</x:v>
      </x:c>
      <x:c r="G2014" s="137" t="n">
        <x:v>3159.35595703125</x:v>
      </x:c>
      <x:c r="H2014" s="137" t="n">
        <x:v>147.14404296875</x:v>
      </x:c>
      <x:c r="I2014" s="137" t="n">
        <x:v>989.6901139644452</x:v>
      </x:c>
      <x:c r="J2014" s="137" t="n">
        <x:v>1288.2816572067534</x:v>
      </x:c>
      <x:c r="K2014" s="136" t="str">
        <x:v>map-92</x:v>
      </x:c>
      <x:c r="L2014" s="136" t="str">
        <x:v>SouthMountain | Contention | Rocky Slopes||Gun | 3-inch Ordnance · Entity-1654 [map-92/022]</x:v>
      </x:c>
      <x:c r="M2014" s="35"/>
      <x:c r="N2014" s="35"/>
      <x:c r="O2014" s="35"/>
      <x:c r="P2014" s="35"/>
      <x:c r="Q2014" s="35"/>
      <x:c r="R2014" s="35"/>
      <x:c r="S2014" s="35"/>
      <x:c r="T2014" s="35"/>
      <x:c r="U2014" s="35"/>
      <x:c r="V2014" s="35"/>
      <x:c r="W2014" s="35"/>
      <x:c r="X2014" s="35"/>
      <x:c r="Y2014" s="35"/>
      <x:c r="Z2014" s="35"/>
      <x:c r="AA2014" s="35"/>
    </x:row>
    <x:row r="2015">
      <x:c r="A2015" s="136" t="str">
        <x:v>SouthMountain | Contention | Rocky Slopes</x:v>
      </x:c>
      <x:c r="B2015" s="136" t="str">
        <x:v>Gun | 3-inch Ordnance · Entity-1656 [map-92/023]</x:v>
      </x:c>
      <x:c r="C2015" s="136" t="str">
        <x:v>gun_spawn</x:v>
      </x:c>
      <x:c r="D2015" s="136" t="str"/>
      <x:c r="E2015" s="136" t="str">
        <x:v>3-inch Ordnance · Entity-1656</x:v>
      </x:c>
      <x:c r="F2015" s="137" t="n">
        <x:v>2125.478759765625</x:v>
      </x:c>
      <x:c r="G2015" s="137" t="n">
        <x:v>3160.4814453125</x:v>
      </x:c>
      <x:c r="H2015" s="137" t="n">
        <x:v>150.09283447265625</x:v>
      </x:c>
      <x:c r="I2015" s="137" t="n">
        <x:v>1015.1204815628344</x:v>
      </x:c>
      <x:c r="J2015" s="137" t="n">
        <x:v>1286.5126625796663</x:v>
      </x:c>
      <x:c r="K2015" s="136" t="str">
        <x:v>map-92</x:v>
      </x:c>
      <x:c r="L2015" s="136" t="str">
        <x:v>SouthMountain | Contention | Rocky Slopes||Gun | 3-inch Ordnance · Entity-1656 [map-92/023]</x:v>
      </x:c>
      <x:c r="M2015" s="35"/>
      <x:c r="N2015" s="35"/>
      <x:c r="O2015" s="35"/>
      <x:c r="P2015" s="35"/>
      <x:c r="Q2015" s="35"/>
      <x:c r="R2015" s="35"/>
      <x:c r="S2015" s="35"/>
      <x:c r="T2015" s="35"/>
      <x:c r="U2015" s="35"/>
      <x:c r="V2015" s="35"/>
      <x:c r="W2015" s="35"/>
      <x:c r="X2015" s="35"/>
      <x:c r="Y2015" s="35"/>
      <x:c r="Z2015" s="35"/>
      <x:c r="AA2015" s="35"/>
    </x:row>
    <x:row r="2016">
      <x:c r="A2016" s="136" t="str">
        <x:v>SouthMountain | Contention | Rocky Slopes</x:v>
      </x:c>
      <x:c r="B2016" s="136" t="str">
        <x:v>Gun | 12-pounder Napoleon (USA) · Entity-1657 [map-92/024]</x:v>
      </x:c>
      <x:c r="C2016" s="136" t="str">
        <x:v>gun_spawn</x:v>
      </x:c>
      <x:c r="D2016" s="136" t="str"/>
      <x:c r="E2016" s="136" t="str">
        <x:v>12-pounder Napoleon (USA) · Entity-1657</x:v>
      </x:c>
      <x:c r="F2016" s="137" t="n">
        <x:v>2133.615234375</x:v>
      </x:c>
      <x:c r="G2016" s="137" t="n">
        <x:v>3161.1962890625</x:v>
      </x:c>
      <x:c r="H2016" s="137" t="n">
        <x:v>151.81591796875</x:v>
      </x:c>
      <x:c r="I2016" s="137" t="n">
        <x:v>1027.9099086955198</x:v>
      </x:c>
      <x:c r="J2016" s="137" t="n">
        <x:v>1285.3891015670613</x:v>
      </x:c>
      <x:c r="K2016" s="136" t="str">
        <x:v>map-92</x:v>
      </x:c>
      <x:c r="L2016" s="136" t="str">
        <x:v>SouthMountain | Contention | Rocky Slopes||Gun | 12-pounder Napoleon (USA) · Entity-1657 [map-92/024]</x:v>
      </x:c>
      <x:c r="M2016" s="35"/>
      <x:c r="N2016" s="35"/>
      <x:c r="O2016" s="35"/>
      <x:c r="P2016" s="35"/>
      <x:c r="Q2016" s="35"/>
      <x:c r="R2016" s="35"/>
      <x:c r="S2016" s="35"/>
      <x:c r="T2016" s="35"/>
      <x:c r="U2016" s="35"/>
      <x:c r="V2016" s="35"/>
      <x:c r="W2016" s="35"/>
      <x:c r="X2016" s="35"/>
      <x:c r="Y2016" s="35"/>
      <x:c r="Z2016" s="35"/>
      <x:c r="AA2016" s="35"/>
    </x:row>
    <x:row r="2017">
      <x:c r="A2017" s="136" t="str">
        <x:v>SouthMountain | Contention | Rocky Slopes</x:v>
      </x:c>
      <x:c r="B2017" s="136" t="str">
        <x:v>Gun | 12-pounder Napoleon (USA) · Entity-1674 [map-92/025]</x:v>
      </x:c>
      <x:c r="C2017" s="136" t="str">
        <x:v>gun_spawn</x:v>
      </x:c>
      <x:c r="D2017" s="136" t="str"/>
      <x:c r="E2017" s="136" t="str">
        <x:v>12-pounder Napoleon (USA) · Entity-1674</x:v>
      </x:c>
      <x:c r="F2017" s="137" t="n">
        <x:v>2182.50927734375</x:v>
      </x:c>
      <x:c r="G2017" s="137" t="n">
        <x:v>3588.51708984375</x:v>
      </x:c>
      <x:c r="H2017" s="137" t="n">
        <x:v>218.4510498046875</x:v>
      </x:c>
      <x:c r="I2017" s="137" t="n">
        <x:v>1105.2749465177747</x:v>
      </x:c>
      <x:c r="J2017" s="137" t="n">
        <x:v>613.74443567595</x:v>
      </x:c>
      <x:c r="K2017" s="136" t="str">
        <x:v>map-92</x:v>
      </x:c>
      <x:c r="L2017" s="136" t="str">
        <x:v>SouthMountain | Contention | Rocky Slopes||Gun | 12-pounder Napoleon (USA) · Entity-1674 [map-92/025]</x:v>
      </x:c>
      <x:c r="M2017" s="35"/>
      <x:c r="N2017" s="35"/>
      <x:c r="O2017" s="35"/>
      <x:c r="P2017" s="35"/>
      <x:c r="Q2017" s="35"/>
      <x:c r="R2017" s="35"/>
      <x:c r="S2017" s="35"/>
      <x:c r="T2017" s="35"/>
      <x:c r="U2017" s="35"/>
      <x:c r="V2017" s="35"/>
      <x:c r="W2017" s="35"/>
      <x:c r="X2017" s="35"/>
      <x:c r="Y2017" s="35"/>
      <x:c r="Z2017" s="35"/>
      <x:c r="AA2017" s="35"/>
    </x:row>
    <x:row r="2018">
      <x:c r="A2018" s="136" t="str">
        <x:v>SouthMountain | Contention | Hilltop</x:v>
      </x:c>
      <x:c r="B2018" s="136" t="str">
        <x:v>Spawn | CSA CQ4_Spawnpoint_CSA_Infantry_1 [map-93/001]</x:v>
      </x:c>
      <x:c r="C2018" s="136" t="str">
        <x:v>spawn</x:v>
      </x:c>
      <x:c r="D2018" s="136" t="str">
        <x:v>CSA</x:v>
      </x:c>
      <x:c r="E2018" s="136" t="str">
        <x:v>CQ4_Spawnpoint_CSA_Infantry_1</x:v>
      </x:c>
      <x:c r="F2018" s="137" t="n">
        <x:v>3236.953369140625</x:v>
      </x:c>
      <x:c r="G2018" s="137" t="n">
        <x:v>3555.422607421875</x:v>
      </x:c>
      <x:c r="H2018" s="137" t="n">
        <x:v>177.28775024414062</x:v>
      </x:c>
      <x:c r="I2018" s="137" t="n">
        <x:v>1587.5685855094428</x:v>
      </x:c>
      <x:c r="J2018" s="137" t="n">
        <x:v>1127.538087313817</x:v>
      </x:c>
      <x:c r="K2018" s="136" t="str">
        <x:v>map-93</x:v>
      </x:c>
      <x:c r="L2018" s="136" t="str">
        <x:v>SouthMountain | Contention | Hilltop||Spawn | CSA CQ4_Spawnpoint_CSA_Infantry_1 [map-93/001]</x:v>
      </x:c>
      <x:c r="M2018" s="35"/>
      <x:c r="N2018" s="35"/>
      <x:c r="O2018" s="35"/>
      <x:c r="P2018" s="35"/>
      <x:c r="Q2018" s="35"/>
      <x:c r="R2018" s="35"/>
      <x:c r="S2018" s="35"/>
      <x:c r="T2018" s="35"/>
      <x:c r="U2018" s="35"/>
      <x:c r="V2018" s="35"/>
      <x:c r="W2018" s="35"/>
      <x:c r="X2018" s="35"/>
      <x:c r="Y2018" s="35"/>
      <x:c r="Z2018" s="35"/>
      <x:c r="AA2018" s="35"/>
    </x:row>
    <x:row r="2019">
      <x:c r="A2019" s="136" t="str">
        <x:v>SouthMountain | Contention | Hilltop</x:v>
      </x:c>
      <x:c r="B2019" s="136" t="str">
        <x:v>Spawn | USA CQ4_Spawnpoint_USA_Infantry_0 [map-93/002]</x:v>
      </x:c>
      <x:c r="C2019" s="136" t="str">
        <x:v>spawn</x:v>
      </x:c>
      <x:c r="D2019" s="136" t="str">
        <x:v>USA</x:v>
      </x:c>
      <x:c r="E2019" s="136" t="str">
        <x:v>CQ4_Spawnpoint_USA_Infantry_0</x:v>
      </x:c>
      <x:c r="F2019" s="137" t="n">
        <x:v>2702.80859375</x:v>
      </x:c>
      <x:c r="G2019" s="137" t="n">
        <x:v>3724.1474609375</x:v>
      </x:c>
      <x:c r="H2019" s="137" t="n">
        <x:v>241.45835876464844</x:v>
      </x:c>
      <x:c r="I2019" s="137" t="n">
        <x:v>619.4902660481044</x:v>
      </x:c>
      <x:c r="J2019" s="137" t="n">
        <x:v>821.4720995753709</x:v>
      </x:c>
      <x:c r="K2019" s="136" t="str">
        <x:v>map-93</x:v>
      </x:c>
      <x:c r="L2019" s="136" t="str">
        <x:v>SouthMountain | Contention | Hilltop||Spawn | USA CQ4_Spawnpoint_USA_Infantry_0 [map-93/002]</x:v>
      </x:c>
      <x:c r="M2019" s="35"/>
      <x:c r="N2019" s="35"/>
      <x:c r="O2019" s="35"/>
      <x:c r="P2019" s="35"/>
      <x:c r="Q2019" s="35"/>
      <x:c r="R2019" s="35"/>
      <x:c r="S2019" s="35"/>
      <x:c r="T2019" s="35"/>
      <x:c r="U2019" s="35"/>
      <x:c r="V2019" s="35"/>
      <x:c r="W2019" s="35"/>
      <x:c r="X2019" s="35"/>
      <x:c r="Y2019" s="35"/>
      <x:c r="Z2019" s="35"/>
      <x:c r="AA2019" s="35"/>
    </x:row>
    <x:row r="2020">
      <x:c r="A2020" s="136" t="str">
        <x:v>SouthMountain | Contention | Hilltop</x:v>
      </x:c>
      <x:c r="B2020" s="136" t="str">
        <x:v>Spawn | USA CQ4_Spawnpoint_USA_Infantry_1 [map-93/003]</x:v>
      </x:c>
      <x:c r="C2020" s="136" t="str">
        <x:v>spawn</x:v>
      </x:c>
      <x:c r="D2020" s="136" t="str">
        <x:v>USA</x:v>
      </x:c>
      <x:c r="E2020" s="136" t="str">
        <x:v>CQ4_Spawnpoint_USA_Infantry_1</x:v>
      </x:c>
      <x:c r="F2020" s="137" t="n">
        <x:v>2692.16064453125</x:v>
      </x:c>
      <x:c r="G2020" s="137" t="n">
        <x:v>3739.64306640625</x:v>
      </x:c>
      <x:c r="H2020" s="137" t="n">
        <x:v>240.99148559570312</x:v>
      </x:c>
      <x:c r="I2020" s="137" t="n">
        <x:v>600.1920359421209</x:v>
      </x:c>
      <x:c r="J2020" s="137" t="n">
        <x:v>793.3631535927386</x:v>
      </x:c>
      <x:c r="K2020" s="136" t="str">
        <x:v>map-93</x:v>
      </x:c>
      <x:c r="L2020" s="136" t="str">
        <x:v>SouthMountain | Contention | Hilltop||Spawn | USA CQ4_Spawnpoint_USA_Infantry_1 [map-93/003]</x:v>
      </x:c>
      <x:c r="M2020" s="35"/>
      <x:c r="N2020" s="35"/>
      <x:c r="O2020" s="35"/>
      <x:c r="P2020" s="35"/>
      <x:c r="Q2020" s="35"/>
      <x:c r="R2020" s="35"/>
      <x:c r="S2020" s="35"/>
      <x:c r="T2020" s="35"/>
      <x:c r="U2020" s="35"/>
      <x:c r="V2020" s="35"/>
      <x:c r="W2020" s="35"/>
      <x:c r="X2020" s="35"/>
      <x:c r="Y2020" s="35"/>
      <x:c r="Z2020" s="35"/>
      <x:c r="AA2020" s="35"/>
    </x:row>
    <x:row r="2021">
      <x:c r="A2021" s="136" t="str">
        <x:v>SouthMountain | Contention | Hilltop</x:v>
      </x:c>
      <x:c r="B2021" s="136" t="str">
        <x:v>Objective | Victory_Conquest_4 [map-93/004]</x:v>
      </x:c>
      <x:c r="C2021" s="136" t="str">
        <x:v>objective</x:v>
      </x:c>
      <x:c r="D2021" s="136" t="str"/>
      <x:c r="E2021" s="136" t="str">
        <x:v>Victory_Conquest_4</x:v>
      </x:c>
      <x:c r="F2021" s="137" t="n">
        <x:v>2799.034423828125</x:v>
      </x:c>
      <x:c r="G2021" s="137" t="n">
        <x:v>3534.801025390625</x:v>
      </x:c>
      <x:c r="H2021" s="137" t="n">
        <x:v>261.27325439453125</x:v>
      </x:c>
      <x:c r="I2021" s="137" t="n">
        <x:v>793.8889387725153</x:v>
      </x:c>
      <x:c r="J2021" s="137" t="n">
        <x:v>1164.9455275433588</x:v>
      </x:c>
      <x:c r="K2021" s="136" t="str">
        <x:v>map-93</x:v>
      </x:c>
      <x:c r="L2021" s="136" t="str">
        <x:v>SouthMountain | Contention | Hilltop||Objective | Victory_Conquest_4 [map-93/004]</x:v>
      </x:c>
      <x:c r="M2021" s="35"/>
      <x:c r="N2021" s="35"/>
      <x:c r="O2021" s="35"/>
      <x:c r="P2021" s="35"/>
      <x:c r="Q2021" s="35"/>
      <x:c r="R2021" s="35"/>
      <x:c r="S2021" s="35"/>
      <x:c r="T2021" s="35"/>
      <x:c r="U2021" s="35"/>
      <x:c r="V2021" s="35"/>
      <x:c r="W2021" s="35"/>
      <x:c r="X2021" s="35"/>
      <x:c r="Y2021" s="35"/>
      <x:c r="Z2021" s="35"/>
      <x:c r="AA2021" s="35"/>
    </x:row>
    <x:row r="2022">
      <x:c r="A2022" s="136" t="str">
        <x:v>SouthMountain | Contention | Hilltop</x:v>
      </x:c>
      <x:c r="B2022" s="136" t="str">
        <x:v>Artillery | CSA CQ4_Spawnpoint_CSA_Artillery_Staging [map-93/005]</x:v>
      </x:c>
      <x:c r="C2022" s="136" t="str">
        <x:v>battery</x:v>
      </x:c>
      <x:c r="D2022" s="136" t="str">
        <x:v>CSA</x:v>
      </x:c>
      <x:c r="E2022" s="136" t="str">
        <x:v>CQ4_Spawnpoint_CSA_Artillery_Staging</x:v>
      </x:c>
      <x:c r="F2022" s="137" t="n">
        <x:v>3222.713623046875</x:v>
      </x:c>
      <x:c r="G2022" s="137" t="n">
        <x:v>3543.923095703125</x:v>
      </x:c>
      <x:c r="H2022" s="137" t="n">
        <x:v>179.71435546875</x:v>
      </x:c>
      <x:c r="I2022" s="137" t="n">
        <x:v>1561.7606208842858</x:v>
      </x:c>
      <x:c r="J2022" s="137" t="n">
        <x:v>1148.3981404676526</x:v>
      </x:c>
      <x:c r="K2022" s="136" t="str">
        <x:v>map-93</x:v>
      </x:c>
      <x:c r="L2022" s="136" t="str">
        <x:v>SouthMountain | Contention | Hilltop||Artillery | CSA CQ4_Spawnpoint_CSA_Artillery_Staging [map-93/005]</x:v>
      </x:c>
      <x:c r="M2022" s="35"/>
      <x:c r="N2022" s="35"/>
      <x:c r="O2022" s="35"/>
      <x:c r="P2022" s="35"/>
      <x:c r="Q2022" s="35"/>
      <x:c r="R2022" s="35"/>
      <x:c r="S2022" s="35"/>
      <x:c r="T2022" s="35"/>
      <x:c r="U2022" s="35"/>
      <x:c r="V2022" s="35"/>
      <x:c r="W2022" s="35"/>
      <x:c r="X2022" s="35"/>
      <x:c r="Y2022" s="35"/>
      <x:c r="Z2022" s="35"/>
      <x:c r="AA2022" s="35"/>
    </x:row>
    <x:row r="2023">
      <x:c r="A2023" s="136" t="str">
        <x:v>SouthMountain | Contention | Hilltop</x:v>
      </x:c>
      <x:c r="B2023" s="136" t="str">
        <x:v>Artillery | USA CQ4_Spawnpoint_USA_Artillery_Staging [map-93/006]</x:v>
      </x:c>
      <x:c r="C2023" s="136" t="str">
        <x:v>battery</x:v>
      </x:c>
      <x:c r="D2023" s="136" t="str">
        <x:v>USA</x:v>
      </x:c>
      <x:c r="E2023" s="136" t="str">
        <x:v>CQ4_Spawnpoint_USA_Artillery_Staging</x:v>
      </x:c>
      <x:c r="F2023" s="137" t="n">
        <x:v>2673.397216796875</x:v>
      </x:c>
      <x:c r="G2023" s="137" t="n">
        <x:v>3710.533935546875</x:v>
      </x:c>
      <x:c r="H2023" s="137" t="n">
        <x:v>248.83839416503906</x:v>
      </x:c>
      <x:c r="I2023" s="137" t="n">
        <x:v>566.1853987431628</x:v>
      </x:c>
      <x:c r="J2023" s="137" t="n">
        <x:v>846.1669622969331</x:v>
      </x:c>
      <x:c r="K2023" s="136" t="str">
        <x:v>map-93</x:v>
      </x:c>
      <x:c r="L2023" s="136" t="str">
        <x:v>SouthMountain | Contention | Hilltop||Artillery | USA CQ4_Spawnpoint_USA_Artillery_Staging [map-93/006]</x:v>
      </x:c>
      <x:c r="M2023" s="35"/>
      <x:c r="N2023" s="35"/>
      <x:c r="O2023" s="35"/>
      <x:c r="P2023" s="35"/>
      <x:c r="Q2023" s="35"/>
      <x:c r="R2023" s="35"/>
      <x:c r="S2023" s="35"/>
      <x:c r="T2023" s="35"/>
      <x:c r="U2023" s="35"/>
      <x:c r="V2023" s="35"/>
      <x:c r="W2023" s="35"/>
      <x:c r="X2023" s="35"/>
      <x:c r="Y2023" s="35"/>
      <x:c r="Z2023" s="35"/>
      <x:c r="AA2023" s="35"/>
    </x:row>
    <x:row r="2024">
      <x:c r="A2024" s="136" t="str">
        <x:v>SouthMountain | Contention | Hilltop</x:v>
      </x:c>
      <x:c r="B2024" s="136" t="str">
        <x:v>Artillery | USA CQ4_Spawnpoint_USA_Artillery_Forward [map-93/007]</x:v>
      </x:c>
      <x:c r="C2024" s="136" t="str">
        <x:v>battery</x:v>
      </x:c>
      <x:c r="D2024" s="136" t="str">
        <x:v>USA</x:v>
      </x:c>
      <x:c r="E2024" s="136" t="str">
        <x:v>CQ4_Spawnpoint_USA_Artillery_Forward</x:v>
      </x:c>
      <x:c r="F2024" s="137" t="n">
        <x:v>2669.3525390625</x:v>
      </x:c>
      <x:c r="G2024" s="137" t="n">
        <x:v>3440.341796875</x:v>
      </x:c>
      <x:c r="H2024" s="137" t="n">
        <x:v>267.61737060546875</x:v>
      </x:c>
      <x:c r="I2024" s="137" t="n">
        <x:v>558.8548677630685</x:v>
      </x:c>
      <x:c r="J2024" s="137" t="n">
        <x:v>1336.2940661507373</x:v>
      </x:c>
      <x:c r="K2024" s="136" t="str">
        <x:v>map-93</x:v>
      </x:c>
      <x:c r="L2024" s="136" t="str">
        <x:v>SouthMountain | Contention | Hilltop||Artillery | USA CQ4_Spawnpoint_USA_Artillery_Forward [map-93/007]</x:v>
      </x:c>
      <x:c r="M2024" s="35"/>
      <x:c r="N2024" s="35"/>
      <x:c r="O2024" s="35"/>
      <x:c r="P2024" s="35"/>
      <x:c r="Q2024" s="35"/>
      <x:c r="R2024" s="35"/>
      <x:c r="S2024" s="35"/>
      <x:c r="T2024" s="35"/>
      <x:c r="U2024" s="35"/>
      <x:c r="V2024" s="35"/>
      <x:c r="W2024" s="35"/>
      <x:c r="X2024" s="35"/>
      <x:c r="Y2024" s="35"/>
      <x:c r="Z2024" s="35"/>
      <x:c r="AA2024" s="35"/>
    </x:row>
    <x:row r="2025">
      <x:c r="A2025" s="136" t="str">
        <x:v>SouthMountain | Contention | Hilltop</x:v>
      </x:c>
      <x:c r="B2025" s="136" t="str">
        <x:v>Spawn | CSA CQ4_Spawnpoint_CSA_Infantry_0 [map-93/008]</x:v>
      </x:c>
      <x:c r="C2025" s="136" t="str">
        <x:v>spawn</x:v>
      </x:c>
      <x:c r="D2025" s="136" t="str">
        <x:v>CSA</x:v>
      </x:c>
      <x:c r="E2025" s="136" t="str">
        <x:v>CQ4_Spawnpoint_CSA_Infantry_0</x:v>
      </x:c>
      <x:c r="F2025" s="137" t="n">
        <x:v>3238.084228515625</x:v>
      </x:c>
      <x:c r="G2025" s="137" t="n">
        <x:v>3572.642822265625</x:v>
      </x:c>
      <x:c r="H2025" s="137" t="n">
        <x:v>175.46597290039062</x:v>
      </x:c>
      <x:c r="I2025" s="137" t="n">
        <x:v>1589.6181430334238</x:v>
      </x:c>
      <x:c r="J2025" s="137" t="n">
        <x:v>1096.300709088845</x:v>
      </x:c>
      <x:c r="K2025" s="136" t="str">
        <x:v>map-93</x:v>
      </x:c>
      <x:c r="L2025" s="136" t="str">
        <x:v>SouthMountain | Contention | Hilltop||Spawn | CSA CQ4_Spawnpoint_CSA_Infantry_0 [map-93/008]</x:v>
      </x:c>
      <x:c r="M2025" s="35"/>
      <x:c r="N2025" s="35"/>
      <x:c r="O2025" s="35"/>
      <x:c r="P2025" s="35"/>
      <x:c r="Q2025" s="35"/>
      <x:c r="R2025" s="35"/>
      <x:c r="S2025" s="35"/>
      <x:c r="T2025" s="35"/>
      <x:c r="U2025" s="35"/>
      <x:c r="V2025" s="35"/>
      <x:c r="W2025" s="35"/>
      <x:c r="X2025" s="35"/>
      <x:c r="Y2025" s="35"/>
      <x:c r="Z2025" s="35"/>
      <x:c r="AA2025" s="35"/>
    </x:row>
    <x:row r="2026">
      <x:c r="A2026" s="136" t="str">
        <x:v>SouthMountain | Contention | Hilltop</x:v>
      </x:c>
      <x:c r="B2026" s="136" t="str">
        <x:v>Artillery | CSA CQ4_Spawnpoint_CSA_Artillery_Forward [map-93/009]</x:v>
      </x:c>
      <x:c r="C2026" s="136" t="str">
        <x:v>battery</x:v>
      </x:c>
      <x:c r="D2026" s="136" t="str">
        <x:v>CSA</x:v>
      </x:c>
      <x:c r="E2026" s="136" t="str">
        <x:v>CQ4_Spawnpoint_CSA_Artillery_Forward</x:v>
      </x:c>
      <x:c r="F2026" s="137" t="n">
        <x:v>2990.02490234375</x:v>
      </x:c>
      <x:c r="G2026" s="137" t="n">
        <x:v>3444.084228515625</x:v>
      </x:c>
      <x:c r="H2026" s="137" t="n">
        <x:v>222.63807678222656</x:v>
      </x:c>
      <x:c r="I2026" s="137" t="n">
        <x:v>1140.0380541304417</x:v>
      </x:c>
      <x:c r="J2026" s="137" t="n">
        <x:v>1329.5053150404842</x:v>
      </x:c>
      <x:c r="K2026" s="136" t="str">
        <x:v>map-93</x:v>
      </x:c>
      <x:c r="L2026" s="136" t="str">
        <x:v>SouthMountain | Contention | Hilltop||Artillery | CSA CQ4_Spawnpoint_CSA_Artillery_Forward [map-93/009]</x:v>
      </x:c>
      <x:c r="M2026" s="35"/>
      <x:c r="N2026" s="35"/>
      <x:c r="O2026" s="35"/>
      <x:c r="P2026" s="35"/>
      <x:c r="Q2026" s="35"/>
      <x:c r="R2026" s="35"/>
      <x:c r="S2026" s="35"/>
      <x:c r="T2026" s="35"/>
      <x:c r="U2026" s="35"/>
      <x:c r="V2026" s="35"/>
      <x:c r="W2026" s="35"/>
      <x:c r="X2026" s="35"/>
      <x:c r="Y2026" s="35"/>
      <x:c r="Z2026" s="35"/>
      <x:c r="AA2026" s="35"/>
    </x:row>
    <x:row r="2027">
      <x:c r="A2027" s="136" t="str">
        <x:v>SouthMountain | Contention | Hilltop</x:v>
      </x:c>
      <x:c r="B2027" s="136" t="str">
        <x:v>Gun | 3-inch Ordnance · Entity-1679 [map-93/010]</x:v>
      </x:c>
      <x:c r="C2027" s="136" t="str">
        <x:v>gun_spawn</x:v>
      </x:c>
      <x:c r="D2027" s="136" t="str"/>
      <x:c r="E2027" s="136" t="str">
        <x:v>3-inch Ordnance · Entity-1679</x:v>
      </x:c>
      <x:c r="F2027" s="137" t="n">
        <x:v>2709.389404296875</x:v>
      </x:c>
      <x:c r="G2027" s="137" t="n">
        <x:v>3455.861572265625</x:v>
      </x:c>
      <x:c r="H2027" s="137" t="n">
        <x:v>267.5865478515625</x:v>
      </x:c>
      <x:c r="I2027" s="137" t="n">
        <x:v>631.4172572093551</x:v>
      </x:c>
      <x:c r="J2027" s="137" t="n">
        <x:v>1308.1412760582537</x:v>
      </x:c>
      <x:c r="K2027" s="136" t="str">
        <x:v>map-93</x:v>
      </x:c>
      <x:c r="L2027" s="136" t="str">
        <x:v>SouthMountain | Contention | Hilltop||Gun | 3-inch Ordnance · Entity-1679 [map-93/010]</x:v>
      </x:c>
      <x:c r="M2027" s="35"/>
      <x:c r="N2027" s="35"/>
      <x:c r="O2027" s="35"/>
      <x:c r="P2027" s="35"/>
      <x:c r="Q2027" s="35"/>
      <x:c r="R2027" s="35"/>
      <x:c r="S2027" s="35"/>
      <x:c r="T2027" s="35"/>
      <x:c r="U2027" s="35"/>
      <x:c r="V2027" s="35"/>
      <x:c r="W2027" s="35"/>
      <x:c r="X2027" s="35"/>
      <x:c r="Y2027" s="35"/>
      <x:c r="Z2027" s="35"/>
      <x:c r="AA2027" s="35"/>
    </x:row>
    <x:row r="2028">
      <x:c r="A2028" s="136" t="str">
        <x:v>SouthMountain | Contention | Hilltop</x:v>
      </x:c>
      <x:c r="B2028" s="136" t="str">
        <x:v>Gun | 3-inch Ordnance · Entity-1678 [map-93/011]</x:v>
      </x:c>
      <x:c r="C2028" s="136" t="str">
        <x:v>gun_spawn</x:v>
      </x:c>
      <x:c r="D2028" s="136" t="str"/>
      <x:c r="E2028" s="136" t="str">
        <x:v>3-inch Ordnance · Entity-1678</x:v>
      </x:c>
      <x:c r="F2028" s="137" t="n">
        <x:v>2709.2509765625</x:v>
      </x:c>
      <x:c r="G2028" s="137" t="n">
        <x:v>3463.229736328125</x:v>
      </x:c>
      <x:c r="H2028" s="137" t="n">
        <x:v>267.5647277832031</x:v>
      </x:c>
      <x:c r="I2028" s="137" t="n">
        <x:v>631.1663722533756</x:v>
      </x:c>
      <x:c r="J2028" s="137" t="n">
        <x:v>1294.775465600465</x:v>
      </x:c>
      <x:c r="K2028" s="136" t="str">
        <x:v>map-93</x:v>
      </x:c>
      <x:c r="L2028" s="136" t="str">
        <x:v>SouthMountain | Contention | Hilltop||Gun | 3-inch Ordnance · Entity-1678 [map-93/011]</x:v>
      </x:c>
      <x:c r="M2028" s="35"/>
      <x:c r="N2028" s="35"/>
      <x:c r="O2028" s="35"/>
      <x:c r="P2028" s="35"/>
      <x:c r="Q2028" s="35"/>
      <x:c r="R2028" s="35"/>
      <x:c r="S2028" s="35"/>
      <x:c r="T2028" s="35"/>
      <x:c r="U2028" s="35"/>
      <x:c r="V2028" s="35"/>
      <x:c r="W2028" s="35"/>
      <x:c r="X2028" s="35"/>
      <x:c r="Y2028" s="35"/>
      <x:c r="Z2028" s="35"/>
      <x:c r="AA2028" s="35"/>
    </x:row>
    <x:row r="2029">
      <x:c r="A2029" s="136" t="str">
        <x:v>SouthMountain | Contention | Hilltop</x:v>
      </x:c>
      <x:c r="B2029" s="136" t="str">
        <x:v>Gun | 12-pounder Napoleon (CSA) · Entity-1682 [map-93/012]</x:v>
      </x:c>
      <x:c r="C2029" s="136" t="str">
        <x:v>gun_spawn</x:v>
      </x:c>
      <x:c r="D2029" s="136" t="str"/>
      <x:c r="E2029" s="136" t="str">
        <x:v>12-pounder Napoleon (CSA) · Entity-1682</x:v>
      </x:c>
      <x:c r="F2029" s="137" t="n">
        <x:v>2711.578125</x:v>
      </x:c>
      <x:c r="G2029" s="137" t="n">
        <x:v>3433.04443359375</x:v>
      </x:c>
      <x:c r="H2029" s="137" t="n">
        <x:v>267.4690856933594</x:v>
      </x:c>
      <x:c r="I2029" s="137" t="n">
        <x:v>635.3840713722418</x:v>
      </x:c>
      <x:c r="J2029" s="137" t="n">
        <x:v>1349.5314443675466</x:v>
      </x:c>
      <x:c r="K2029" s="136" t="str">
        <x:v>map-93</x:v>
      </x:c>
      <x:c r="L2029" s="136" t="str">
        <x:v>SouthMountain | Contention | Hilltop||Gun | 12-pounder Napoleon (CSA) · Entity-1682 [map-93/012]</x:v>
      </x:c>
      <x:c r="M2029" s="35"/>
      <x:c r="N2029" s="35"/>
      <x:c r="O2029" s="35"/>
      <x:c r="P2029" s="35"/>
      <x:c r="Q2029" s="35"/>
      <x:c r="R2029" s="35"/>
      <x:c r="S2029" s="35"/>
      <x:c r="T2029" s="35"/>
      <x:c r="U2029" s="35"/>
      <x:c r="V2029" s="35"/>
      <x:c r="W2029" s="35"/>
      <x:c r="X2029" s="35"/>
      <x:c r="Y2029" s="35"/>
      <x:c r="Z2029" s="35"/>
      <x:c r="AA2029" s="35"/>
    </x:row>
    <x:row r="2030">
      <x:c r="A2030" s="136" t="str">
        <x:v>SouthMountain | Contention | Hilltop</x:v>
      </x:c>
      <x:c r="B2030" s="136" t="str">
        <x:v>Gun | 3-inch Ordnance · Entity-1692 [map-93/013]</x:v>
      </x:c>
      <x:c r="C2030" s="136" t="str">
        <x:v>gun_spawn</x:v>
      </x:c>
      <x:c r="D2030" s="136" t="str"/>
      <x:c r="E2030" s="136" t="str">
        <x:v>3-inch Ordnance · Entity-1692</x:v>
      </x:c>
      <x:c r="F2030" s="137" t="n">
        <x:v>2950.77734375</x:v>
      </x:c>
      <x:c r="G2030" s="137" t="n">
        <x:v>3431.973876953125</x:v>
      </x:c>
      <x:c r="H2030" s="137" t="n">
        <x:v>230.68832397460938</x:v>
      </x:c>
      <x:c r="I2030" s="137" t="n">
        <x:v>1068.9061956589028</x:v>
      </x:c>
      <x:c r="J2030" s="137" t="n">
        <x:v>1351.4734284251144</x:v>
      </x:c>
      <x:c r="K2030" s="136" t="str">
        <x:v>map-93</x:v>
      </x:c>
      <x:c r="L2030" s="136" t="str">
        <x:v>SouthMountain | Contention | Hilltop||Gun | 3-inch Ordnance · Entity-1692 [map-93/013]</x:v>
      </x:c>
      <x:c r="M2030" s="35"/>
      <x:c r="N2030" s="35"/>
      <x:c r="O2030" s="35"/>
      <x:c r="P2030" s="35"/>
      <x:c r="Q2030" s="35"/>
      <x:c r="R2030" s="35"/>
      <x:c r="S2030" s="35"/>
      <x:c r="T2030" s="35"/>
      <x:c r="U2030" s="35"/>
      <x:c r="V2030" s="35"/>
      <x:c r="W2030" s="35"/>
      <x:c r="X2030" s="35"/>
      <x:c r="Y2030" s="35"/>
      <x:c r="Z2030" s="35"/>
      <x:c r="AA2030" s="35"/>
    </x:row>
    <x:row r="2031">
      <x:c r="A2031" s="136" t="str">
        <x:v>SouthMountain | Contention | Hilltop</x:v>
      </x:c>
      <x:c r="B2031" s="136" t="str">
        <x:v>Gun | 12-pounder Napoleon (CSA) · Entity-1683 [map-93/014]</x:v>
      </x:c>
      <x:c r="C2031" s="136" t="str">
        <x:v>gun_spawn</x:v>
      </x:c>
      <x:c r="D2031" s="136" t="str"/>
      <x:c r="E2031" s="136" t="str">
        <x:v>12-pounder Napoleon (CSA) · Entity-1683</x:v>
      </x:c>
      <x:c r="F2031" s="137" t="n">
        <x:v>2712.365478515625</x:v>
      </x:c>
      <x:c r="G2031" s="137" t="n">
        <x:v>3423.15185546875</x:v>
      </x:c>
      <x:c r="H2031" s="137" t="n">
        <x:v>266.6916809082031</x:v>
      </x:c>
      <x:c r="I2031" s="137" t="n">
        <x:v>636.8110625239774</x:v>
      </x:c>
      <x:c r="J2031" s="137" t="n">
        <x:v>1367.476528520946</x:v>
      </x:c>
      <x:c r="K2031" s="136" t="str">
        <x:v>map-93</x:v>
      </x:c>
      <x:c r="L2031" s="136" t="str">
        <x:v>SouthMountain | Contention | Hilltop||Gun | 12-pounder Napoleon (CSA) · Entity-1683 [map-93/014]</x:v>
      </x:c>
      <x:c r="M2031" s="35"/>
      <x:c r="N2031" s="35"/>
      <x:c r="O2031" s="35"/>
      <x:c r="P2031" s="35"/>
      <x:c r="Q2031" s="35"/>
      <x:c r="R2031" s="35"/>
      <x:c r="S2031" s="35"/>
      <x:c r="T2031" s="35"/>
      <x:c r="U2031" s="35"/>
      <x:c r="V2031" s="35"/>
      <x:c r="W2031" s="35"/>
      <x:c r="X2031" s="35"/>
      <x:c r="Y2031" s="35"/>
      <x:c r="Z2031" s="35"/>
      <x:c r="AA2031" s="35"/>
    </x:row>
    <x:row r="2032">
      <x:c r="A2032" s="136" t="str">
        <x:v>SouthMountain | Contention | Hilltop</x:v>
      </x:c>
      <x:c r="B2032" s="136" t="str">
        <x:v>Gun | 12-pounder Napoleon (USA) · Entity-1681 [map-93/015]</x:v>
      </x:c>
      <x:c r="C2032" s="136" t="str">
        <x:v>gun_spawn</x:v>
      </x:c>
      <x:c r="D2032" s="136" t="str"/>
      <x:c r="E2032" s="136" t="str">
        <x:v>12-pounder Napoleon (USA) · Entity-1681</x:v>
      </x:c>
      <x:c r="F2032" s="137" t="n">
        <x:v>2710.892333984375</x:v>
      </x:c>
      <x:c r="G2032" s="137" t="n">
        <x:v>3441.44970703125</x:v>
      </x:c>
      <x:c r="H2032" s="137" t="n">
        <x:v>267.50714111328125</x:v>
      </x:c>
      <x:c r="I2032" s="137" t="n">
        <x:v>634.1411510171332</x:v>
      </x:c>
      <x:c r="J2032" s="137" t="n">
        <x:v>1334.2843230143078</x:v>
      </x:c>
      <x:c r="K2032" s="136" t="str">
        <x:v>map-93</x:v>
      </x:c>
      <x:c r="L2032" s="136" t="str">
        <x:v>SouthMountain | Contention | Hilltop||Gun | 12-pounder Napoleon (USA) · Entity-1681 [map-93/015]</x:v>
      </x:c>
      <x:c r="M2032" s="35"/>
      <x:c r="N2032" s="35"/>
      <x:c r="O2032" s="35"/>
      <x:c r="P2032" s="35"/>
      <x:c r="Q2032" s="35"/>
      <x:c r="R2032" s="35"/>
      <x:c r="S2032" s="35"/>
      <x:c r="T2032" s="35"/>
      <x:c r="U2032" s="35"/>
      <x:c r="V2032" s="35"/>
      <x:c r="W2032" s="35"/>
      <x:c r="X2032" s="35"/>
      <x:c r="Y2032" s="35"/>
      <x:c r="Z2032" s="35"/>
      <x:c r="AA2032" s="35"/>
    </x:row>
    <x:row r="2033">
      <x:c r="A2033" s="136" t="str">
        <x:v>SouthMountain | Contention | Hilltop</x:v>
      </x:c>
      <x:c r="B2033" s="136" t="str">
        <x:v>Gun | 3-inch Ordnance · Entity-1680 [map-93/016]</x:v>
      </x:c>
      <x:c r="C2033" s="136" t="str">
        <x:v>gun_spawn</x:v>
      </x:c>
      <x:c r="D2033" s="136" t="str"/>
      <x:c r="E2033" s="136" t="str">
        <x:v>3-inch Ordnance · Entity-1680</x:v>
      </x:c>
      <x:c r="F2033" s="137" t="n">
        <x:v>2709.852783203125</x:v>
      </x:c>
      <x:c r="G2033" s="137" t="n">
        <x:v>3448.1865234375</x:v>
      </x:c>
      <x:c r="H2033" s="137" t="n">
        <x:v>267.55877685546875</x:v>
      </x:c>
      <x:c r="I2033" s="137" t="n">
        <x:v>632.2570802189657</x:v>
      </x:c>
      <x:c r="J2033" s="137" t="n">
        <x:v>1322.0637738502185</x:v>
      </x:c>
      <x:c r="K2033" s="136" t="str">
        <x:v>map-93</x:v>
      </x:c>
      <x:c r="L2033" s="136" t="str">
        <x:v>SouthMountain | Contention | Hilltop||Gun | 3-inch Ordnance · Entity-1680 [map-93/016]</x:v>
      </x:c>
      <x:c r="M2033" s="35"/>
      <x:c r="N2033" s="35"/>
      <x:c r="O2033" s="35"/>
      <x:c r="P2033" s="35"/>
      <x:c r="Q2033" s="35"/>
      <x:c r="R2033" s="35"/>
      <x:c r="S2033" s="35"/>
      <x:c r="T2033" s="35"/>
      <x:c r="U2033" s="35"/>
      <x:c r="V2033" s="35"/>
      <x:c r="W2033" s="35"/>
      <x:c r="X2033" s="35"/>
      <x:c r="Y2033" s="35"/>
      <x:c r="Z2033" s="35"/>
      <x:c r="AA2033" s="35"/>
    </x:row>
    <x:row r="2034">
      <x:c r="A2034" s="136" t="str">
        <x:v>SouthMountain | Contention | Hilltop</x:v>
      </x:c>
      <x:c r="B2034" s="136" t="str">
        <x:v>Gun | 3-inch Ordnance · Entity-1691 [map-93/017]</x:v>
      </x:c>
      <x:c r="C2034" s="136" t="str">
        <x:v>gun_spawn</x:v>
      </x:c>
      <x:c r="D2034" s="136" t="str"/>
      <x:c r="E2034" s="136" t="str">
        <x:v>3-inch Ordnance · Entity-1691</x:v>
      </x:c>
      <x:c r="F2034" s="137" t="n">
        <x:v>2951.56591796875</x:v>
      </x:c>
      <x:c r="G2034" s="137" t="n">
        <x:v>3424.615234375</x:v>
      </x:c>
      <x:c r="H2034" s="137" t="n">
        <x:v>230.51768493652344</x:v>
      </x:c>
      <x:c r="I2034" s="137" t="n">
        <x:v>1070.3353992000207</x:v>
      </x:c>
      <x:c r="J2034" s="137" t="n">
        <x:v>1364.8219669608404</x:v>
      </x:c>
      <x:c r="K2034" s="136" t="str">
        <x:v>map-93</x:v>
      </x:c>
      <x:c r="L2034" s="136" t="str">
        <x:v>SouthMountain | Contention | Hilltop||Gun | 3-inch Ordnance · Entity-1691 [map-93/017]</x:v>
      </x:c>
      <x:c r="M2034" s="35"/>
      <x:c r="N2034" s="35"/>
      <x:c r="O2034" s="35"/>
      <x:c r="P2034" s="35"/>
      <x:c r="Q2034" s="35"/>
      <x:c r="R2034" s="35"/>
      <x:c r="S2034" s="35"/>
      <x:c r="T2034" s="35"/>
      <x:c r="U2034" s="35"/>
      <x:c r="V2034" s="35"/>
      <x:c r="W2034" s="35"/>
      <x:c r="X2034" s="35"/>
      <x:c r="Y2034" s="35"/>
      <x:c r="Z2034" s="35"/>
      <x:c r="AA2034" s="35"/>
    </x:row>
    <x:row r="2035">
      <x:c r="A2035" s="136" t="str">
        <x:v>SouthMountain | Contention | Hilltop</x:v>
      </x:c>
      <x:c r="B2035" s="136" t="str">
        <x:v>Gun | 12-pounder Napoleon (USA) · Entity-1694 [map-93/018]</x:v>
      </x:c>
      <x:c r="C2035" s="136" t="str">
        <x:v>gun_spawn</x:v>
      </x:c>
      <x:c r="D2035" s="136" t="str"/>
      <x:c r="E2035" s="136" t="str">
        <x:v>12-pounder Napoleon (USA) · Entity-1694</x:v>
      </x:c>
      <x:c r="F2035" s="137" t="n">
        <x:v>2948.702392578125</x:v>
      </x:c>
      <x:c r="G2035" s="137" t="n">
        <x:v>3449.529296875</x:v>
      </x:c>
      <x:c r="H2035" s="137" t="n">
        <x:v>231.08021545410156</x:v>
      </x:c>
      <x:c r="I2035" s="137" t="n">
        <x:v>1065.1455761864681</x:v>
      </x:c>
      <x:c r="J2035" s="137" t="n">
        <x:v>1319.6279899695744</x:v>
      </x:c>
      <x:c r="K2035" s="136" t="str">
        <x:v>map-93</x:v>
      </x:c>
      <x:c r="L2035" s="136" t="str">
        <x:v>SouthMountain | Contention | Hilltop||Gun | 12-pounder Napoleon (USA) · Entity-1694 [map-93/018]</x:v>
      </x:c>
      <x:c r="M2035" s="35"/>
      <x:c r="N2035" s="35"/>
      <x:c r="O2035" s="35"/>
      <x:c r="P2035" s="35"/>
      <x:c r="Q2035" s="35"/>
      <x:c r="R2035" s="35"/>
      <x:c r="S2035" s="35"/>
      <x:c r="T2035" s="35"/>
      <x:c r="U2035" s="35"/>
      <x:c r="V2035" s="35"/>
      <x:c r="W2035" s="35"/>
      <x:c r="X2035" s="35"/>
      <x:c r="Y2035" s="35"/>
      <x:c r="Z2035" s="35"/>
      <x:c r="AA2035" s="35"/>
    </x:row>
    <x:row r="2036">
      <x:c r="A2036" s="136" t="str">
        <x:v>SouthMountain | Contention | Hilltop</x:v>
      </x:c>
      <x:c r="B2036" s="136" t="str">
        <x:v>Gun | 3-inch Ordnance · Entity-1690 [map-93/019]</x:v>
      </x:c>
      <x:c r="C2036" s="136" t="str">
        <x:v>gun_spawn</x:v>
      </x:c>
      <x:c r="D2036" s="136" t="str"/>
      <x:c r="E2036" s="136" t="str">
        <x:v>3-inch Ordnance · Entity-1690</x:v>
      </x:c>
      <x:c r="F2036" s="137" t="n">
        <x:v>2952.39306640625</x:v>
      </x:c>
      <x:c r="G2036" s="137" t="n">
        <x:v>3415.836669921875</x:v>
      </x:c>
      <x:c r="H2036" s="137" t="n">
        <x:v>230.35653686523438</x:v>
      </x:c>
      <x:c r="I2036" s="137" t="n">
        <x:v>1071.8345142456271</x:v>
      </x:c>
      <x:c r="J2036" s="137" t="n">
        <x:v>1380.7462362328981</x:v>
      </x:c>
      <x:c r="K2036" s="136" t="str">
        <x:v>map-93</x:v>
      </x:c>
      <x:c r="L2036" s="136" t="str">
        <x:v>SouthMountain | Contention | Hilltop||Gun | 3-inch Ordnance · Entity-1690 [map-93/019]</x:v>
      </x:c>
      <x:c r="M2036" s="35"/>
      <x:c r="N2036" s="35"/>
      <x:c r="O2036" s="35"/>
      <x:c r="P2036" s="35"/>
      <x:c r="Q2036" s="35"/>
      <x:c r="R2036" s="35"/>
      <x:c r="S2036" s="35"/>
      <x:c r="T2036" s="35"/>
      <x:c r="U2036" s="35"/>
      <x:c r="V2036" s="35"/>
      <x:c r="W2036" s="35"/>
      <x:c r="X2036" s="35"/>
      <x:c r="Y2036" s="35"/>
      <x:c r="Z2036" s="35"/>
      <x:c r="AA2036" s="35"/>
    </x:row>
    <x:row r="2037">
      <x:c r="A2037" s="136" t="str">
        <x:v>SouthMountain | Contention | Hilltop</x:v>
      </x:c>
      <x:c r="B2037" s="136" t="str">
        <x:v>Gun | 12-pounder Napoleon (USA) · Entity-1693 [map-93/020]</x:v>
      </x:c>
      <x:c r="C2037" s="136" t="str">
        <x:v>gun_spawn</x:v>
      </x:c>
      <x:c r="D2037" s="136" t="str"/>
      <x:c r="E2037" s="136" t="str">
        <x:v>12-pounder Napoleon (USA) · Entity-1693</x:v>
      </x:c>
      <x:c r="F2037" s="137" t="n">
        <x:v>2949.81640625</x:v>
      </x:c>
      <x:c r="G2037" s="137" t="n">
        <x:v>3440.084716796875</x:v>
      </x:c>
      <x:c r="H2037" s="137" t="n">
        <x:v>230.829345703125</x:v>
      </x:c>
      <x:c r="I2037" s="137" t="n">
        <x:v>1067.1646027369704</x:v>
      </x:c>
      <x:c r="J2037" s="137" t="n">
        <x:v>1336.7604080464316</x:v>
      </x:c>
      <x:c r="K2037" s="136" t="str">
        <x:v>map-93</x:v>
      </x:c>
      <x:c r="L2037" s="136" t="str">
        <x:v>SouthMountain | Contention | Hilltop||Gun | 12-pounder Napoleon (USA) · Entity-1693 [map-93/020]</x:v>
      </x:c>
      <x:c r="M2037" s="35"/>
      <x:c r="N2037" s="35"/>
      <x:c r="O2037" s="35"/>
      <x:c r="P2037" s="35"/>
      <x:c r="Q2037" s="35"/>
      <x:c r="R2037" s="35"/>
      <x:c r="S2037" s="35"/>
      <x:c r="T2037" s="35"/>
      <x:c r="U2037" s="35"/>
      <x:c r="V2037" s="35"/>
      <x:c r="W2037" s="35"/>
      <x:c r="X2037" s="35"/>
      <x:c r="Y2037" s="35"/>
      <x:c r="Z2037" s="35"/>
      <x:c r="AA2037" s="35"/>
    </x:row>
    <x:row r="2038">
      <x:c r="A2038" s="136" t="str">
        <x:v>SouthMountain | Contention | Hilltop</x:v>
      </x:c>
      <x:c r="B2038" s="136" t="str">
        <x:v>Gun | 12-pounder Napoleon (USA) · Entity-1695 [map-93/021]</x:v>
      </x:c>
      <x:c r="C2038" s="136" t="str">
        <x:v>gun_spawn</x:v>
      </x:c>
      <x:c r="D2038" s="136" t="str"/>
      <x:c r="E2038" s="136" t="str">
        <x:v>12-pounder Napoleon (USA) · Entity-1695</x:v>
      </x:c>
      <x:c r="F2038" s="137" t="n">
        <x:v>2947.885986328125</x:v>
      </x:c>
      <x:c r="G2038" s="137" t="n">
        <x:v>3459.159423828125</x:v>
      </x:c>
      <x:c r="H2038" s="137" t="n">
        <x:v>232.0943603515625</x:v>
      </x:c>
      <x:c r="I2038" s="137" t="n">
        <x:v>1063.6659301674283</x:v>
      </x:c>
      <x:c r="J2038" s="137" t="n">
        <x:v>1302.1589908473918</x:v>
      </x:c>
      <x:c r="K2038" s="136" t="str">
        <x:v>map-93</x:v>
      </x:c>
      <x:c r="L2038" s="136" t="str">
        <x:v>SouthMountain | Contention | Hilltop||Gun | 12-pounder Napoleon (USA) · Entity-1695 [map-93/021]</x:v>
      </x:c>
      <x:c r="M2038" s="35"/>
      <x:c r="N2038" s="35"/>
      <x:c r="O2038" s="35"/>
      <x:c r="P2038" s="35"/>
      <x:c r="Q2038" s="35"/>
      <x:c r="R2038" s="35"/>
      <x:c r="S2038" s="35"/>
      <x:c r="T2038" s="35"/>
      <x:c r="U2038" s="35"/>
      <x:c r="V2038" s="35"/>
      <x:c r="W2038" s="35"/>
      <x:c r="X2038" s="35"/>
      <x:c r="Y2038" s="35"/>
      <x:c r="Z2038" s="35"/>
      <x:c r="AA2038" s="35"/>
    </x:row>
    <x:row r="2039">
      <x:c r="A2039" s="136" t="str">
        <x:v>SouthMountain | Skirmish | Garland's Stand</x:v>
      </x:c>
      <x:c r="B2039" s="136" t="str">
        <x:v>Spawn | USA Spawnpoint_FGGS_Base_USA_OH30th-2 [map-94/001]</x:v>
      </x:c>
      <x:c r="C2039" s="136" t="str">
        <x:v>spawn</x:v>
      </x:c>
      <x:c r="D2039" s="136" t="str">
        <x:v>USA</x:v>
      </x:c>
      <x:c r="E2039" s="136" t="str">
        <x:v>Spawnpoint_FGGS_Base_USA_OH30th-2</x:v>
      </x:c>
      <x:c r="F2039" s="137" t="n">
        <x:v>2374.97998046875</x:v>
      </x:c>
      <x:c r="G2039" s="137" t="n">
        <x:v>1688.0052490234375</x:v>
      </x:c>
      <x:c r="H2039" s="137" t="n">
        <x:v>172.40199279785156</x:v>
      </x:c>
      <x:c r="I2039" s="137" t="n">
        <x:v>1404.6163043478261</x:v>
      </x:c>
      <x:c r="J2039" s="137" t="n">
        <x:v>1343.779379011953</x:v>
      </x:c>
      <x:c r="K2039" s="136" t="str">
        <x:v>map-94</x:v>
      </x:c>
      <x:c r="L2039" s="136" t="str">
        <x:v>SouthMountain | Skirmish | Garland's Stand||Spawn | USA Spawnpoint_FGGS_Base_USA_OH30th-2 [map-94/001]</x:v>
      </x:c>
      <x:c r="M2039" s="35"/>
      <x:c r="N2039" s="35"/>
      <x:c r="O2039" s="35"/>
      <x:c r="P2039" s="35"/>
      <x:c r="Q2039" s="35"/>
      <x:c r="R2039" s="35"/>
      <x:c r="S2039" s="35"/>
      <x:c r="T2039" s="35"/>
      <x:c r="U2039" s="35"/>
      <x:c r="V2039" s="35"/>
      <x:c r="W2039" s="35"/>
      <x:c r="X2039" s="35"/>
      <x:c r="Y2039" s="35"/>
      <x:c r="Z2039" s="35"/>
      <x:c r="AA2039" s="35"/>
    </x:row>
    <x:row r="2040">
      <x:c r="A2040" s="136" t="str">
        <x:v>SouthMountain | Skirmish | Garland's Stand</x:v>
      </x:c>
      <x:c r="B2040" s="136" t="str">
        <x:v>Spawn | CSA Spawnpoint_FGGS_Defend_CSA_NC13th-2 [map-94/002]</x:v>
      </x:c>
      <x:c r="C2040" s="136" t="str">
        <x:v>spawn</x:v>
      </x:c>
      <x:c r="D2040" s="136" t="str">
        <x:v>CSA</x:v>
      </x:c>
      <x:c r="E2040" s="136" t="str">
        <x:v>Spawnpoint_FGGS_Defend_CSA_NC13th-2</x:v>
      </x:c>
      <x:c r="F2040" s="137" t="n">
        <x:v>2096.93408203125</x:v>
      </x:c>
      <x:c r="G2040" s="137" t="n">
        <x:v>1955.35009765625</x:v>
      </x:c>
      <x:c r="H2040" s="137" t="n">
        <x:v>196.84889221191406</x:v>
      </x:c>
      <x:c r="I2040" s="137" t="n">
        <x:v>785.6619565217391</x:v>
      </x:c>
      <x:c r="J2040" s="137" t="n">
        <x:v>747.9989114439875</x:v>
      </x:c>
      <x:c r="K2040" s="136" t="str">
        <x:v>map-94</x:v>
      </x:c>
      <x:c r="L2040" s="136" t="str">
        <x:v>SouthMountain | Skirmish | Garland's Stand||Spawn | CSA Spawnpoint_FGGS_Defend_CSA_NC13th-2 [map-94/002]</x:v>
      </x:c>
      <x:c r="M2040" s="35"/>
      <x:c r="N2040" s="35"/>
      <x:c r="O2040" s="35"/>
      <x:c r="P2040" s="35"/>
      <x:c r="Q2040" s="35"/>
      <x:c r="R2040" s="35"/>
      <x:c r="S2040" s="35"/>
      <x:c r="T2040" s="35"/>
      <x:c r="U2040" s="35"/>
      <x:c r="V2040" s="35"/>
      <x:c r="W2040" s="35"/>
      <x:c r="X2040" s="35"/>
      <x:c r="Y2040" s="35"/>
      <x:c r="Z2040" s="35"/>
      <x:c r="AA2040" s="35"/>
    </x:row>
    <x:row r="2041">
      <x:c r="A2041" s="136" t="str">
        <x:v>SouthMountain | Skirmish | Garland's Stand</x:v>
      </x:c>
      <x:c r="B2041" s="136" t="str">
        <x:v>Objective | Victory_Foxs_Gap_Garlands_Stand [map-94/003]</x:v>
      </x:c>
      <x:c r="C2041" s="136" t="str">
        <x:v>objective</x:v>
      </x:c>
      <x:c r="D2041" s="136" t="str"/>
      <x:c r="E2041" s="136" t="str">
        <x:v>Victory_Foxs_Gap_Garlands_Stand</x:v>
      </x:c>
      <x:c r="F2041" s="137" t="n">
        <x:v>2140.341552734375</x:v>
      </x:c>
      <x:c r="G2041" s="137" t="n">
        <x:v>1991.0579833984375</x:v>
      </x:c>
      <x:c r="H2041" s="137" t="n">
        <x:v>190.88824462890625</x:v>
      </x:c>
      <x:c r="I2041" s="137" t="n">
        <x:v>882.2907608695651</x:v>
      </x:c>
      <x:c r="J2041" s="137" t="n">
        <x:v>668.4235578430545</x:v>
      </x:c>
      <x:c r="K2041" s="136" t="str">
        <x:v>map-94</x:v>
      </x:c>
      <x:c r="L2041" s="136" t="str">
        <x:v>SouthMountain | Skirmish | Garland's Stand||Objective | Victory_Foxs_Gap_Garlands_Stand [map-94/003]</x:v>
      </x:c>
      <x:c r="M2041" s="35"/>
      <x:c r="N2041" s="35"/>
      <x:c r="O2041" s="35"/>
      <x:c r="P2041" s="35"/>
      <x:c r="Q2041" s="35"/>
      <x:c r="R2041" s="35"/>
      <x:c r="S2041" s="35"/>
      <x:c r="T2041" s="35"/>
      <x:c r="U2041" s="35"/>
      <x:c r="V2041" s="35"/>
      <x:c r="W2041" s="35"/>
      <x:c r="X2041" s="35"/>
      <x:c r="Y2041" s="35"/>
      <x:c r="Z2041" s="35"/>
      <x:c r="AA2041" s="35"/>
    </x:row>
    <x:row r="2042">
      <x:c r="A2042" s="136" t="str">
        <x:v>SouthMountain | Skirmish | Garland's Stand</x:v>
      </x:c>
      <x:c r="B2042" s="136" t="str">
        <x:v>Artillery | USA Spawnpoint_FGGS_USA_Arty_Crome_Forward [map-94/004]</x:v>
      </x:c>
      <x:c r="C2042" s="136" t="str">
        <x:v>battery</x:v>
      </x:c>
      <x:c r="D2042" s="136" t="str">
        <x:v>USA</x:v>
      </x:c>
      <x:c r="E2042" s="136" t="str">
        <x:v>Spawnpoint_FGGS_USA_Arty_Crome_Forward</x:v>
      </x:c>
      <x:c r="F2042" s="137" t="n">
        <x:v>2245.170166015625</x:v>
      </x:c>
      <x:c r="G2042" s="137" t="n">
        <x:v>1619.1494140625</x:v>
      </x:c>
      <x:c r="H2042" s="137" t="n">
        <x:v>179.1157989501953</x:v>
      </x:c>
      <x:c r="I2042" s="137" t="n">
        <x:v>1115.6483695652175</x:v>
      </x:c>
      <x:c r="J2042" s="137" t="n">
        <x:v>1497.2252439971933</x:v>
      </x:c>
      <x:c r="K2042" s="136" t="str">
        <x:v>map-94</x:v>
      </x:c>
      <x:c r="L2042" s="136" t="str">
        <x:v>SouthMountain | Skirmish | Garland's Stand||Artillery | USA Spawnpoint_FGGS_USA_Arty_Crome_Forward [map-94/004]</x:v>
      </x:c>
      <x:c r="M2042" s="35"/>
      <x:c r="N2042" s="35"/>
      <x:c r="O2042" s="35"/>
      <x:c r="P2042" s="35"/>
      <x:c r="Q2042" s="35"/>
      <x:c r="R2042" s="35"/>
      <x:c r="S2042" s="35"/>
      <x:c r="T2042" s="35"/>
      <x:c r="U2042" s="35"/>
      <x:c r="V2042" s="35"/>
      <x:c r="W2042" s="35"/>
      <x:c r="X2042" s="35"/>
      <x:c r="Y2042" s="35"/>
      <x:c r="Z2042" s="35"/>
      <x:c r="AA2042" s="35"/>
    </x:row>
    <x:row r="2043">
      <x:c r="A2043" s="136" t="str">
        <x:v>SouthMountain | Skirmish | Garland's Stand</x:v>
      </x:c>
      <x:c r="B2043" s="136" t="str">
        <x:v>Spawn | CSA Spawnpoint_FGGS_Base_CSA_NC13th-2 [map-94/005]</x:v>
      </x:c>
      <x:c r="C2043" s="136" t="str">
        <x:v>spawn</x:v>
      </x:c>
      <x:c r="D2043" s="136" t="str">
        <x:v>CSA</x:v>
      </x:c>
      <x:c r="E2043" s="136" t="str">
        <x:v>Spawnpoint_FGGS_Base_CSA_NC13th-2</x:v>
      </x:c>
      <x:c r="F2043" s="137" t="n">
        <x:v>1944.481689453125</x:v>
      </x:c>
      <x:c r="G2043" s="137" t="n">
        <x:v>2049.818359375</x:v>
      </x:c>
      <x:c r="H2043" s="137" t="n">
        <x:v>194.72393798828125</x:v>
      </x:c>
      <x:c r="I2043" s="137" t="n">
        <x:v>446.28967391304343</x:v>
      </x:c>
      <x:c r="J2043" s="137" t="n">
        <x:v>537.4755165667166</x:v>
      </x:c>
      <x:c r="K2043" s="136" t="str">
        <x:v>map-94</x:v>
      </x:c>
      <x:c r="L2043" s="136" t="str">
        <x:v>SouthMountain | Skirmish | Garland's Stand||Spawn | CSA Spawnpoint_FGGS_Base_CSA_NC13th-2 [map-94/005]</x:v>
      </x:c>
      <x:c r="M2043" s="35"/>
      <x:c r="N2043" s="35"/>
      <x:c r="O2043" s="35"/>
      <x:c r="P2043" s="35"/>
      <x:c r="Q2043" s="35"/>
      <x:c r="R2043" s="35"/>
      <x:c r="S2043" s="35"/>
      <x:c r="T2043" s="35"/>
      <x:c r="U2043" s="35"/>
      <x:c r="V2043" s="35"/>
      <x:c r="W2043" s="35"/>
      <x:c r="X2043" s="35"/>
      <x:c r="Y2043" s="35"/>
      <x:c r="Z2043" s="35"/>
      <x:c r="AA2043" s="35"/>
    </x:row>
    <x:row r="2044">
      <x:c r="A2044" s="136" t="str">
        <x:v>SouthMountain | Skirmish | Garland's Stand</x:v>
      </x:c>
      <x:c r="B2044" s="136" t="str">
        <x:v>Artillery | USA Spawnpoint_FGGS_USA_Arty_Base [map-94/006]</x:v>
      </x:c>
      <x:c r="C2044" s="136" t="str">
        <x:v>battery</x:v>
      </x:c>
      <x:c r="D2044" s="136" t="str">
        <x:v>USA</x:v>
      </x:c>
      <x:c r="E2044" s="136" t="str">
        <x:v>Spawnpoint_FGGS_USA_Arty_Base</x:v>
      </x:c>
      <x:c r="F2044" s="137" t="n">
        <x:v>2418.047607421875</x:v>
      </x:c>
      <x:c r="G2044" s="137" t="n">
        <x:v>1680.3643798828125</x:v>
      </x:c>
      <x:c r="H2044" s="137" t="n">
        <x:v>172.50889587402344</x:v>
      </x:c>
      <x:c r="I2044" s="137" t="n">
        <x:v>1500.4885869565219</x:v>
      </x:c>
      <x:c r="J2044" s="137" t="n">
        <x:v>1360.8071265541532</x:v>
      </x:c>
      <x:c r="K2044" s="136" t="str">
        <x:v>map-94</x:v>
      </x:c>
      <x:c r="L2044" s="136" t="str">
        <x:v>SouthMountain | Skirmish | Garland's Stand||Artillery | USA Spawnpoint_FGGS_USA_Arty_Base [map-94/006]</x:v>
      </x:c>
      <x:c r="M2044" s="35"/>
      <x:c r="N2044" s="35"/>
      <x:c r="O2044" s="35"/>
      <x:c r="P2044" s="35"/>
      <x:c r="Q2044" s="35"/>
      <x:c r="R2044" s="35"/>
      <x:c r="S2044" s="35"/>
      <x:c r="T2044" s="35"/>
      <x:c r="U2044" s="35"/>
      <x:c r="V2044" s="35"/>
      <x:c r="W2044" s="35"/>
      <x:c r="X2044" s="35"/>
      <x:c r="Y2044" s="35"/>
      <x:c r="Z2044" s="35"/>
      <x:c r="AA2044" s="35"/>
    </x:row>
    <x:row r="2045">
      <x:c r="A2045" s="136" t="str">
        <x:v>SouthMountain | Skirmish | Garland's Stand</x:v>
      </x:c>
      <x:c r="B2045" s="136" t="str">
        <x:v>Spawn | CSA Spawnpoint_FGGS_Defend_CSA_NC20th [map-94/007]</x:v>
      </x:c>
      <x:c r="C2045" s="136" t="str">
        <x:v>spawn</x:v>
      </x:c>
      <x:c r="D2045" s="136" t="str">
        <x:v>CSA</x:v>
      </x:c>
      <x:c r="E2045" s="136" t="str">
        <x:v>Spawnpoint_FGGS_Defend_CSA_NC20th</x:v>
      </x:c>
      <x:c r="F2045" s="137" t="n">
        <x:v>2086.749267578125</x:v>
      </x:c>
      <x:c r="G2045" s="137" t="n">
        <x:v>1904.1246337890625</x:v>
      </x:c>
      <x:c r="H2045" s="137" t="n">
        <x:v>200.7632293701172</x:v>
      </x:c>
      <x:c r="I2045" s="137" t="n">
        <x:v>762.9896739130436</x:v>
      </x:c>
      <x:c r="J2045" s="137" t="n">
        <x:v>862.1553314021506</x:v>
      </x:c>
      <x:c r="K2045" s="136" t="str">
        <x:v>map-94</x:v>
      </x:c>
      <x:c r="L2045" s="136" t="str">
        <x:v>SouthMountain | Skirmish | Garland's Stand||Spawn | CSA Spawnpoint_FGGS_Defend_CSA_NC20th [map-94/007]</x:v>
      </x:c>
      <x:c r="M2045" s="35"/>
      <x:c r="N2045" s="35"/>
      <x:c r="O2045" s="35"/>
      <x:c r="P2045" s="35"/>
      <x:c r="Q2045" s="35"/>
      <x:c r="R2045" s="35"/>
      <x:c r="S2045" s="35"/>
      <x:c r="T2045" s="35"/>
      <x:c r="U2045" s="35"/>
      <x:c r="V2045" s="35"/>
      <x:c r="W2045" s="35"/>
      <x:c r="X2045" s="35"/>
      <x:c r="Y2045" s="35"/>
      <x:c r="Z2045" s="35"/>
      <x:c r="AA2045" s="35"/>
    </x:row>
    <x:row r="2046">
      <x:c r="A2046" s="136" t="str">
        <x:v>SouthMountain | Skirmish | Garland's Stand</x:v>
      </x:c>
      <x:c r="B2046" s="136" t="str">
        <x:v>Spawn | USA Spawnpoint_FGGS_Base_USA_OH12th-2 [map-94/008]</x:v>
      </x:c>
      <x:c r="C2046" s="136" t="str">
        <x:v>spawn</x:v>
      </x:c>
      <x:c r="D2046" s="136" t="str">
        <x:v>USA</x:v>
      </x:c>
      <x:c r="E2046" s="136" t="str">
        <x:v>Spawnpoint_FGGS_Base_USA_OH12th-2</x:v>
      </x:c>
      <x:c r="F2046" s="137" t="n">
        <x:v>2417.03369140625</x:v>
      </x:c>
      <x:c r="G2046" s="137" t="n">
        <x:v>1654.4393310546875</x:v>
      </x:c>
      <x:c r="H2046" s="137" t="n">
        <x:v>170.40834045410156</x:v>
      </x:c>
      <x:c r="I2046" s="137" t="n">
        <x:v>1498.2315217391306</x:v>
      </x:c>
      <x:c r="J2046" s="137" t="n">
        <x:v>1418.5813376209862</x:v>
      </x:c>
      <x:c r="K2046" s="136" t="str">
        <x:v>map-94</x:v>
      </x:c>
      <x:c r="L2046" s="136" t="str">
        <x:v>SouthMountain | Skirmish | Garland's Stand||Spawn | USA Spawnpoint_FGGS_Base_USA_OH12th-2 [map-94/008]</x:v>
      </x:c>
      <x:c r="M2046" s="35"/>
      <x:c r="N2046" s="35"/>
      <x:c r="O2046" s="35"/>
      <x:c r="P2046" s="35"/>
      <x:c r="Q2046" s="35"/>
      <x:c r="R2046" s="35"/>
      <x:c r="S2046" s="35"/>
      <x:c r="T2046" s="35"/>
      <x:c r="U2046" s="35"/>
      <x:c r="V2046" s="35"/>
      <x:c r="W2046" s="35"/>
      <x:c r="X2046" s="35"/>
      <x:c r="Y2046" s="35"/>
      <x:c r="Z2046" s="35"/>
      <x:c r="AA2046" s="35"/>
    </x:row>
    <x:row r="2047">
      <x:c r="A2047" s="136" t="str">
        <x:v>SouthMountain | Skirmish | Garland's Stand</x:v>
      </x:c>
      <x:c r="B2047" s="136" t="str">
        <x:v>Spawn | CSA Spawnpoint_FGGS_Base_CSA_NC13th [map-94/009]</x:v>
      </x:c>
      <x:c r="C2047" s="136" t="str">
        <x:v>spawn</x:v>
      </x:c>
      <x:c r="D2047" s="136" t="str">
        <x:v>CSA</x:v>
      </x:c>
      <x:c r="E2047" s="136" t="str">
        <x:v>Spawnpoint_FGGS_Base_CSA_NC13th</x:v>
      </x:c>
      <x:c r="F2047" s="137" t="n">
        <x:v>1935.204345703125</x:v>
      </x:c>
      <x:c r="G2047" s="137" t="n">
        <x:v>2039.136962890625</x:v>
      </x:c>
      <x:c r="H2047" s="137" t="n">
        <x:v>192.7378387451172</x:v>
      </x:c>
      <x:c r="I2047" s="137" t="n">
        <x:v>425.63750000000005</x:v>
      </x:c>
      <x:c r="J2047" s="137" t="n">
        <x:v>561.279107413085</x:v>
      </x:c>
      <x:c r="K2047" s="136" t="str">
        <x:v>map-94</x:v>
      </x:c>
      <x:c r="L2047" s="136" t="str">
        <x:v>SouthMountain | Skirmish | Garland's Stand||Spawn | CSA Spawnpoint_FGGS_Base_CSA_NC13th [map-94/009]</x:v>
      </x:c>
      <x:c r="M2047" s="35"/>
      <x:c r="N2047" s="35"/>
      <x:c r="O2047" s="35"/>
      <x:c r="P2047" s="35"/>
      <x:c r="Q2047" s="35"/>
      <x:c r="R2047" s="35"/>
      <x:c r="S2047" s="35"/>
      <x:c r="T2047" s="35"/>
      <x:c r="U2047" s="35"/>
      <x:c r="V2047" s="35"/>
      <x:c r="W2047" s="35"/>
      <x:c r="X2047" s="35"/>
      <x:c r="Y2047" s="35"/>
      <x:c r="Z2047" s="35"/>
      <x:c r="AA2047" s="35"/>
    </x:row>
    <x:row r="2048">
      <x:c r="A2048" s="136" t="str">
        <x:v>SouthMountain | Skirmish | Garland's Stand</x:v>
      </x:c>
      <x:c r="B2048" s="136" t="str">
        <x:v>Artillery | CSA Spawnpoint_FGGS_CSA_Arty_Base [map-94/010]</x:v>
      </x:c>
      <x:c r="C2048" s="136" t="str">
        <x:v>battery</x:v>
      </x:c>
      <x:c r="D2048" s="136" t="str">
        <x:v>CSA</x:v>
      </x:c>
      <x:c r="E2048" s="136" t="str">
        <x:v>Spawnpoint_FGGS_CSA_Arty_Base</x:v>
      </x:c>
      <x:c r="F2048" s="137" t="n">
        <x:v>1928.4949951171875</x:v>
      </x:c>
      <x:c r="G2048" s="137" t="n">
        <x:v>2016.594482421875</x:v>
      </x:c>
      <x:c r="H2048" s="137" t="n">
        <x:v>190.32810974121094</x:v>
      </x:c>
      <x:c r="I2048" s="137" t="n">
        <x:v>410.7019021739131</x:v>
      </x:c>
      <x:c r="J2048" s="137" t="n">
        <x:v>611.5152336092538</x:v>
      </x:c>
      <x:c r="K2048" s="136" t="str">
        <x:v>map-94</x:v>
      </x:c>
      <x:c r="L2048" s="136" t="str">
        <x:v>SouthMountain | Skirmish | Garland's Stand||Artillery | CSA Spawnpoint_FGGS_CSA_Arty_Base [map-94/010]</x:v>
      </x:c>
      <x:c r="M2048" s="35"/>
      <x:c r="N2048" s="35"/>
      <x:c r="O2048" s="35"/>
      <x:c r="P2048" s="35"/>
      <x:c r="Q2048" s="35"/>
      <x:c r="R2048" s="35"/>
      <x:c r="S2048" s="35"/>
      <x:c r="T2048" s="35"/>
      <x:c r="U2048" s="35"/>
      <x:c r="V2048" s="35"/>
      <x:c r="W2048" s="35"/>
      <x:c r="X2048" s="35"/>
      <x:c r="Y2048" s="35"/>
      <x:c r="Z2048" s="35"/>
      <x:c r="AA2048" s="35"/>
    </x:row>
    <x:row r="2049">
      <x:c r="A2049" s="136" t="str">
        <x:v>SouthMountain | Skirmish | Garland's Stand</x:v>
      </x:c>
      <x:c r="B2049" s="136" t="str">
        <x:v>Artillery | CSA Spawnpoint_FGGS_CSA_Arty_Bondurant_Forward [map-94/011]</x:v>
      </x:c>
      <x:c r="C2049" s="136" t="str">
        <x:v>battery</x:v>
      </x:c>
      <x:c r="D2049" s="136" t="str">
        <x:v>CSA</x:v>
      </x:c>
      <x:c r="E2049" s="136" t="str">
        <x:v>Spawnpoint_FGGS_CSA_Arty_Bondurant_Forward</x:v>
      </x:c>
      <x:c r="F2049" s="137" t="n">
        <x:v>2059.588623046875</x:v>
      </x:c>
      <x:c r="G2049" s="137" t="n">
        <x:v>1842.6490478515625</x:v>
      </x:c>
      <x:c r="H2049" s="137" t="n">
        <x:v>203.9326629638672</x:v>
      </x:c>
      <x:c r="I2049" s="137" t="n">
        <x:v>702.5277173913043</x:v>
      </x:c>
      <x:c r="J2049" s="137" t="n">
        <x:v>999.154243186543</x:v>
      </x:c>
      <x:c r="K2049" s="136" t="str">
        <x:v>map-94</x:v>
      </x:c>
      <x:c r="L2049" s="136" t="str">
        <x:v>SouthMountain | Skirmish | Garland's Stand||Artillery | CSA Spawnpoint_FGGS_CSA_Arty_Bondurant_Forward [map-94/011]</x:v>
      </x:c>
      <x:c r="M2049" s="35"/>
      <x:c r="N2049" s="35"/>
      <x:c r="O2049" s="35"/>
      <x:c r="P2049" s="35"/>
      <x:c r="Q2049" s="35"/>
      <x:c r="R2049" s="35"/>
      <x:c r="S2049" s="35"/>
      <x:c r="T2049" s="35"/>
      <x:c r="U2049" s="35"/>
      <x:c r="V2049" s="35"/>
      <x:c r="W2049" s="35"/>
      <x:c r="X2049" s="35"/>
      <x:c r="Y2049" s="35"/>
      <x:c r="Z2049" s="35"/>
      <x:c r="AA2049" s="35"/>
    </x:row>
    <x:row r="2050">
      <x:c r="A2050" s="136" t="str">
        <x:v>SouthMountain | Skirmish | Garland's Stand</x:v>
      </x:c>
      <x:c r="B2050" s="136" t="str">
        <x:v>Spawn | CSA Spawnpoint_FGGS_Defend_CSA_NC13th [map-94/012]</x:v>
      </x:c>
      <x:c r="C2050" s="136" t="str">
        <x:v>spawn</x:v>
      </x:c>
      <x:c r="D2050" s="136" t="str">
        <x:v>CSA</x:v>
      </x:c>
      <x:c r="E2050" s="136" t="str">
        <x:v>Spawnpoint_FGGS_Defend_CSA_NC13th</x:v>
      </x:c>
      <x:c r="F2050" s="137" t="n">
        <x:v>2093.654296875</x:v>
      </x:c>
      <x:c r="G2050" s="137" t="n">
        <x:v>1938.5333251953125</x:v>
      </x:c>
      <x:c r="H2050" s="137" t="n">
        <x:v>198.2303009033203</x:v>
      </x:c>
      <x:c r="I2050" s="137" t="n">
        <x:v>778.3608695652174</x:v>
      </x:c>
      <x:c r="J2050" s="137" t="n">
        <x:v>785.4752443937286</x:v>
      </x:c>
      <x:c r="K2050" s="136" t="str">
        <x:v>map-94</x:v>
      </x:c>
      <x:c r="L2050" s="136" t="str">
        <x:v>SouthMountain | Skirmish | Garland's Stand||Spawn | CSA Spawnpoint_FGGS_Defend_CSA_NC13th [map-94/012]</x:v>
      </x:c>
      <x:c r="M2050" s="35"/>
      <x:c r="N2050" s="35"/>
      <x:c r="O2050" s="35"/>
      <x:c r="P2050" s="35"/>
      <x:c r="Q2050" s="35"/>
      <x:c r="R2050" s="35"/>
      <x:c r="S2050" s="35"/>
      <x:c r="T2050" s="35"/>
      <x:c r="U2050" s="35"/>
      <x:c r="V2050" s="35"/>
      <x:c r="W2050" s="35"/>
      <x:c r="X2050" s="35"/>
      <x:c r="Y2050" s="35"/>
      <x:c r="Z2050" s="35"/>
      <x:c r="AA2050" s="35"/>
    </x:row>
    <x:row r="2051">
      <x:c r="A2051" s="136" t="str">
        <x:v>SouthMountain | Skirmish | Garland's Stand</x:v>
      </x:c>
      <x:c r="B2051" s="136" t="str">
        <x:v>Spawn | CSA Spawnpoint_FGGS_Base_CSA_NC20th [map-94/013]</x:v>
      </x:c>
      <x:c r="C2051" s="136" t="str">
        <x:v>spawn</x:v>
      </x:c>
      <x:c r="D2051" s="136" t="str">
        <x:v>CSA</x:v>
      </x:c>
      <x:c r="E2051" s="136" t="str">
        <x:v>Spawnpoint_FGGS_Base_CSA_NC20th</x:v>
      </x:c>
      <x:c r="F2051" s="137" t="n">
        <x:v>1952.8287353515625</x:v>
      </x:c>
      <x:c r="G2051" s="137" t="n">
        <x:v>2038.368408203125</x:v>
      </x:c>
      <x:c r="H2051" s="137" t="n">
        <x:v>195.25973510742188</x:v>
      </x:c>
      <x:c r="I2051" s="137" t="n">
        <x:v>464.87092391304344</x:v>
      </x:c>
      <x:c r="J2051" s="137" t="n">
        <x:v>562.9918386417281</x:v>
      </x:c>
      <x:c r="K2051" s="136" t="str">
        <x:v>map-94</x:v>
      </x:c>
      <x:c r="L2051" s="136" t="str">
        <x:v>SouthMountain | Skirmish | Garland's Stand||Spawn | CSA Spawnpoint_FGGS_Base_CSA_NC20th [map-94/013]</x:v>
      </x:c>
      <x:c r="M2051" s="35"/>
      <x:c r="N2051" s="35"/>
      <x:c r="O2051" s="35"/>
      <x:c r="P2051" s="35"/>
      <x:c r="Q2051" s="35"/>
      <x:c r="R2051" s="35"/>
      <x:c r="S2051" s="35"/>
      <x:c r="T2051" s="35"/>
      <x:c r="U2051" s="35"/>
      <x:c r="V2051" s="35"/>
      <x:c r="W2051" s="35"/>
      <x:c r="X2051" s="35"/>
      <x:c r="Y2051" s="35"/>
      <x:c r="Z2051" s="35"/>
      <x:c r="AA2051" s="35"/>
    </x:row>
    <x:row r="2052">
      <x:c r="A2052" s="136" t="str">
        <x:v>SouthMountain | Skirmish | Garland's Stand</x:v>
      </x:c>
      <x:c r="B2052" s="136" t="str">
        <x:v>Spawn | USA Spawnpoint_FGGS_Base_USA_OH12th [map-94/014]</x:v>
      </x:c>
      <x:c r="C2052" s="136" t="str">
        <x:v>spawn</x:v>
      </x:c>
      <x:c r="D2052" s="136" t="str">
        <x:v>USA</x:v>
      </x:c>
      <x:c r="E2052" s="136" t="str">
        <x:v>Spawnpoint_FGGS_Base_USA_OH12th</x:v>
      </x:c>
      <x:c r="F2052" s="137" t="n">
        <x:v>2402.98828125</x:v>
      </x:c>
      <x:c r="G2052" s="137" t="n">
        <x:v>1665.64794921875</x:v>
      </x:c>
      <x:c r="H2052" s="137" t="n">
        <x:v>171.112548828125</x:v>
      </x:c>
      <x:c r="I2052" s="137" t="n">
        <x:v>1466.9652173913043</x:v>
      </x:c>
      <x:c r="J2052" s="137" t="n">
        <x:v>1393.6028283857186</x:v>
      </x:c>
      <x:c r="K2052" s="136" t="str">
        <x:v>map-94</x:v>
      </x:c>
      <x:c r="L2052" s="136" t="str">
        <x:v>SouthMountain | Skirmish | Garland's Stand||Spawn | USA Spawnpoint_FGGS_Base_USA_OH12th [map-94/014]</x:v>
      </x:c>
      <x:c r="M2052" s="35"/>
      <x:c r="N2052" s="35"/>
      <x:c r="O2052" s="35"/>
      <x:c r="P2052" s="35"/>
      <x:c r="Q2052" s="35"/>
      <x:c r="R2052" s="35"/>
      <x:c r="S2052" s="35"/>
      <x:c r="T2052" s="35"/>
      <x:c r="U2052" s="35"/>
      <x:c r="V2052" s="35"/>
      <x:c r="W2052" s="35"/>
      <x:c r="X2052" s="35"/>
      <x:c r="Y2052" s="35"/>
      <x:c r="Z2052" s="35"/>
      <x:c r="AA2052" s="35"/>
    </x:row>
    <x:row r="2053">
      <x:c r="A2053" s="136" t="str">
        <x:v>SouthMountain | Skirmish | Garland's Stand</x:v>
      </x:c>
      <x:c r="B2053" s="136" t="str">
        <x:v>Spawn | USA Spawnpoint_FGGS_Base_USA_OH30th [map-94/015]</x:v>
      </x:c>
      <x:c r="C2053" s="136" t="str">
        <x:v>spawn</x:v>
      </x:c>
      <x:c r="D2053" s="136" t="str">
        <x:v>USA</x:v>
      </x:c>
      <x:c r="E2053" s="136" t="str">
        <x:v>Spawnpoint_FGGS_Base_USA_OH30th</x:v>
      </x:c>
      <x:c r="F2053" s="137" t="n">
        <x:v>2388.213134765625</x:v>
      </x:c>
      <x:c r="G2053" s="137" t="n">
        <x:v>1677.4627685546875</x:v>
      </x:c>
      <x:c r="H2053" s="137" t="n">
        <x:v>171.63824462890625</x:v>
      </x:c>
      <x:c r="I2053" s="137" t="n">
        <x:v>1434.0744565217392</x:v>
      </x:c>
      <x:c r="J2053" s="137" t="n">
        <x:v>1367.2733942328139</x:v>
      </x:c>
      <x:c r="K2053" s="136" t="str">
        <x:v>map-94</x:v>
      </x:c>
      <x:c r="L2053" s="136" t="str">
        <x:v>SouthMountain | Skirmish | Garland's Stand||Spawn | USA Spawnpoint_FGGS_Base_USA_OH30th [map-94/015]</x:v>
      </x:c>
      <x:c r="M2053" s="35"/>
      <x:c r="N2053" s="35"/>
      <x:c r="O2053" s="35"/>
      <x:c r="P2053" s="35"/>
      <x:c r="Q2053" s="35"/>
      <x:c r="R2053" s="35"/>
      <x:c r="S2053" s="35"/>
      <x:c r="T2053" s="35"/>
      <x:c r="U2053" s="35"/>
      <x:c r="V2053" s="35"/>
      <x:c r="W2053" s="35"/>
      <x:c r="X2053" s="35"/>
      <x:c r="Y2053" s="35"/>
      <x:c r="Z2053" s="35"/>
      <x:c r="AA2053" s="35"/>
    </x:row>
    <x:row r="2054">
      <x:c r="A2054" s="136" t="str">
        <x:v>SouthMountain | Skirmish | Garland's Stand</x:v>
      </x:c>
      <x:c r="B2054" s="136" t="str">
        <x:v>Spawn | CSA Spawnpoint_FGGS_Base_CSA_NC20th-2 [map-94/016]</x:v>
      </x:c>
      <x:c r="C2054" s="136" t="str">
        <x:v>spawn</x:v>
      </x:c>
      <x:c r="D2054" s="136" t="str">
        <x:v>CSA</x:v>
      </x:c>
      <x:c r="E2054" s="136" t="str">
        <x:v>Spawnpoint_FGGS_Base_CSA_NC20th-2</x:v>
      </x:c>
      <x:c r="F2054" s="137" t="n">
        <x:v>1955.237060546875</x:v>
      </x:c>
      <x:c r="G2054" s="137" t="n">
        <x:v>2026.8343505859375</x:v>
      </x:c>
      <x:c r="H2054" s="137" t="n">
        <x:v>194.902099609375</x:v>
      </x:c>
      <x:c r="I2054" s="137" t="n">
        <x:v>470.2320652173913</x:v>
      </x:c>
      <x:c r="J2054" s="137" t="n">
        <x:v>588.6955927079301</x:v>
      </x:c>
      <x:c r="K2054" s="136" t="str">
        <x:v>map-94</x:v>
      </x:c>
      <x:c r="L2054" s="136" t="str">
        <x:v>SouthMountain | Skirmish | Garland's Stand||Spawn | CSA Spawnpoint_FGGS_Base_CSA_NC20th-2 [map-94/016]</x:v>
      </x:c>
      <x:c r="M2054" s="35"/>
      <x:c r="N2054" s="35"/>
      <x:c r="O2054" s="35"/>
      <x:c r="P2054" s="35"/>
      <x:c r="Q2054" s="35"/>
      <x:c r="R2054" s="35"/>
      <x:c r="S2054" s="35"/>
      <x:c r="T2054" s="35"/>
      <x:c r="U2054" s="35"/>
      <x:c r="V2054" s="35"/>
      <x:c r="W2054" s="35"/>
      <x:c r="X2054" s="35"/>
      <x:c r="Y2054" s="35"/>
      <x:c r="Z2054" s="35"/>
      <x:c r="AA2054" s="35"/>
    </x:row>
    <x:row r="2055">
      <x:c r="A2055" s="136" t="str">
        <x:v>SouthMountain | Skirmish | Garland's Stand</x:v>
      </x:c>
      <x:c r="B2055" s="136" t="str">
        <x:v>Spawn | CSA Spawnpoint_FGGS_Defend_CSA_NC20th-2 [map-94/017]</x:v>
      </x:c>
      <x:c r="C2055" s="136" t="str">
        <x:v>spawn</x:v>
      </x:c>
      <x:c r="D2055" s="136" t="str">
        <x:v>CSA</x:v>
      </x:c>
      <x:c r="E2055" s="136" t="str">
        <x:v>Spawnpoint_FGGS_Defend_CSA_NC20th-2</x:v>
      </x:c>
      <x:c r="F2055" s="137" t="n">
        <x:v>2089.5849609375</x:v>
      </x:c>
      <x:c r="G2055" s="137" t="n">
        <x:v>1918.1278076171875</x:v>
      </x:c>
      <x:c r="H2055" s="137" t="n">
        <x:v>199.7119598388672</x:v>
      </x:c>
      <x:c r="I2055" s="137" t="n">
        <x:v>769.3021739130435</x:v>
      </x:c>
      <x:c r="J2055" s="137" t="n">
        <x:v>830.9491290256301</x:v>
      </x:c>
      <x:c r="K2055" s="136" t="str">
        <x:v>map-94</x:v>
      </x:c>
      <x:c r="L2055" s="136" t="str">
        <x:v>SouthMountain | Skirmish | Garland's Stand||Spawn | CSA Spawnpoint_FGGS_Defend_CSA_NC20th-2 [map-94/017]</x:v>
      </x:c>
      <x:c r="M2055" s="35"/>
      <x:c r="N2055" s="35"/>
      <x:c r="O2055" s="35"/>
      <x:c r="P2055" s="35"/>
      <x:c r="Q2055" s="35"/>
      <x:c r="R2055" s="35"/>
      <x:c r="S2055" s="35"/>
      <x:c r="T2055" s="35"/>
      <x:c r="U2055" s="35"/>
      <x:c r="V2055" s="35"/>
      <x:c r="W2055" s="35"/>
      <x:c r="X2055" s="35"/>
      <x:c r="Y2055" s="35"/>
      <x:c r="Z2055" s="35"/>
      <x:c r="AA2055" s="35"/>
    </x:row>
    <x:row r="2056">
      <x:c r="A2056" s="136" t="str">
        <x:v>SouthMountain | Skirmish | Garland's Stand</x:v>
      </x:c>
      <x:c r="B2056" s="136" t="str">
        <x:v>Gun | 12-pounder Napoleon (CSA) · 3InchOrdnanceRfile-13 [map-94/018]</x:v>
      </x:c>
      <x:c r="C2056" s="136" t="str">
        <x:v>gun_spawn</x:v>
      </x:c>
      <x:c r="D2056" s="136" t="str"/>
      <x:c r="E2056" s="136" t="str">
        <x:v>12-pounder Napoleon (CSA) · 3InchOrdnanceRfile-13</x:v>
      </x:c>
      <x:c r="F2056" s="137" t="n">
        <x:v>2077.384521484375</x:v>
      </x:c>
      <x:c r="G2056" s="137" t="n">
        <x:v>1815.360595703125</x:v>
      </x:c>
      <x:c r="H2056" s="137" t="n">
        <x:v>205.11172485351562</x:v>
      </x:c>
      <x:c r="I2056" s="137" t="n">
        <x:v>742.1429347826088</x:v>
      </x:c>
      <x:c r="J2056" s="137" t="n">
        <x:v>1059.9668111613678</x:v>
      </x:c>
      <x:c r="K2056" s="136" t="str">
        <x:v>map-94</x:v>
      </x:c>
      <x:c r="L2056" s="136" t="str">
        <x:v>SouthMountain | Skirmish | Garland's Stand||Gun | 12-pounder Napoleon (CSA) · 3InchOrdnanceRfile-13 [map-94/018]</x:v>
      </x:c>
      <x:c r="M2056" s="35"/>
      <x:c r="N2056" s="35"/>
      <x:c r="O2056" s="35"/>
      <x:c r="P2056" s="35"/>
      <x:c r="Q2056" s="35"/>
      <x:c r="R2056" s="35"/>
      <x:c r="S2056" s="35"/>
      <x:c r="T2056" s="35"/>
      <x:c r="U2056" s="35"/>
      <x:c r="V2056" s="35"/>
      <x:c r="W2056" s="35"/>
      <x:c r="X2056" s="35"/>
      <x:c r="Y2056" s="35"/>
      <x:c r="Z2056" s="35"/>
      <x:c r="AA2056" s="35"/>
    </x:row>
    <x:row r="2057">
      <x:c r="A2057" s="136" t="str">
        <x:v>SouthMountain | Skirmish | Garland's Stand</x:v>
      </x:c>
      <x:c r="B2057" s="136" t="str">
        <x:v>Gun | 3-inch Ordnance · 3InchOrdnanceRfile-10 [map-94/019]</x:v>
      </x:c>
      <x:c r="C2057" s="136" t="str">
        <x:v>gun_spawn</x:v>
      </x:c>
      <x:c r="D2057" s="136" t="str"/>
      <x:c r="E2057" s="136" t="str">
        <x:v>3-inch Ordnance · 3InchOrdnanceRfile-10</x:v>
      </x:c>
      <x:c r="F2057" s="137" t="n">
        <x:v>2081.551025390625</x:v>
      </x:c>
      <x:c r="G2057" s="137" t="n">
        <x:v>1838.626220703125</x:v>
      </x:c>
      <x:c r="H2057" s="137" t="n">
        <x:v>204.239501953125</x:v>
      </x:c>
      <x:c r="I2057" s="137" t="n">
        <x:v>751.4179347826087</x:v>
      </x:c>
      <x:c r="J2057" s="137" t="n">
        <x:v>1008.1191506897094</x:v>
      </x:c>
      <x:c r="K2057" s="136" t="str">
        <x:v>map-94</x:v>
      </x:c>
      <x:c r="L2057" s="136" t="str">
        <x:v>SouthMountain | Skirmish | Garland's Stand||Gun | 3-inch Ordnance · 3InchOrdnanceRfile-10 [map-94/019]</x:v>
      </x:c>
      <x:c r="M2057" s="35"/>
      <x:c r="N2057" s="35"/>
      <x:c r="O2057" s="35"/>
      <x:c r="P2057" s="35"/>
      <x:c r="Q2057" s="35"/>
      <x:c r="R2057" s="35"/>
      <x:c r="S2057" s="35"/>
      <x:c r="T2057" s="35"/>
      <x:c r="U2057" s="35"/>
      <x:c r="V2057" s="35"/>
      <x:c r="W2057" s="35"/>
      <x:c r="X2057" s="35"/>
      <x:c r="Y2057" s="35"/>
      <x:c r="Z2057" s="35"/>
      <x:c r="AA2057" s="35"/>
    </x:row>
    <x:row r="2058">
      <x:c r="A2058" s="136" t="str">
        <x:v>SouthMountain | Skirmish | Garland's Stand</x:v>
      </x:c>
      <x:c r="B2058" s="136" t="str">
        <x:v>Gun | 10-pounder Parrott · 3InchOrdnanceRfile-14 [map-94/020]</x:v>
      </x:c>
      <x:c r="C2058" s="136" t="str">
        <x:v>gun_spawn</x:v>
      </x:c>
      <x:c r="D2058" s="136" t="str"/>
      <x:c r="E2058" s="136" t="str">
        <x:v>10-pounder Parrott · 3InchOrdnanceRfile-14</x:v>
      </x:c>
      <x:c r="F2058" s="137" t="n">
        <x:v>2232.68017578125</x:v>
      </x:c>
      <x:c r="G2058" s="137" t="n">
        <x:v>1639.8642578125</x:v>
      </x:c>
      <x:c r="H2058" s="137" t="n">
        <x:v>182.793701171875</x:v>
      </x:c>
      <x:c r="I2058" s="137" t="n">
        <x:v>1087.8445652173914</x:v>
      </x:c>
      <x:c r="J2058" s="137" t="n">
        <x:v>1451.062023130638</x:v>
      </x:c>
      <x:c r="K2058" s="136" t="str">
        <x:v>map-94</x:v>
      </x:c>
      <x:c r="L2058" s="136" t="str">
        <x:v>SouthMountain | Skirmish | Garland's Stand||Gun | 10-pounder Parrott · 3InchOrdnanceRfile-14 [map-94/020]</x:v>
      </x:c>
      <x:c r="M2058" s="35"/>
      <x:c r="N2058" s="35"/>
      <x:c r="O2058" s="35"/>
      <x:c r="P2058" s="35"/>
      <x:c r="Q2058" s="35"/>
      <x:c r="R2058" s="35"/>
      <x:c r="S2058" s="35"/>
      <x:c r="T2058" s="35"/>
      <x:c r="U2058" s="35"/>
      <x:c r="V2058" s="35"/>
      <x:c r="W2058" s="35"/>
      <x:c r="X2058" s="35"/>
      <x:c r="Y2058" s="35"/>
      <x:c r="Z2058" s="35"/>
      <x:c r="AA2058" s="35"/>
    </x:row>
    <x:row r="2059">
      <x:c r="A2059" s="136" t="str">
        <x:v>SouthMountain | Skirmish | Garland's Stand</x:v>
      </x:c>
      <x:c r="B2059" s="136" t="str">
        <x:v>Gun | 3-inch Ordnance · 3InchOrdnanceRfile-11 [map-94/021]</x:v>
      </x:c>
      <x:c r="C2059" s="136" t="str">
        <x:v>gun_spawn</x:v>
      </x:c>
      <x:c r="D2059" s="136" t="str"/>
      <x:c r="E2059" s="136" t="str">
        <x:v>3-inch Ordnance · 3InchOrdnanceRfile-11</x:v>
      </x:c>
      <x:c r="F2059" s="137" t="n">
        <x:v>2080.43408203125</x:v>
      </x:c>
      <x:c r="G2059" s="137" t="n">
        <x:v>1830.0413818359375</x:v>
      </x:c>
      <x:c r="H2059" s="137" t="n">
        <x:v>204.57080078125</x:v>
      </x:c>
      <x:c r="I2059" s="137" t="n">
        <x:v>748.9315217391305</x:v>
      </x:c>
      <x:c r="J2059" s="137" t="n">
        <x:v>1027.2505434973316</x:v>
      </x:c>
      <x:c r="K2059" s="136" t="str">
        <x:v>map-94</x:v>
      </x:c>
      <x:c r="L2059" s="136" t="str">
        <x:v>SouthMountain | Skirmish | Garland's Stand||Gun | 3-inch Ordnance · 3InchOrdnanceRfile-11 [map-94/021]</x:v>
      </x:c>
      <x:c r="M2059" s="35"/>
      <x:c r="N2059" s="35"/>
      <x:c r="O2059" s="35"/>
      <x:c r="P2059" s="35"/>
      <x:c r="Q2059" s="35"/>
      <x:c r="R2059" s="35"/>
      <x:c r="S2059" s="35"/>
      <x:c r="T2059" s="35"/>
      <x:c r="U2059" s="35"/>
      <x:c r="V2059" s="35"/>
      <x:c r="W2059" s="35"/>
      <x:c r="X2059" s="35"/>
      <x:c r="Y2059" s="35"/>
      <x:c r="Z2059" s="35"/>
      <x:c r="AA2059" s="35"/>
    </x:row>
    <x:row r="2060">
      <x:c r="A2060" s="136" t="str">
        <x:v>SouthMountain | Skirmish | Garland's Stand</x:v>
      </x:c>
      <x:c r="B2060" s="136" t="str">
        <x:v>Gun | 10-pounder Parrott · 3InchOrdnanceRfile-15 [map-94/022]</x:v>
      </x:c>
      <x:c r="C2060" s="136" t="str">
        <x:v>gun_spawn</x:v>
      </x:c>
      <x:c r="D2060" s="136" t="str"/>
      <x:c r="E2060" s="136" t="str">
        <x:v>10-pounder Parrott · 3InchOrdnanceRfile-15</x:v>
      </x:c>
      <x:c r="F2060" s="137" t="n">
        <x:v>2224.414306640625</x:v>
      </x:c>
      <x:c r="G2060" s="137" t="n">
        <x:v>1632.3306884765625</x:v>
      </x:c>
      <x:c r="H2060" s="137" t="n">
        <x:v>182.80868530273438</x:v>
      </x:c>
      <x:c r="I2060" s="137" t="n">
        <x:v>1069.4440217391304</x:v>
      </x:c>
      <x:c r="J2060" s="137" t="n">
        <x:v>1467.8506520657893</x:v>
      </x:c>
      <x:c r="K2060" s="136" t="str">
        <x:v>map-94</x:v>
      </x:c>
      <x:c r="L2060" s="136" t="str">
        <x:v>SouthMountain | Skirmish | Garland's Stand||Gun | 10-pounder Parrott · 3InchOrdnanceRfile-15 [map-94/022]</x:v>
      </x:c>
      <x:c r="M2060" s="35"/>
      <x:c r="N2060" s="35"/>
      <x:c r="O2060" s="35"/>
      <x:c r="P2060" s="35"/>
      <x:c r="Q2060" s="35"/>
      <x:c r="R2060" s="35"/>
      <x:c r="S2060" s="35"/>
      <x:c r="T2060" s="35"/>
      <x:c r="U2060" s="35"/>
      <x:c r="V2060" s="35"/>
      <x:c r="W2060" s="35"/>
      <x:c r="X2060" s="35"/>
      <x:c r="Y2060" s="35"/>
      <x:c r="Z2060" s="35"/>
      <x:c r="AA2060" s="35"/>
    </x:row>
    <x:row r="2061">
      <x:c r="A2061" s="136" t="str">
        <x:v>SouthMountain | Skirmish | Garland's Stand</x:v>
      </x:c>
      <x:c r="B2061" s="136" t="str">
        <x:v>Gun | 12-pounder Napoleon (USA) · 3InchOrdnanceRfile-12 [map-94/023]</x:v>
      </x:c>
      <x:c r="C2061" s="136" t="str">
        <x:v>gun_spawn</x:v>
      </x:c>
      <x:c r="D2061" s="136" t="str"/>
      <x:c r="E2061" s="136" t="str">
        <x:v>12-pounder Napoleon (USA) · 3InchOrdnanceRfile-12</x:v>
      </x:c>
      <x:c r="F2061" s="137" t="n">
        <x:v>2079.234619140625</x:v>
      </x:c>
      <x:c r="G2061" s="137" t="n">
        <x:v>1823.6500244140625</x:v>
      </x:c>
      <x:c r="H2061" s="137" t="n">
        <x:v>204.7843017578125</x:v>
      </x:c>
      <x:c r="I2061" s="137" t="n">
        <x:v>746.2614130434782</x:v>
      </x:c>
      <x:c r="J2061" s="137" t="n">
        <x:v>1041.4937426188849</x:v>
      </x:c>
      <x:c r="K2061" s="136" t="str">
        <x:v>map-94</x:v>
      </x:c>
      <x:c r="L2061" s="136" t="str">
        <x:v>SouthMountain | Skirmish | Garland's Stand||Gun | 12-pounder Napoleon (USA) · 3InchOrdnanceRfile-12 [map-94/023]</x:v>
      </x:c>
      <x:c r="M2061" s="35"/>
      <x:c r="N2061" s="35"/>
      <x:c r="O2061" s="35"/>
      <x:c r="P2061" s="35"/>
      <x:c r="Q2061" s="35"/>
      <x:c r="R2061" s="35"/>
      <x:c r="S2061" s="35"/>
      <x:c r="T2061" s="35"/>
      <x:c r="U2061" s="35"/>
      <x:c r="V2061" s="35"/>
      <x:c r="W2061" s="35"/>
      <x:c r="X2061" s="35"/>
      <x:c r="Y2061" s="35"/>
      <x:c r="Z2061" s="35"/>
      <x:c r="AA2061" s="35"/>
    </x:row>
    <x:row r="2062">
      <x:c r="A2062" s="136" t="str">
        <x:v>SouthMountain | Skirmish | Cox's Push</x:v>
      </x:c>
      <x:c r="B2062" s="136" t="str">
        <x:v>Spawn | CSA Spawnpoint_FGCP_Base_CSA_NC5th [map-95/001]</x:v>
      </x:c>
      <x:c r="C2062" s="136" t="str">
        <x:v>spawn</x:v>
      </x:c>
      <x:c r="D2062" s="136" t="str">
        <x:v>CSA</x:v>
      </x:c>
      <x:c r="E2062" s="136" t="str">
        <x:v>Spawnpoint_FGCP_Base_CSA_NC5th</x:v>
      </x:c>
      <x:c r="F2062" s="137" t="n">
        <x:v>1796.4459228515625</x:v>
      </x:c>
      <x:c r="G2062" s="137" t="n">
        <x:v>1463.9239501953125</x:v>
      </x:c>
      <x:c r="H2062" s="137" t="n">
        <x:v>212.97457885742188</x:v>
      </x:c>
      <x:c r="I2062" s="137" t="n">
        <x:v>681.5028201549442</x:v>
      </x:c>
      <x:c r="J2062" s="137" t="n">
        <x:v>600.8236621288821</x:v>
      </x:c>
      <x:c r="K2062" s="136" t="str">
        <x:v>map-95</x:v>
      </x:c>
      <x:c r="L2062" s="136" t="str">
        <x:v>SouthMountain | Skirmish | Cox's Push||Spawn | CSA Spawnpoint_FGCP_Base_CSA_NC5th [map-95/001]</x:v>
      </x:c>
      <x:c r="M2062" s="35"/>
      <x:c r="N2062" s="35"/>
      <x:c r="O2062" s="35"/>
      <x:c r="P2062" s="35"/>
      <x:c r="Q2062" s="35"/>
      <x:c r="R2062" s="35"/>
      <x:c r="S2062" s="35"/>
      <x:c r="T2062" s="35"/>
      <x:c r="U2062" s="35"/>
      <x:c r="V2062" s="35"/>
      <x:c r="W2062" s="35"/>
      <x:c r="X2062" s="35"/>
      <x:c r="Y2062" s="35"/>
      <x:c r="Z2062" s="35"/>
      <x:c r="AA2062" s="35"/>
    </x:row>
    <x:row r="2063">
      <x:c r="A2063" s="136" t="str">
        <x:v>SouthMountain | Skirmish | Cox's Push</x:v>
      </x:c>
      <x:c r="B2063" s="136" t="str">
        <x:v>Spawn | CSA Spawnpoint_FGCP_Defend_CSA_NC23rd-2 [map-95/002]</x:v>
      </x:c>
      <x:c r="C2063" s="136" t="str">
        <x:v>spawn</x:v>
      </x:c>
      <x:c r="D2063" s="136" t="str">
        <x:v>CSA</x:v>
      </x:c>
      <x:c r="E2063" s="136" t="str">
        <x:v>Spawnpoint_FGCP_Defend_CSA_NC23rd-2</x:v>
      </x:c>
      <x:c r="F2063" s="137" t="n">
        <x:v>1900.77880859375</x:v>
      </x:c>
      <x:c r="G2063" s="137" t="n">
        <x:v>1248.9769287109375</x:v>
      </x:c>
      <x:c r="H2063" s="137" t="n">
        <x:v>186.0315704345703</x:v>
      </x:c>
      <x:c r="I2063" s="137" t="n">
        <x:v>900.655384142425</x:v>
      </x:c>
      <x:c r="J2063" s="137" t="n">
        <x:v>1052.5611848040764</x:v>
      </x:c>
      <x:c r="K2063" s="136" t="str">
        <x:v>map-95</x:v>
      </x:c>
      <x:c r="L2063" s="136" t="str">
        <x:v>SouthMountain | Skirmish | Cox's Push||Spawn | CSA Spawnpoint_FGCP_Defend_CSA_NC23rd-2 [map-95/002]</x:v>
      </x:c>
      <x:c r="M2063" s="35"/>
      <x:c r="N2063" s="35"/>
      <x:c r="O2063" s="35"/>
      <x:c r="P2063" s="35"/>
      <x:c r="Q2063" s="35"/>
      <x:c r="R2063" s="35"/>
      <x:c r="S2063" s="35"/>
      <x:c r="T2063" s="35"/>
      <x:c r="U2063" s="35"/>
      <x:c r="V2063" s="35"/>
      <x:c r="W2063" s="35"/>
      <x:c r="X2063" s="35"/>
      <x:c r="Y2063" s="35"/>
      <x:c r="Z2063" s="35"/>
      <x:c r="AA2063" s="35"/>
    </x:row>
    <x:row r="2064">
      <x:c r="A2064" s="136" t="str">
        <x:v>SouthMountain | Skirmish | Cox's Push</x:v>
      </x:c>
      <x:c r="B2064" s="136" t="str">
        <x:v>Spawn | CSA Spawnpoint_FGCP_Defend_CSA_NC23rd [map-95/003]</x:v>
      </x:c>
      <x:c r="C2064" s="136" t="str">
        <x:v>spawn</x:v>
      </x:c>
      <x:c r="D2064" s="136" t="str">
        <x:v>CSA</x:v>
      </x:c>
      <x:c r="E2064" s="136" t="str">
        <x:v>Spawnpoint_FGCP_Defend_CSA_NC23rd</x:v>
      </x:c>
      <x:c r="F2064" s="137" t="n">
        <x:v>1919.2850341796875</x:v>
      </x:c>
      <x:c r="G2064" s="137" t="n">
        <x:v>1254.277587890625</x:v>
      </x:c>
      <x:c r="H2064" s="137" t="n">
        <x:v>184.53756713867188</x:v>
      </x:c>
      <x:c r="I2064" s="137" t="n">
        <x:v>939.527948224576</x:v>
      </x:c>
      <x:c r="J2064" s="137" t="n">
        <x:v>1041.3757407253029</x:v>
      </x:c>
      <x:c r="K2064" s="136" t="str">
        <x:v>map-95</x:v>
      </x:c>
      <x:c r="L2064" s="136" t="str">
        <x:v>SouthMountain | Skirmish | Cox's Push||Spawn | CSA Spawnpoint_FGCP_Defend_CSA_NC23rd [map-95/003]</x:v>
      </x:c>
      <x:c r="M2064" s="35"/>
      <x:c r="N2064" s="35"/>
      <x:c r="O2064" s="35"/>
      <x:c r="P2064" s="35"/>
      <x:c r="Q2064" s="35"/>
      <x:c r="R2064" s="35"/>
      <x:c r="S2064" s="35"/>
      <x:c r="T2064" s="35"/>
      <x:c r="U2064" s="35"/>
      <x:c r="V2064" s="35"/>
      <x:c r="W2064" s="35"/>
      <x:c r="X2064" s="35"/>
      <x:c r="Y2064" s="35"/>
      <x:c r="Z2064" s="35"/>
      <x:c r="AA2064" s="35"/>
    </x:row>
    <x:row r="2065">
      <x:c r="A2065" s="136" t="str">
        <x:v>SouthMountain | Skirmish | Cox's Push</x:v>
      </x:c>
      <x:c r="B2065" s="136" t="str">
        <x:v>Spawn | USA Spawnpoint_FGCP_Base_USA_OH23rd-2 [map-95/004]</x:v>
      </x:c>
      <x:c r="C2065" s="136" t="str">
        <x:v>spawn</x:v>
      </x:c>
      <x:c r="D2065" s="136" t="str">
        <x:v>USA</x:v>
      </x:c>
      <x:c r="E2065" s="136" t="str">
        <x:v>Spawnpoint_FGCP_Base_USA_OH23rd-2</x:v>
      </x:c>
      <x:c r="F2065" s="137" t="n">
        <x:v>2126.704345703125</x:v>
      </x:c>
      <x:c r="G2065" s="137" t="n">
        <x:v>997.3524169921875</x:v>
      </x:c>
      <x:c r="H2065" s="137" t="n">
        <x:v>164.94442749023438</x:v>
      </x:c>
      <x:c r="I2065" s="137" t="n">
        <x:v>1375.2148710727076</x:v>
      </x:c>
      <x:c r="J2065" s="137" t="n">
        <x:v>1581.1571193161524</x:v>
      </x:c>
      <x:c r="K2065" s="136" t="str">
        <x:v>map-95</x:v>
      </x:c>
      <x:c r="L2065" s="136" t="str">
        <x:v>SouthMountain | Skirmish | Cox's Push||Spawn | USA Spawnpoint_FGCP_Base_USA_OH23rd-2 [map-95/004]</x:v>
      </x:c>
      <x:c r="M2065" s="35"/>
      <x:c r="N2065" s="35"/>
      <x:c r="O2065" s="35"/>
      <x:c r="P2065" s="35"/>
      <x:c r="Q2065" s="35"/>
      <x:c r="R2065" s="35"/>
      <x:c r="S2065" s="35"/>
      <x:c r="T2065" s="35"/>
      <x:c r="U2065" s="35"/>
      <x:c r="V2065" s="35"/>
      <x:c r="W2065" s="35"/>
      <x:c r="X2065" s="35"/>
      <x:c r="Y2065" s="35"/>
      <x:c r="Z2065" s="35"/>
      <x:c r="AA2065" s="35"/>
    </x:row>
    <x:row r="2066">
      <x:c r="A2066" s="136" t="str">
        <x:v>SouthMountain | Skirmish | Cox's Push</x:v>
      </x:c>
      <x:c r="B2066" s="136" t="str">
        <x:v>Objective | Victory_Foxs_Gap_Coxs_Push [map-95/005]</x:v>
      </x:c>
      <x:c r="C2066" s="136" t="str">
        <x:v>objective</x:v>
      </x:c>
      <x:c r="D2066" s="136" t="str"/>
      <x:c r="E2066" s="136" t="str">
        <x:v>Victory_Foxs_Gap_Coxs_Push</x:v>
      </x:c>
      <x:c r="F2066" s="137" t="n">
        <x:v>1928.9732666015625</x:v>
      </x:c>
      <x:c r="G2066" s="137" t="n">
        <x:v>1226.5146484375</x:v>
      </x:c>
      <x:c r="H2066" s="137" t="n">
        <x:v>188.5301513671875</x:v>
      </x:c>
      <x:c r="I2066" s="137" t="n">
        <x:v>959.878204624146</x:v>
      </x:c>
      <x:c r="J2066" s="137" t="n">
        <x:v>1099.7311305551425</x:v>
      </x:c>
      <x:c r="K2066" s="136" t="str">
        <x:v>map-95</x:v>
      </x:c>
      <x:c r="L2066" s="136" t="str">
        <x:v>SouthMountain | Skirmish | Cox's Push||Objective | Victory_Foxs_Gap_Coxs_Push [map-95/005]</x:v>
      </x:c>
      <x:c r="M2066" s="35"/>
      <x:c r="N2066" s="35"/>
      <x:c r="O2066" s="35"/>
      <x:c r="P2066" s="35"/>
      <x:c r="Q2066" s="35"/>
      <x:c r="R2066" s="35"/>
      <x:c r="S2066" s="35"/>
      <x:c r="T2066" s="35"/>
      <x:c r="U2066" s="35"/>
      <x:c r="V2066" s="35"/>
      <x:c r="W2066" s="35"/>
      <x:c r="X2066" s="35"/>
      <x:c r="Y2066" s="35"/>
      <x:c r="Z2066" s="35"/>
      <x:c r="AA2066" s="35"/>
    </x:row>
    <x:row r="2067">
      <x:c r="A2067" s="136" t="str">
        <x:v>SouthMountain | Skirmish | Cox's Push</x:v>
      </x:c>
      <x:c r="B2067" s="136" t="str">
        <x:v>Spawn | USA Spawnpoint_FGCP_Base_USA_OH36th [map-95/006]</x:v>
      </x:c>
      <x:c r="C2067" s="136" t="str">
        <x:v>spawn</x:v>
      </x:c>
      <x:c r="D2067" s="136" t="str">
        <x:v>USA</x:v>
      </x:c>
      <x:c r="E2067" s="136" t="str">
        <x:v>Spawnpoint_FGCP_Base_USA_OH36th</x:v>
      </x:c>
      <x:c r="F2067" s="137" t="n">
        <x:v>2097.736083984375</x:v>
      </x:c>
      <x:c r="G2067" s="137" t="n">
        <x:v>991.9105224609375</x:v>
      </x:c>
      <x:c r="H2067" s="137" t="n">
        <x:v>168.29347229003906</x:v>
      </x:c>
      <x:c r="I2067" s="137" t="n">
        <x:v>1314.3666659764558</x:v>
      </x:c>
      <x:c r="J2067" s="137" t="n">
        <x:v>1592.662096895373</x:v>
      </x:c>
      <x:c r="K2067" s="136" t="str">
        <x:v>map-95</x:v>
      </x:c>
      <x:c r="L2067" s="136" t="str">
        <x:v>SouthMountain | Skirmish | Cox's Push||Spawn | USA Spawnpoint_FGCP_Base_USA_OH36th [map-95/006]</x:v>
      </x:c>
      <x:c r="M2067" s="35"/>
      <x:c r="N2067" s="35"/>
      <x:c r="O2067" s="35"/>
      <x:c r="P2067" s="35"/>
      <x:c r="Q2067" s="35"/>
      <x:c r="R2067" s="35"/>
      <x:c r="S2067" s="35"/>
      <x:c r="T2067" s="35"/>
      <x:c r="U2067" s="35"/>
      <x:c r="V2067" s="35"/>
      <x:c r="W2067" s="35"/>
      <x:c r="X2067" s="35"/>
      <x:c r="Y2067" s="35"/>
      <x:c r="Z2067" s="35"/>
      <x:c r="AA2067" s="35"/>
    </x:row>
    <x:row r="2068">
      <x:c r="A2068" s="136" t="str">
        <x:v>SouthMountain | Skirmish | Cox's Push</x:v>
      </x:c>
      <x:c r="B2068" s="136" t="str">
        <x:v>Artillery | CSA Spawnpoint_FGCP_CSA_Arty_Pelham_Forward [map-95/007]</x:v>
      </x:c>
      <x:c r="C2068" s="136" t="str">
        <x:v>battery</x:v>
      </x:c>
      <x:c r="D2068" s="136" t="str">
        <x:v>CSA</x:v>
      </x:c>
      <x:c r="E2068" s="136" t="str">
        <x:v>Spawnpoint_FGCP_CSA_Arty_Pelham_Forward</x:v>
      </x:c>
      <x:c r="F2068" s="137" t="n">
        <x:v>1753.6024169921875</x:v>
      </x:c>
      <x:c r="G2068" s="137" t="n">
        <x:v>1383.42041015625</x:v>
      </x:c>
      <x:c r="H2068" s="137" t="n">
        <x:v>212.2335968017578</x:v>
      </x:c>
      <x:c r="I2068" s="137" t="n">
        <x:v>591.5094868688689</x:v>
      </x:c>
      <x:c r="J2068" s="137" t="n">
        <x:v>770.1883881183892</x:v>
      </x:c>
      <x:c r="K2068" s="136" t="str">
        <x:v>map-95</x:v>
      </x:c>
      <x:c r="L2068" s="136" t="str">
        <x:v>SouthMountain | Skirmish | Cox's Push||Artillery | CSA Spawnpoint_FGCP_CSA_Arty_Pelham_Forward [map-95/007]</x:v>
      </x:c>
      <x:c r="M2068" s="35"/>
      <x:c r="N2068" s="35"/>
      <x:c r="O2068" s="35"/>
      <x:c r="P2068" s="35"/>
      <x:c r="Q2068" s="35"/>
      <x:c r="R2068" s="35"/>
      <x:c r="S2068" s="35"/>
      <x:c r="T2068" s="35"/>
      <x:c r="U2068" s="35"/>
      <x:c r="V2068" s="35"/>
      <x:c r="W2068" s="35"/>
      <x:c r="X2068" s="35"/>
      <x:c r="Y2068" s="35"/>
      <x:c r="Z2068" s="35"/>
      <x:c r="AA2068" s="35"/>
    </x:row>
    <x:row r="2069">
      <x:c r="A2069" s="136" t="str">
        <x:v>SouthMountain | Skirmish | Cox's Push</x:v>
      </x:c>
      <x:c r="B2069" s="136" t="str">
        <x:v>Artillery | CSA Spawnpoint_FGCP_CSA_Arty_Base [map-95/008]</x:v>
      </x:c>
      <x:c r="C2069" s="136" t="str">
        <x:v>battery</x:v>
      </x:c>
      <x:c r="D2069" s="136" t="str">
        <x:v>CSA</x:v>
      </x:c>
      <x:c r="E2069" s="136" t="str">
        <x:v>Spawnpoint_FGCP_CSA_Arty_Base</x:v>
      </x:c>
      <x:c r="F2069" s="137" t="n">
        <x:v>1809.8194580078125</x:v>
      </x:c>
      <x:c r="G2069" s="137" t="n">
        <x:v>1483.4127197265625</x:v>
      </x:c>
      <x:c r="H2069" s="137" t="n">
        <x:v>212.856201171875</x:v>
      </x:c>
      <x:c r="I2069" s="137" t="n">
        <x:v>709.5941021914747</x:v>
      </x:c>
      <x:c r="J2069" s="137" t="n">
        <x:v>559.8163816097215</x:v>
      </x:c>
      <x:c r="K2069" s="136" t="str">
        <x:v>map-95</x:v>
      </x:c>
      <x:c r="L2069" s="136" t="str">
        <x:v>SouthMountain | Skirmish | Cox's Push||Artillery | CSA Spawnpoint_FGCP_CSA_Arty_Base [map-95/008]</x:v>
      </x:c>
      <x:c r="M2069" s="35"/>
      <x:c r="N2069" s="35"/>
      <x:c r="O2069" s="35"/>
      <x:c r="P2069" s="35"/>
      <x:c r="Q2069" s="35"/>
      <x:c r="R2069" s="35"/>
      <x:c r="S2069" s="35"/>
      <x:c r="T2069" s="35"/>
      <x:c r="U2069" s="35"/>
      <x:c r="V2069" s="35"/>
      <x:c r="W2069" s="35"/>
      <x:c r="X2069" s="35"/>
      <x:c r="Y2069" s="35"/>
      <x:c r="Z2069" s="35"/>
      <x:c r="AA2069" s="35"/>
    </x:row>
    <x:row r="2070">
      <x:c r="A2070" s="136" t="str">
        <x:v>SouthMountain | Skirmish | Cox's Push</x:v>
      </x:c>
      <x:c r="B2070" s="136" t="str">
        <x:v>Spawn | CSA Spawnpoint_FGCP_Base_CSA_NC5th-2 [map-95/009]</x:v>
      </x:c>
      <x:c r="C2070" s="136" t="str">
        <x:v>spawn</x:v>
      </x:c>
      <x:c r="D2070" s="136" t="str">
        <x:v>CSA</x:v>
      </x:c>
      <x:c r="E2070" s="136" t="str">
        <x:v>Spawnpoint_FGCP_Base_CSA_NC5th-2</x:v>
      </x:c>
      <x:c r="F2070" s="137" t="n">
        <x:v>1791.266357421875</x:v>
      </x:c>
      <x:c r="G2070" s="137" t="n">
        <x:v>1472.398193359375</x:v>
      </x:c>
      <x:c r="H2070" s="137" t="n">
        <x:v>213.14344787597656</x:v>
      </x:c>
      <x:c r="I2070" s="137" t="n">
        <x:v>670.6230765709138</x:v>
      </x:c>
      <x:c r="J2070" s="137" t="n">
        <x:v>583.0163004823198</x:v>
      </x:c>
      <x:c r="K2070" s="136" t="str">
        <x:v>map-95</x:v>
      </x:c>
      <x:c r="L2070" s="136" t="str">
        <x:v>SouthMountain | Skirmish | Cox's Push||Spawn | CSA Spawnpoint_FGCP_Base_CSA_NC5th-2 [map-95/009]</x:v>
      </x:c>
      <x:c r="M2070" s="35"/>
      <x:c r="N2070" s="35"/>
      <x:c r="O2070" s="35"/>
      <x:c r="P2070" s="35"/>
      <x:c r="Q2070" s="35"/>
      <x:c r="R2070" s="35"/>
      <x:c r="S2070" s="35"/>
      <x:c r="T2070" s="35"/>
      <x:c r="U2070" s="35"/>
      <x:c r="V2070" s="35"/>
      <x:c r="W2070" s="35"/>
      <x:c r="X2070" s="35"/>
      <x:c r="Y2070" s="35"/>
      <x:c r="Z2070" s="35"/>
      <x:c r="AA2070" s="35"/>
    </x:row>
    <x:row r="2071">
      <x:c r="A2071" s="136" t="str">
        <x:v>SouthMountain | Skirmish | Cox's Push</x:v>
      </x:c>
      <x:c r="B2071" s="136" t="str">
        <x:v>Spawn | CSA Spawnpoint_FGCP_Defend_CSA_NC5th [map-95/010]</x:v>
      </x:c>
      <x:c r="C2071" s="136" t="str">
        <x:v>spawn</x:v>
      </x:c>
      <x:c r="D2071" s="136" t="str">
        <x:v>CSA</x:v>
      </x:c>
      <x:c r="E2071" s="136" t="str">
        <x:v>Spawnpoint_FGCP_Defend_CSA_NC5th</x:v>
      </x:c>
      <x:c r="F2071" s="137" t="n">
        <x:v>1865.4012451171875</x:v>
      </x:c>
      <x:c r="G2071" s="137" t="n">
        <x:v>1230.423828125</x:v>
      </x:c>
      <x:c r="H2071" s="137" t="n">
        <x:v>191.0867462158203</x:v>
      </x:c>
      <x:c r="I2071" s="137" t="n">
        <x:v>826.3443585404223</x:v>
      </x:c>
      <x:c r="J2071" s="137" t="n">
        <x:v>1091.648516372382</x:v>
      </x:c>
      <x:c r="K2071" s="136" t="str">
        <x:v>map-95</x:v>
      </x:c>
      <x:c r="L2071" s="136" t="str">
        <x:v>SouthMountain | Skirmish | Cox's Push||Spawn | CSA Spawnpoint_FGCP_Defend_CSA_NC5th [map-95/010]</x:v>
      </x:c>
      <x:c r="M2071" s="35"/>
      <x:c r="N2071" s="35"/>
      <x:c r="O2071" s="35"/>
      <x:c r="P2071" s="35"/>
      <x:c r="Q2071" s="35"/>
      <x:c r="R2071" s="35"/>
      <x:c r="S2071" s="35"/>
      <x:c r="T2071" s="35"/>
      <x:c r="U2071" s="35"/>
      <x:c r="V2071" s="35"/>
      <x:c r="W2071" s="35"/>
      <x:c r="X2071" s="35"/>
      <x:c r="Y2071" s="35"/>
      <x:c r="Z2071" s="35"/>
      <x:c r="AA2071" s="35"/>
    </x:row>
    <x:row r="2072">
      <x:c r="A2072" s="136" t="str">
        <x:v>SouthMountain | Skirmish | Cox's Push</x:v>
      </x:c>
      <x:c r="B2072" s="136" t="str">
        <x:v>Spawn | CSA Spawnpoint_FGCP_Base_CSA_NC23rd [map-95/011]</x:v>
      </x:c>
      <x:c r="C2072" s="136" t="str">
        <x:v>spawn</x:v>
      </x:c>
      <x:c r="D2072" s="136" t="str">
        <x:v>CSA</x:v>
      </x:c>
      <x:c r="E2072" s="136" t="str">
        <x:v>Spawnpoint_FGCP_Base_CSA_NC23rd</x:v>
      </x:c>
      <x:c r="F2072" s="137" t="n">
        <x:v>1816.1937255859375</x:v>
      </x:c>
      <x:c r="G2072" s="137" t="n">
        <x:v>1462.660888671875</x:v>
      </x:c>
      <x:c r="H2072" s="137" t="n">
        <x:v>212.85829162597656</x:v>
      </x:c>
      <x:c r="I2072" s="137" t="n">
        <x:v>722.9833329536743</x:v>
      </x:c>
      <x:c r="J2072" s="137" t="n">
        <x:v>603.4368751738136</x:v>
      </x:c>
      <x:c r="K2072" s="136" t="str">
        <x:v>map-95</x:v>
      </x:c>
      <x:c r="L2072" s="136" t="str">
        <x:v>SouthMountain | Skirmish | Cox's Push||Spawn | CSA Spawnpoint_FGCP_Base_CSA_NC23rd [map-95/011]</x:v>
      </x:c>
      <x:c r="M2072" s="35"/>
      <x:c r="N2072" s="35"/>
      <x:c r="O2072" s="35"/>
      <x:c r="P2072" s="35"/>
      <x:c r="Q2072" s="35"/>
      <x:c r="R2072" s="35"/>
      <x:c r="S2072" s="35"/>
      <x:c r="T2072" s="35"/>
      <x:c r="U2072" s="35"/>
      <x:c r="V2072" s="35"/>
      <x:c r="W2072" s="35"/>
      <x:c r="X2072" s="35"/>
      <x:c r="Y2072" s="35"/>
      <x:c r="Z2072" s="35"/>
      <x:c r="AA2072" s="35"/>
    </x:row>
    <x:row r="2073">
      <x:c r="A2073" s="136" t="str">
        <x:v>SouthMountain | Skirmish | Cox's Push</x:v>
      </x:c>
      <x:c r="B2073" s="136" t="str">
        <x:v>Spawn | USA Spawnpoint_FGCP_Base_USA_OH23rd [map-95/012]</x:v>
      </x:c>
      <x:c r="C2073" s="136" t="str">
        <x:v>spawn</x:v>
      </x:c>
      <x:c r="D2073" s="136" t="str">
        <x:v>USA</x:v>
      </x:c>
      <x:c r="E2073" s="136" t="str">
        <x:v>Spawnpoint_FGCP_Base_USA_OH23rd</x:v>
      </x:c>
      <x:c r="F2073" s="137" t="n">
        <x:v>2120.2265625</x:v>
      </x:c>
      <x:c r="G2073" s="137" t="n">
        <x:v>1005.6004028320312</x:v>
      </x:c>
      <x:c r="H2073" s="137" t="n">
        <x:v>164.91445922851562</x:v>
      </x:c>
      <x:c r="I2073" s="137" t="n">
        <x:v>1361.6082044131863</x:v>
      </x:c>
      <x:c r="J2073" s="137" t="n">
        <x:v>1563.8283017365197</x:v>
      </x:c>
      <x:c r="K2073" s="136" t="str">
        <x:v>map-95</x:v>
      </x:c>
      <x:c r="L2073" s="136" t="str">
        <x:v>SouthMountain | Skirmish | Cox's Push||Spawn | USA Spawnpoint_FGCP_Base_USA_OH23rd [map-95/012]</x:v>
      </x:c>
      <x:c r="M2073" s="35"/>
      <x:c r="N2073" s="35"/>
      <x:c r="O2073" s="35"/>
      <x:c r="P2073" s="35"/>
      <x:c r="Q2073" s="35"/>
      <x:c r="R2073" s="35"/>
      <x:c r="S2073" s="35"/>
      <x:c r="T2073" s="35"/>
      <x:c r="U2073" s="35"/>
      <x:c r="V2073" s="35"/>
      <x:c r="W2073" s="35"/>
      <x:c r="X2073" s="35"/>
      <x:c r="Y2073" s="35"/>
      <x:c r="Z2073" s="35"/>
      <x:c r="AA2073" s="35"/>
    </x:row>
    <x:row r="2074">
      <x:c r="A2074" s="136" t="str">
        <x:v>SouthMountain | Skirmish | Cox's Push</x:v>
      </x:c>
      <x:c r="B2074" s="136" t="str">
        <x:v>Spawn | CSA Spawnpoint_FGCP_Defend_CSA_NC5th-2 [map-95/013]</x:v>
      </x:c>
      <x:c r="C2074" s="136" t="str">
        <x:v>spawn</x:v>
      </x:c>
      <x:c r="D2074" s="136" t="str">
        <x:v>CSA</x:v>
      </x:c>
      <x:c r="E2074" s="136" t="str">
        <x:v>Spawnpoint_FGCP_Defend_CSA_NC5th-2</x:v>
      </x:c>
      <x:c r="F2074" s="137" t="n">
        <x:v>1847.4666748046875</x:v>
      </x:c>
      <x:c r="G2074" s="137" t="n">
        <x:v>1221.0599365234375</x:v>
      </x:c>
      <x:c r="H2074" s="137" t="n">
        <x:v>192.27133178710938</x:v>
      </x:c>
      <x:c r="I2074" s="137" t="n">
        <x:v>788.6725636884098</x:v>
      </x:c>
      <x:c r="J2074" s="137" t="n">
        <x:v>1111.3763621171074</x:v>
      </x:c>
      <x:c r="K2074" s="136" t="str">
        <x:v>map-95</x:v>
      </x:c>
      <x:c r="L2074" s="136" t="str">
        <x:v>SouthMountain | Skirmish | Cox's Push||Spawn | CSA Spawnpoint_FGCP_Defend_CSA_NC5th-2 [map-95/013]</x:v>
      </x:c>
      <x:c r="M2074" s="35"/>
      <x:c r="N2074" s="35"/>
      <x:c r="O2074" s="35"/>
      <x:c r="P2074" s="35"/>
      <x:c r="Q2074" s="35"/>
      <x:c r="R2074" s="35"/>
      <x:c r="S2074" s="35"/>
      <x:c r="T2074" s="35"/>
      <x:c r="U2074" s="35"/>
      <x:c r="V2074" s="35"/>
      <x:c r="W2074" s="35"/>
      <x:c r="X2074" s="35"/>
      <x:c r="Y2074" s="35"/>
      <x:c r="Z2074" s="35"/>
      <x:c r="AA2074" s="35"/>
    </x:row>
    <x:row r="2075">
      <x:c r="A2075" s="136" t="str">
        <x:v>SouthMountain | Skirmish | Cox's Push</x:v>
      </x:c>
      <x:c r="B2075" s="136" t="str">
        <x:v>Spawn | USA Spawnpoint_FGCP_Base_USA_OH36th-2 [map-95/014]</x:v>
      </x:c>
      <x:c r="C2075" s="136" t="str">
        <x:v>spawn</x:v>
      </x:c>
      <x:c r="D2075" s="136" t="str">
        <x:v>USA</x:v>
      </x:c>
      <x:c r="E2075" s="136" t="str">
        <x:v>Spawnpoint_FGCP_Base_USA_OH36th-2</x:v>
      </x:c>
      <x:c r="F2075" s="137" t="n">
        <x:v>2103.89794921875</x:v>
      </x:c>
      <x:c r="G2075" s="137" t="n">
        <x:v>983.8072509765625</x:v>
      </x:c>
      <x:c r="H2075" s="137" t="n">
        <x:v>167.36602783203125</x:v>
      </x:c>
      <x:c r="I2075" s="137" t="n">
        <x:v>1327.3097428927358</x:v>
      </x:c>
      <x:c r="J2075" s="137" t="n">
        <x:v>1609.6873093309757</x:v>
      </x:c>
      <x:c r="K2075" s="136" t="str">
        <x:v>map-95</x:v>
      </x:c>
      <x:c r="L2075" s="136" t="str">
        <x:v>SouthMountain | Skirmish | Cox's Push||Spawn | USA Spawnpoint_FGCP_Base_USA_OH36th-2 [map-95/014]</x:v>
      </x:c>
      <x:c r="M2075" s="35"/>
      <x:c r="N2075" s="35"/>
      <x:c r="O2075" s="35"/>
      <x:c r="P2075" s="35"/>
      <x:c r="Q2075" s="35"/>
      <x:c r="R2075" s="35"/>
      <x:c r="S2075" s="35"/>
      <x:c r="T2075" s="35"/>
      <x:c r="U2075" s="35"/>
      <x:c r="V2075" s="35"/>
      <x:c r="W2075" s="35"/>
      <x:c r="X2075" s="35"/>
      <x:c r="Y2075" s="35"/>
      <x:c r="Z2075" s="35"/>
      <x:c r="AA2075" s="35"/>
    </x:row>
    <x:row r="2076">
      <x:c r="A2076" s="136" t="str">
        <x:v>SouthMountain | Skirmish | Cox's Push</x:v>
      </x:c>
      <x:c r="B2076" s="136" t="str">
        <x:v>Spawn | CSA Spawnpoint_FGCP_Base_CSA_NC23rd-2 [map-95/015]</x:v>
      </x:c>
      <x:c r="C2076" s="136" t="str">
        <x:v>spawn</x:v>
      </x:c>
      <x:c r="D2076" s="136" t="str">
        <x:v>CSA</x:v>
      </x:c>
      <x:c r="E2076" s="136" t="str">
        <x:v>Spawnpoint_FGCP_Base_CSA_NC23rd-2</x:v>
      </x:c>
      <x:c r="F2076" s="137" t="n">
        <x:v>1819.474853515625</x:v>
      </x:c>
      <x:c r="G2076" s="137" t="n">
        <x:v>1451.87890625</x:v>
      </x:c>
      <x:c r="H2076" s="137" t="n">
        <x:v>211.6309051513672</x:v>
      </x:c>
      <x:c r="I2076" s="137" t="n">
        <x:v>729.8753842321064</x:v>
      </x:c>
      <x:c r="J2076" s="137" t="n">
        <x:v>626.1007436841242</x:v>
      </x:c>
      <x:c r="K2076" s="136" t="str">
        <x:v>map-95</x:v>
      </x:c>
      <x:c r="L2076" s="136" t="str">
        <x:v>SouthMountain | Skirmish | Cox's Push||Spawn | CSA Spawnpoint_FGCP_Base_CSA_NC23rd-2 [map-95/015]</x:v>
      </x:c>
      <x:c r="M2076" s="35"/>
      <x:c r="N2076" s="35"/>
      <x:c r="O2076" s="35"/>
      <x:c r="P2076" s="35"/>
      <x:c r="Q2076" s="35"/>
      <x:c r="R2076" s="35"/>
      <x:c r="S2076" s="35"/>
      <x:c r="T2076" s="35"/>
      <x:c r="U2076" s="35"/>
      <x:c r="V2076" s="35"/>
      <x:c r="W2076" s="35"/>
      <x:c r="X2076" s="35"/>
      <x:c r="Y2076" s="35"/>
      <x:c r="Z2076" s="35"/>
      <x:c r="AA2076" s="35"/>
    </x:row>
    <x:row r="2077">
      <x:c r="A2077" s="136" t="str">
        <x:v>SouthMountain | Skirmish | Cox's Push</x:v>
      </x:c>
      <x:c r="B2077" s="136" t="str">
        <x:v>Gun | 12-pounder Napoleon (USA) · 3InchOrdnanceRfile-17 [map-95/016]</x:v>
      </x:c>
      <x:c r="C2077" s="136" t="str">
        <x:v>gun_spawn</x:v>
      </x:c>
      <x:c r="D2077" s="136" t="str"/>
      <x:c r="E2077" s="136" t="str">
        <x:v>12-pounder Napoleon (USA) · 3InchOrdnanceRfile-17</x:v>
      </x:c>
      <x:c r="F2077" s="137" t="n">
        <x:v>1768.1285400390625</x:v>
      </x:c>
      <x:c r="G2077" s="137" t="n">
        <x:v>1360.369384765625</x:v>
      </x:c>
      <x:c r="H2077" s="137" t="n">
        <x:v>210.76083374023438</x:v>
      </x:c>
      <x:c r="I2077" s="137" t="n">
        <x:v>622.0217945451536</x:v>
      </x:c>
      <x:c r="J2077" s="137" t="n">
        <x:v>818.625747110531</x:v>
      </x:c>
      <x:c r="K2077" s="136" t="str">
        <x:v>map-95</x:v>
      </x:c>
      <x:c r="L2077" s="136" t="str">
        <x:v>SouthMountain | Skirmish | Cox's Push||Gun | 12-pounder Napoleon (USA) · 3InchOrdnanceRfile-17 [map-95/016]</x:v>
      </x:c>
      <x:c r="M2077" s="35"/>
      <x:c r="N2077" s="35"/>
      <x:c r="O2077" s="35"/>
      <x:c r="P2077" s="35"/>
      <x:c r="Q2077" s="35"/>
      <x:c r="R2077" s="35"/>
      <x:c r="S2077" s="35"/>
      <x:c r="T2077" s="35"/>
      <x:c r="U2077" s="35"/>
      <x:c r="V2077" s="35"/>
      <x:c r="W2077" s="35"/>
      <x:c r="X2077" s="35"/>
      <x:c r="Y2077" s="35"/>
      <x:c r="Z2077" s="35"/>
      <x:c r="AA2077" s="35"/>
    </x:row>
    <x:row r="2078">
      <x:c r="A2078" s="136" t="str">
        <x:v>SouthMountain | Skirmish | Cox's Push</x:v>
      </x:c>
      <x:c r="B2078" s="136" t="str">
        <x:v>Gun | 3-inch Ordnance · 3InchOrdnanceRfile-16 [map-95/017]</x:v>
      </x:c>
      <x:c r="C2078" s="136" t="str">
        <x:v>gun_spawn</x:v>
      </x:c>
      <x:c r="D2078" s="136" t="str"/>
      <x:c r="E2078" s="136" t="str">
        <x:v>3-inch Ordnance · 3InchOrdnanceRfile-16</x:v>
      </x:c>
      <x:c r="F2078" s="137" t="n">
        <x:v>1759.2515869140625</x:v>
      </x:c>
      <x:c r="G2078" s="137" t="n">
        <x:v>1359.013671875</x:v>
      </x:c>
      <x:c r="H2078" s="137" t="n">
        <x:v>211.00318908691406</x:v>
      </x:c>
      <x:c r="I2078" s="137" t="n">
        <x:v>603.3756407087914</x:v>
      </x:c>
      <x:c r="J2078" s="137" t="n">
        <x:v>821.4955070092486</x:v>
      </x:c>
      <x:c r="K2078" s="136" t="str">
        <x:v>map-95</x:v>
      </x:c>
      <x:c r="L2078" s="136" t="str">
        <x:v>SouthMountain | Skirmish | Cox's Push||Gun | 3-inch Ordnance · 3InchOrdnanceRfile-16 [map-95/017]</x:v>
      </x:c>
      <x:c r="M2078" s="35"/>
      <x:c r="N2078" s="35"/>
      <x:c r="O2078" s="35"/>
      <x:c r="P2078" s="35"/>
      <x:c r="Q2078" s="35"/>
      <x:c r="R2078" s="35"/>
      <x:c r="S2078" s="35"/>
      <x:c r="T2078" s="35"/>
      <x:c r="U2078" s="35"/>
      <x:c r="V2078" s="35"/>
      <x:c r="W2078" s="35"/>
      <x:c r="X2078" s="35"/>
      <x:c r="Y2078" s="35"/>
      <x:c r="Z2078" s="35"/>
      <x:c r="AA2078" s="35"/>
    </x:row>
    <x:row r="2079">
      <x:c r="A2079" s="136" t="str">
        <x:v>SouthMountain | Skirmish | Hatch's Attack</x:v>
      </x:c>
      <x:c r="B2079" s="136" t="str">
        <x:v>Objective | Victory_Turners_Gap_Hatchs_Attack [map-96/001]</x:v>
      </x:c>
      <x:c r="C2079" s="136" t="str">
        <x:v>objective</x:v>
      </x:c>
      <x:c r="D2079" s="136" t="str"/>
      <x:c r="E2079" s="136" t="str">
        <x:v>Victory_Turners_Gap_Hatchs_Attack</x:v>
      </x:c>
      <x:c r="F2079" s="137" t="n">
        <x:v>2865.7685546875</x:v>
      </x:c>
      <x:c r="G2079" s="137" t="n">
        <x:v>3608.69287109375</x:v>
      </x:c>
      <x:c r="H2079" s="137" t="n">
        <x:v>256.0682678222656</x:v>
      </x:c>
      <x:c r="I2079" s="137" t="n">
        <x:v>875.9594455159993</x:v>
      </x:c>
      <x:c r="J2079" s="137" t="n">
        <x:v>988.6826405684711</x:v>
      </x:c>
      <x:c r="K2079" s="136" t="str">
        <x:v>map-96</x:v>
      </x:c>
      <x:c r="L2079" s="136" t="str">
        <x:v>SouthMountain | Skirmish | Hatch's Attack||Objective | Victory_Turners_Gap_Hatchs_Attack [map-96/001]</x:v>
      </x:c>
      <x:c r="M2079" s="35"/>
      <x:c r="N2079" s="35"/>
      <x:c r="O2079" s="35"/>
      <x:c r="P2079" s="35"/>
      <x:c r="Q2079" s="35"/>
      <x:c r="R2079" s="35"/>
      <x:c r="S2079" s="35"/>
      <x:c r="T2079" s="35"/>
      <x:c r="U2079" s="35"/>
      <x:c r="V2079" s="35"/>
      <x:c r="W2079" s="35"/>
      <x:c r="X2079" s="35"/>
      <x:c r="Y2079" s="35"/>
      <x:c r="Z2079" s="35"/>
      <x:c r="AA2079" s="35"/>
    </x:row>
    <x:row r="2080">
      <x:c r="A2080" s="136" t="str">
        <x:v>SouthMountain | Skirmish | Hatch's Attack</x:v>
      </x:c>
      <x:c r="B2080" s="136" t="str">
        <x:v>Spawn | CSA Spawnpoint_TGHA_Defend_CSA_VA56th [map-96/002]</x:v>
      </x:c>
      <x:c r="C2080" s="136" t="str">
        <x:v>spawn</x:v>
      </x:c>
      <x:c r="D2080" s="136" t="str">
        <x:v>CSA</x:v>
      </x:c>
      <x:c r="E2080" s="136" t="str">
        <x:v>Spawnpoint_TGHA_Defend_CSA_VA56th</x:v>
      </x:c>
      <x:c r="F2080" s="137" t="n">
        <x:v>2862.55517578125</x:v>
      </x:c>
      <x:c r="G2080" s="137" t="n">
        <x:v>3620.633056640625</x:v>
      </x:c>
      <x:c r="H2080" s="137" t="n">
        <x:v>255.9720001220703</x:v>
      </x:c>
      <x:c r="I2080" s="137" t="n">
        <x:v>868.9359663232607</x:v>
      </x:c>
      <x:c r="J2080" s="137" t="n">
        <x:v>962.6405745549819</x:v>
      </x:c>
      <x:c r="K2080" s="136" t="str">
        <x:v>map-96</x:v>
      </x:c>
      <x:c r="L2080" s="136" t="str">
        <x:v>SouthMountain | Skirmish | Hatch's Attack||Spawn | CSA Spawnpoint_TGHA_Defend_CSA_VA56th [map-96/002]</x:v>
      </x:c>
      <x:c r="M2080" s="35"/>
      <x:c r="N2080" s="35"/>
      <x:c r="O2080" s="35"/>
      <x:c r="P2080" s="35"/>
      <x:c r="Q2080" s="35"/>
      <x:c r="R2080" s="35"/>
      <x:c r="S2080" s="35"/>
      <x:c r="T2080" s="35"/>
      <x:c r="U2080" s="35"/>
      <x:c r="V2080" s="35"/>
      <x:c r="W2080" s="35"/>
      <x:c r="X2080" s="35"/>
      <x:c r="Y2080" s="35"/>
      <x:c r="Z2080" s="35"/>
      <x:c r="AA2080" s="35"/>
    </x:row>
    <x:row r="2081">
      <x:c r="A2081" s="136" t="str">
        <x:v>SouthMountain | Skirmish | Hatch's Attack</x:v>
      </x:c>
      <x:c r="B2081" s="136" t="str">
        <x:v>Spawn | USA Spawnpoint_TGHA_Base_USA_NY23rd-2 [map-96/003]</x:v>
      </x:c>
      <x:c r="C2081" s="136" t="str">
        <x:v>spawn</x:v>
      </x:c>
      <x:c r="D2081" s="136" t="str">
        <x:v>USA</x:v>
      </x:c>
      <x:c r="E2081" s="136" t="str">
        <x:v>Spawnpoint_TGHA_Base_USA_NY23rd-2</x:v>
      </x:c>
      <x:c r="F2081" s="137" t="n">
        <x:v>3180.137451171875</x:v>
      </x:c>
      <x:c r="G2081" s="137" t="n">
        <x:v>3602.147216796875</x:v>
      </x:c>
      <x:c r="H2081" s="137" t="n">
        <x:v>182.38626098632812</x:v>
      </x:c>
      <x:c r="I2081" s="137" t="n">
        <x:v>1563.0752409821714</x:v>
      </x:c>
      <x:c r="J2081" s="137" t="n">
        <x:v>1002.9589983881629</x:v>
      </x:c>
      <x:c r="K2081" s="136" t="str">
        <x:v>map-96</x:v>
      </x:c>
      <x:c r="L2081" s="136" t="str">
        <x:v>SouthMountain | Skirmish | Hatch's Attack||Spawn | USA Spawnpoint_TGHA_Base_USA_NY23rd-2 [map-96/003]</x:v>
      </x:c>
      <x:c r="M2081" s="35"/>
      <x:c r="N2081" s="35"/>
      <x:c r="O2081" s="35"/>
      <x:c r="P2081" s="35"/>
      <x:c r="Q2081" s="35"/>
      <x:c r="R2081" s="35"/>
      <x:c r="S2081" s="35"/>
      <x:c r="T2081" s="35"/>
      <x:c r="U2081" s="35"/>
      <x:c r="V2081" s="35"/>
      <x:c r="W2081" s="35"/>
      <x:c r="X2081" s="35"/>
      <x:c r="Y2081" s="35"/>
      <x:c r="Z2081" s="35"/>
      <x:c r="AA2081" s="35"/>
    </x:row>
    <x:row r="2082">
      <x:c r="A2082" s="136" t="str">
        <x:v>SouthMountain | Skirmish | Hatch's Attack</x:v>
      </x:c>
      <x:c r="B2082" s="136" t="str">
        <x:v>Spawn | CSA Spawnpoint_TGHA_Defend_CSA_VA56th-2 [map-96/004]</x:v>
      </x:c>
      <x:c r="C2082" s="136" t="str">
        <x:v>spawn</x:v>
      </x:c>
      <x:c r="D2082" s="136" t="str">
        <x:v>CSA</x:v>
      </x:c>
      <x:c r="E2082" s="136" t="str">
        <x:v>Spawnpoint_TGHA_Defend_CSA_VA56th-2</x:v>
      </x:c>
      <x:c r="F2082" s="137" t="n">
        <x:v>2855.7236328125</x:v>
      </x:c>
      <x:c r="G2082" s="137" t="n">
        <x:v>3606.59765625</x:v>
      </x:c>
      <x:c r="H2082" s="137" t="n">
        <x:v>256.622802734375</x:v>
      </x:c>
      <x:c r="I2082" s="137" t="n">
        <x:v>854.0042694100856</x:v>
      </x:c>
      <x:c r="J2082" s="137" t="n">
        <x:v>993.2523956245524</x:v>
      </x:c>
      <x:c r="K2082" s="136" t="str">
        <x:v>map-96</x:v>
      </x:c>
      <x:c r="L2082" s="136" t="str">
        <x:v>SouthMountain | Skirmish | Hatch's Attack||Spawn | CSA Spawnpoint_TGHA_Defend_CSA_VA56th-2 [map-96/004]</x:v>
      </x:c>
      <x:c r="M2082" s="35"/>
      <x:c r="N2082" s="35"/>
      <x:c r="O2082" s="35"/>
      <x:c r="P2082" s="35"/>
      <x:c r="Q2082" s="35"/>
      <x:c r="R2082" s="35"/>
      <x:c r="S2082" s="35"/>
      <x:c r="T2082" s="35"/>
      <x:c r="U2082" s="35"/>
      <x:c r="V2082" s="35"/>
      <x:c r="W2082" s="35"/>
      <x:c r="X2082" s="35"/>
      <x:c r="Y2082" s="35"/>
      <x:c r="Z2082" s="35"/>
      <x:c r="AA2082" s="35"/>
    </x:row>
    <x:row r="2083">
      <x:c r="A2083" s="136" t="str">
        <x:v>SouthMountain | Skirmish | Hatch's Attack</x:v>
      </x:c>
      <x:c r="B2083" s="136" t="str">
        <x:v>Spawn | CSA Spawnpoint_TGHA_Defend_CSA_VA18th-2 [map-96/005]</x:v>
      </x:c>
      <x:c r="C2083" s="136" t="str">
        <x:v>spawn</x:v>
      </x:c>
      <x:c r="D2083" s="136" t="str">
        <x:v>CSA</x:v>
      </x:c>
      <x:c r="E2083" s="136" t="str">
        <x:v>Spawnpoint_TGHA_Defend_CSA_VA18th-2</x:v>
      </x:c>
      <x:c r="F2083" s="137" t="n">
        <x:v>2869.264404296875</x:v>
      </x:c>
      <x:c r="G2083" s="137" t="n">
        <x:v>3654.669921875</x:v>
      </x:c>
      <x:c r="H2083" s="137" t="n">
        <x:v>254.3942413330078</x:v>
      </x:c>
      <x:c r="I2083" s="137" t="n">
        <x:v>883.6003206535789</x:v>
      </x:c>
      <x:c r="J2083" s="137" t="n">
        <x:v>888.4046853515832</x:v>
      </x:c>
      <x:c r="K2083" s="136" t="str">
        <x:v>map-96</x:v>
      </x:c>
      <x:c r="L2083" s="136" t="str">
        <x:v>SouthMountain | Skirmish | Hatch's Attack||Spawn | CSA Spawnpoint_TGHA_Defend_CSA_VA18th-2 [map-96/005]</x:v>
      </x:c>
      <x:c r="M2083" s="35"/>
      <x:c r="N2083" s="35"/>
      <x:c r="O2083" s="35"/>
      <x:c r="P2083" s="35"/>
      <x:c r="Q2083" s="35"/>
      <x:c r="R2083" s="35"/>
      <x:c r="S2083" s="35"/>
      <x:c r="T2083" s="35"/>
      <x:c r="U2083" s="35"/>
      <x:c r="V2083" s="35"/>
      <x:c r="W2083" s="35"/>
      <x:c r="X2083" s="35"/>
      <x:c r="Y2083" s="35"/>
      <x:c r="Z2083" s="35"/>
      <x:c r="AA2083" s="35"/>
    </x:row>
    <x:row r="2084">
      <x:c r="A2084" s="136" t="str">
        <x:v>SouthMountain | Skirmish | Hatch's Attack</x:v>
      </x:c>
      <x:c r="B2084" s="136" t="str">
        <x:v>Spawn | CSA Spawnpoint_TGHA_Base_CSA_VA18th [map-96/006]</x:v>
      </x:c>
      <x:c r="C2084" s="136" t="str">
        <x:v>spawn</x:v>
      </x:c>
      <x:c r="D2084" s="136" t="str">
        <x:v>CSA</x:v>
      </x:c>
      <x:c r="E2084" s="136" t="str">
        <x:v>Spawnpoint_TGHA_Base_CSA_VA18th</x:v>
      </x:c>
      <x:c r="F2084" s="137" t="n">
        <x:v>2685.449951171875</x:v>
      </x:c>
      <x:c r="G2084" s="137" t="n">
        <x:v>3714.900390625</x:v>
      </x:c>
      <x:c r="H2084" s="137" t="n">
        <x:v>245.8550567626953</x:v>
      </x:c>
      <x:c r="I2084" s="137" t="n">
        <x:v>481.83724679477126</x:v>
      </x:c>
      <x:c r="J2084" s="137" t="n">
        <x:v>757.0394032080892</x:v>
      </x:c>
      <x:c r="K2084" s="136" t="str">
        <x:v>map-96</x:v>
      </x:c>
      <x:c r="L2084" s="136" t="str">
        <x:v>SouthMountain | Skirmish | Hatch's Attack||Spawn | CSA Spawnpoint_TGHA_Base_CSA_VA18th [map-96/006]</x:v>
      </x:c>
      <x:c r="M2084" s="35"/>
      <x:c r="N2084" s="35"/>
      <x:c r="O2084" s="35"/>
      <x:c r="P2084" s="35"/>
      <x:c r="Q2084" s="35"/>
      <x:c r="R2084" s="35"/>
      <x:c r="S2084" s="35"/>
      <x:c r="T2084" s="35"/>
      <x:c r="U2084" s="35"/>
      <x:c r="V2084" s="35"/>
      <x:c r="W2084" s="35"/>
      <x:c r="X2084" s="35"/>
      <x:c r="Y2084" s="35"/>
      <x:c r="Z2084" s="35"/>
      <x:c r="AA2084" s="35"/>
    </x:row>
    <x:row r="2085">
      <x:c r="A2085" s="136" t="str">
        <x:v>SouthMountain | Skirmish | Hatch's Attack</x:v>
      </x:c>
      <x:c r="B2085" s="136" t="str">
        <x:v>Spawn | CSA Spawnpoint_TGHA_Base_CSA_VA18th-2 [map-96/007]</x:v>
      </x:c>
      <x:c r="C2085" s="136" t="str">
        <x:v>spawn</x:v>
      </x:c>
      <x:c r="D2085" s="136" t="str">
        <x:v>CSA</x:v>
      </x:c>
      <x:c r="E2085" s="136" t="str">
        <x:v>Spawnpoint_TGHA_Base_CSA_VA18th-2</x:v>
      </x:c>
      <x:c r="F2085" s="137" t="n">
        <x:v>2682.5498046875</x:v>
      </x:c>
      <x:c r="G2085" s="137" t="n">
        <x:v>3733.533203125</x:v>
      </x:c>
      <x:c r="H2085" s="137" t="n">
        <x:v>243.0966033935547</x:v>
      </x:c>
      <x:c r="I2085" s="137" t="n">
        <x:v>475.49839940603545</x:v>
      </x:c>
      <x:c r="J2085" s="137" t="n">
        <x:v>716.4004255944653</x:v>
      </x:c>
      <x:c r="K2085" s="136" t="str">
        <x:v>map-96</x:v>
      </x:c>
      <x:c r="L2085" s="136" t="str">
        <x:v>SouthMountain | Skirmish | Hatch's Attack||Spawn | CSA Spawnpoint_TGHA_Base_CSA_VA18th-2 [map-96/007]</x:v>
      </x:c>
      <x:c r="M2085" s="35"/>
      <x:c r="N2085" s="35"/>
      <x:c r="O2085" s="35"/>
      <x:c r="P2085" s="35"/>
      <x:c r="Q2085" s="35"/>
      <x:c r="R2085" s="35"/>
      <x:c r="S2085" s="35"/>
      <x:c r="T2085" s="35"/>
      <x:c r="U2085" s="35"/>
      <x:c r="V2085" s="35"/>
      <x:c r="W2085" s="35"/>
      <x:c r="X2085" s="35"/>
      <x:c r="Y2085" s="35"/>
      <x:c r="Z2085" s="35"/>
      <x:c r="AA2085" s="35"/>
    </x:row>
    <x:row r="2086">
      <x:c r="A2086" s="136" t="str">
        <x:v>SouthMountain | Skirmish | Hatch's Attack</x:v>
      </x:c>
      <x:c r="B2086" s="136" t="str">
        <x:v>Spawn | USA Spawnpoint_TGHA_Base_USA_NY23rd [map-96/008]</x:v>
      </x:c>
      <x:c r="C2086" s="136" t="str">
        <x:v>spawn</x:v>
      </x:c>
      <x:c r="D2086" s="136" t="str">
        <x:v>USA</x:v>
      </x:c>
      <x:c r="E2086" s="136" t="str">
        <x:v>Spawnpoint_TGHA_Base_USA_NY23rd</x:v>
      </x:c>
      <x:c r="F2086" s="137" t="n">
        <x:v>3175.68701171875</x:v>
      </x:c>
      <x:c r="G2086" s="137" t="n">
        <x:v>3588.2734375</x:v>
      </x:c>
      <x:c r="H2086" s="137" t="n">
        <x:v>184.4044647216797</x:v>
      </x:c>
      <x:c r="I2086" s="137" t="n">
        <x:v>1553.3479197388626</x:v>
      </x:c>
      <x:c r="J2086" s="137" t="n">
        <x:v>1033.2183167955188</x:v>
      </x:c>
      <x:c r="K2086" s="136" t="str">
        <x:v>map-96</x:v>
      </x:c>
      <x:c r="L2086" s="136" t="str">
        <x:v>SouthMountain | Skirmish | Hatch's Attack||Spawn | USA Spawnpoint_TGHA_Base_USA_NY23rd [map-96/008]</x:v>
      </x:c>
      <x:c r="M2086" s="35"/>
      <x:c r="N2086" s="35"/>
      <x:c r="O2086" s="35"/>
      <x:c r="P2086" s="35"/>
      <x:c r="Q2086" s="35"/>
      <x:c r="R2086" s="35"/>
      <x:c r="S2086" s="35"/>
      <x:c r="T2086" s="35"/>
      <x:c r="U2086" s="35"/>
      <x:c r="V2086" s="35"/>
      <x:c r="W2086" s="35"/>
      <x:c r="X2086" s="35"/>
      <x:c r="Y2086" s="35"/>
      <x:c r="Z2086" s="35"/>
      <x:c r="AA2086" s="35"/>
    </x:row>
    <x:row r="2087">
      <x:c r="A2087" s="136" t="str">
        <x:v>SouthMountain | Skirmish | Hatch's Attack</x:v>
      </x:c>
      <x:c r="B2087" s="136" t="str">
        <x:v>Spawn | CSA Spawnpoint_TGHA_Defend_CSA_VA18th [map-96/009]</x:v>
      </x:c>
      <x:c r="C2087" s="136" t="str">
        <x:v>spawn</x:v>
      </x:c>
      <x:c r="D2087" s="136" t="str">
        <x:v>CSA</x:v>
      </x:c>
      <x:c r="E2087" s="136" t="str">
        <x:v>Spawnpoint_TGHA_Defend_CSA_VA18th</x:v>
      </x:c>
      <x:c r="F2087" s="137" t="n">
        <x:v>2868.534912109375</x:v>
      </x:c>
      <x:c r="G2087" s="137" t="n">
        <x:v>3640.397705078125</x:v>
      </x:c>
      <x:c r="H2087" s="137" t="n">
        <x:v>255.52078247070312</x:v>
      </x:c>
      <x:c r="I2087" s="137" t="n">
        <x:v>882.005870279175</x:v>
      </x:c>
      <x:c r="J2087" s="137" t="n">
        <x:v>919.53301334313</x:v>
      </x:c>
      <x:c r="K2087" s="136" t="str">
        <x:v>map-96</x:v>
      </x:c>
      <x:c r="L2087" s="136" t="str">
        <x:v>SouthMountain | Skirmish | Hatch's Attack||Spawn | CSA Spawnpoint_TGHA_Defend_CSA_VA18th [map-96/009]</x:v>
      </x:c>
      <x:c r="M2087" s="35"/>
      <x:c r="N2087" s="35"/>
      <x:c r="O2087" s="35"/>
      <x:c r="P2087" s="35"/>
      <x:c r="Q2087" s="35"/>
      <x:c r="R2087" s="35"/>
      <x:c r="S2087" s="35"/>
      <x:c r="T2087" s="35"/>
      <x:c r="U2087" s="35"/>
      <x:c r="V2087" s="35"/>
      <x:c r="W2087" s="35"/>
      <x:c r="X2087" s="35"/>
      <x:c r="Y2087" s="35"/>
      <x:c r="Z2087" s="35"/>
      <x:c r="AA2087" s="35"/>
    </x:row>
    <x:row r="2088">
      <x:c r="A2088" s="136" t="str">
        <x:v>SouthMountain | Skirmish | Hatch's Attack</x:v>
      </x:c>
      <x:c r="B2088" s="136" t="str">
        <x:v>Spawn | USA Spawnpoint_TGHA_Base_USA_USSS2nd [map-96/010]</x:v>
      </x:c>
      <x:c r="C2088" s="136" t="str">
        <x:v>spawn</x:v>
      </x:c>
      <x:c r="D2088" s="136" t="str">
        <x:v>USA</x:v>
      </x:c>
      <x:c r="E2088" s="136" t="str">
        <x:v>Spawnpoint_TGHA_Base_USA_USSS2nd</x:v>
      </x:c>
      <x:c r="F2088" s="137" t="n">
        <x:v>3167.080322265625</x:v>
      </x:c>
      <x:c r="G2088" s="137" t="n">
        <x:v>3598.080078125</x:v>
      </x:c>
      <x:c r="H2088" s="137" t="n">
        <x:v>185.07664489746094</x:v>
      </x:c>
      <x:c r="I2088" s="137" t="n">
        <x:v>1534.5362868577188</x:v>
      </x:c>
      <x:c r="J2088" s="137" t="n">
        <x:v>1011.8296054120801</x:v>
      </x:c>
      <x:c r="K2088" s="136" t="str">
        <x:v>map-96</x:v>
      </x:c>
      <x:c r="L2088" s="136" t="str">
        <x:v>SouthMountain | Skirmish | Hatch's Attack||Spawn | USA Spawnpoint_TGHA_Base_USA_USSS2nd [map-96/010]</x:v>
      </x:c>
      <x:c r="M2088" s="35"/>
      <x:c r="N2088" s="35"/>
      <x:c r="O2088" s="35"/>
      <x:c r="P2088" s="35"/>
      <x:c r="Q2088" s="35"/>
      <x:c r="R2088" s="35"/>
      <x:c r="S2088" s="35"/>
      <x:c r="T2088" s="35"/>
      <x:c r="U2088" s="35"/>
      <x:c r="V2088" s="35"/>
      <x:c r="W2088" s="35"/>
      <x:c r="X2088" s="35"/>
      <x:c r="Y2088" s="35"/>
      <x:c r="Z2088" s="35"/>
      <x:c r="AA2088" s="35"/>
    </x:row>
    <x:row r="2089">
      <x:c r="A2089" s="136" t="str">
        <x:v>SouthMountain | Skirmish | Hatch's Attack</x:v>
      </x:c>
      <x:c r="B2089" s="136" t="str">
        <x:v>Spawn | CSA Spawnpoint_TGHA_Base_CSA_VA56th [map-96/011]</x:v>
      </x:c>
      <x:c r="C2089" s="136" t="str">
        <x:v>spawn</x:v>
      </x:c>
      <x:c r="D2089" s="136" t="str">
        <x:v>CSA</x:v>
      </x:c>
      <x:c r="E2089" s="136" t="str">
        <x:v>Spawnpoint_TGHA_Base_CSA_VA56th</x:v>
      </x:c>
      <x:c r="F2089" s="137" t="n">
        <x:v>2671.72900390625</x:v>
      </x:c>
      <x:c r="G2089" s="137" t="n">
        <x:v>3712.271240234375</x:v>
      </x:c>
      <x:c r="H2089" s="137" t="n">
        <x:v>248.9928436279297</x:v>
      </x:c>
      <x:c r="I2089" s="137" t="n">
        <x:v>451.84738551904576</x:v>
      </x:c>
      <x:c r="J2089" s="137" t="n">
        <x:v>762.7736950047496</x:v>
      </x:c>
      <x:c r="K2089" s="136" t="str">
        <x:v>map-96</x:v>
      </x:c>
      <x:c r="L2089" s="136" t="str">
        <x:v>SouthMountain | Skirmish | Hatch's Attack||Spawn | CSA Spawnpoint_TGHA_Base_CSA_VA56th [map-96/011]</x:v>
      </x:c>
      <x:c r="M2089" s="35"/>
      <x:c r="N2089" s="35"/>
      <x:c r="O2089" s="35"/>
      <x:c r="P2089" s="35"/>
      <x:c r="Q2089" s="35"/>
      <x:c r="R2089" s="35"/>
      <x:c r="S2089" s="35"/>
      <x:c r="T2089" s="35"/>
      <x:c r="U2089" s="35"/>
      <x:c r="V2089" s="35"/>
      <x:c r="W2089" s="35"/>
      <x:c r="X2089" s="35"/>
      <x:c r="Y2089" s="35"/>
      <x:c r="Z2089" s="35"/>
      <x:c r="AA2089" s="35"/>
    </x:row>
    <x:row r="2090">
      <x:c r="A2090" s="136" t="str">
        <x:v>SouthMountain | Skirmish | Hatch's Attack</x:v>
      </x:c>
      <x:c r="B2090" s="136" t="str">
        <x:v>Spawn | CSA Spawnpoint_TGHA_Base_CSA_VA56th-2 [map-96/012]</x:v>
      </x:c>
      <x:c r="C2090" s="136" t="str">
        <x:v>spawn</x:v>
      </x:c>
      <x:c r="D2090" s="136" t="str">
        <x:v>CSA</x:v>
      </x:c>
      <x:c r="E2090" s="136" t="str">
        <x:v>Spawnpoint_TGHA_Base_CSA_VA56th-2</x:v>
      </x:c>
      <x:c r="F2090" s="137" t="n">
        <x:v>2673.23291015625</x:v>
      </x:c>
      <x:c r="G2090" s="137" t="n">
        <x:v>3727.011962890625</x:v>
      </x:c>
      <x:c r="H2090" s="137" t="n">
        <x:v>246.399658203125</x:v>
      </x:c>
      <x:c r="I2090" s="137" t="n">
        <x:v>455.1344719669465</x:v>
      </x:c>
      <x:c r="J2090" s="137" t="n">
        <x:v>730.6235352778708</x:v>
      </x:c>
      <x:c r="K2090" s="136" t="str">
        <x:v>map-96</x:v>
      </x:c>
      <x:c r="L2090" s="136" t="str">
        <x:v>SouthMountain | Skirmish | Hatch's Attack||Spawn | CSA Spawnpoint_TGHA_Base_CSA_VA56th-2 [map-96/012]</x:v>
      </x:c>
      <x:c r="M2090" s="35"/>
      <x:c r="N2090" s="35"/>
      <x:c r="O2090" s="35"/>
      <x:c r="P2090" s="35"/>
      <x:c r="Q2090" s="35"/>
      <x:c r="R2090" s="35"/>
      <x:c r="S2090" s="35"/>
      <x:c r="T2090" s="35"/>
      <x:c r="U2090" s="35"/>
      <x:c r="V2090" s="35"/>
      <x:c r="W2090" s="35"/>
      <x:c r="X2090" s="35"/>
      <x:c r="Y2090" s="35"/>
      <x:c r="Z2090" s="35"/>
      <x:c r="AA2090" s="35"/>
    </x:row>
    <x:row r="2091">
      <x:c r="A2091" s="136" t="str">
        <x:v>SouthMountain | Skirmish | Anderson's Counterattack</x:v>
      </x:c>
      <x:c r="B2091" s="136" t="str">
        <x:v>Objective | Victory_Foxs_Gap_Andersons_Counterattack [map-97/001]</x:v>
      </x:c>
      <x:c r="C2091" s="136" t="str">
        <x:v>objective</x:v>
      </x:c>
      <x:c r="D2091" s="136" t="str"/>
      <x:c r="E2091" s="136" t="str">
        <x:v>Victory_Foxs_Gap_Andersons_Counterattack</x:v>
      </x:c>
      <x:c r="F2091" s="137" t="n">
        <x:v>1581.564208984375</x:v>
      </x:c>
      <x:c r="G2091" s="137" t="n">
        <x:v>1345.2135009765625</x:v>
      </x:c>
      <x:c r="H2091" s="137" t="n">
        <x:v>210.89842224121094</x:v>
      </x:c>
      <x:c r="I2091" s="137" t="n">
        <x:v>1058.6472826086956</x:v>
      </x:c>
      <x:c r="J2091" s="137" t="n">
        <x:v>1223.872554347826</x:v>
      </x:c>
      <x:c r="K2091" s="136" t="str">
        <x:v>map-97</x:v>
      </x:c>
      <x:c r="L2091" s="136" t="str">
        <x:v>SouthMountain | Skirmish | Anderson's Counterattack||Objective | Victory_Foxs_Gap_Andersons_Counterattack [map-97/001]</x:v>
      </x:c>
      <x:c r="M2091" s="35"/>
      <x:c r="N2091" s="35"/>
      <x:c r="O2091" s="35"/>
      <x:c r="P2091" s="35"/>
      <x:c r="Q2091" s="35"/>
      <x:c r="R2091" s="35"/>
      <x:c r="S2091" s="35"/>
      <x:c r="T2091" s="35"/>
      <x:c r="U2091" s="35"/>
      <x:c r="V2091" s="35"/>
      <x:c r="W2091" s="35"/>
      <x:c r="X2091" s="35"/>
      <x:c r="Y2091" s="35"/>
      <x:c r="Z2091" s="35"/>
      <x:c r="AA2091" s="35"/>
    </x:row>
    <x:row r="2092">
      <x:c r="A2092" s="136" t="str">
        <x:v>SouthMountain | Skirmish | Anderson's Counterattack</x:v>
      </x:c>
      <x:c r="B2092" s="136" t="str">
        <x:v>Spawn | CSA Spawnpoint_FGAC_Base_CSA_NC2nd [map-97/002]</x:v>
      </x:c>
      <x:c r="C2092" s="136" t="str">
        <x:v>spawn</x:v>
      </x:c>
      <x:c r="D2092" s="136" t="str">
        <x:v>CSA</x:v>
      </x:c>
      <x:c r="E2092" s="136" t="str">
        <x:v>Spawnpoint_FGAC_Base_CSA_NC2nd</x:v>
      </x:c>
      <x:c r="F2092" s="137" t="n">
        <x:v>1544.668212890625</x:v>
      </x:c>
      <x:c r="G2092" s="137" t="n">
        <x:v>1653.1064453125</x:v>
      </x:c>
      <x:c r="H2092" s="137" t="n">
        <x:v>180.30406188964844</x:v>
      </x:c>
      <x:c r="I2092" s="137" t="n">
        <x:v>976.5135869565217</x:v>
      </x:c>
      <x:c r="J2092" s="137" t="n">
        <x:v>538.4760869565217</x:v>
      </x:c>
      <x:c r="K2092" s="136" t="str">
        <x:v>map-97</x:v>
      </x:c>
      <x:c r="L2092" s="136" t="str">
        <x:v>SouthMountain | Skirmish | Anderson's Counterattack||Spawn | CSA Spawnpoint_FGAC_Base_CSA_NC2nd [map-97/002]</x:v>
      </x:c>
      <x:c r="M2092" s="35"/>
      <x:c r="N2092" s="35"/>
      <x:c r="O2092" s="35"/>
      <x:c r="P2092" s="35"/>
      <x:c r="Q2092" s="35"/>
      <x:c r="R2092" s="35"/>
      <x:c r="S2092" s="35"/>
      <x:c r="T2092" s="35"/>
      <x:c r="U2092" s="35"/>
      <x:c r="V2092" s="35"/>
      <x:c r="W2092" s="35"/>
      <x:c r="X2092" s="35"/>
      <x:c r="Y2092" s="35"/>
      <x:c r="Z2092" s="35"/>
      <x:c r="AA2092" s="35"/>
    </x:row>
    <x:row r="2093">
      <x:c r="A2093" s="136" t="str">
        <x:v>SouthMountain | Skirmish | Anderson's Counterattack</x:v>
      </x:c>
      <x:c r="B2093" s="136" t="str">
        <x:v>Spawn | USA Spawnpoint_FGAC_Base_USA_NY9th-2 [map-97/003]</x:v>
      </x:c>
      <x:c r="C2093" s="136" t="str">
        <x:v>spawn</x:v>
      </x:c>
      <x:c r="D2093" s="136" t="str">
        <x:v>USA</x:v>
      </x:c>
      <x:c r="E2093" s="136" t="str">
        <x:v>Spawnpoint_FGAC_Base_USA_NY9th-2</x:v>
      </x:c>
      <x:c r="F2093" s="137" t="n">
        <x:v>1644.1695556640625</x:v>
      </x:c>
      <x:c r="G2093" s="137" t="n">
        <x:v>1102.571044921875</x:v>
      </x:c>
      <x:c r="H2093" s="137" t="n">
        <x:v>226.9906768798828</x:v>
      </x:c>
      <x:c r="I2093" s="137" t="n">
        <x:v>1198.0122282608695</x:v>
      </x:c>
      <x:c r="J2093" s="137" t="n">
        <x:v>1764.0157608695652</x:v>
      </x:c>
      <x:c r="K2093" s="136" t="str">
        <x:v>map-97</x:v>
      </x:c>
      <x:c r="L2093" s="136" t="str">
        <x:v>SouthMountain | Skirmish | Anderson's Counterattack||Spawn | USA Spawnpoint_FGAC_Base_USA_NY9th-2 [map-97/003]</x:v>
      </x:c>
      <x:c r="M2093" s="35"/>
      <x:c r="N2093" s="35"/>
      <x:c r="O2093" s="35"/>
      <x:c r="P2093" s="35"/>
      <x:c r="Q2093" s="35"/>
      <x:c r="R2093" s="35"/>
      <x:c r="S2093" s="35"/>
      <x:c r="T2093" s="35"/>
      <x:c r="U2093" s="35"/>
      <x:c r="V2093" s="35"/>
      <x:c r="W2093" s="35"/>
      <x:c r="X2093" s="35"/>
      <x:c r="Y2093" s="35"/>
      <x:c r="Z2093" s="35"/>
      <x:c r="AA2093" s="35"/>
    </x:row>
    <x:row r="2094">
      <x:c r="A2094" s="136" t="str">
        <x:v>SouthMountain | Skirmish | Anderson's Counterattack</x:v>
      </x:c>
      <x:c r="B2094" s="136" t="str">
        <x:v>Spawn | CSA Spawnpoint_FGAC_Base_CSA_NC2nd-2 [map-97/004]</x:v>
      </x:c>
      <x:c r="C2094" s="136" t="str">
        <x:v>spawn</x:v>
      </x:c>
      <x:c r="D2094" s="136" t="str">
        <x:v>CSA</x:v>
      </x:c>
      <x:c r="E2094" s="136" t="str">
        <x:v>Spawnpoint_FGAC_Base_CSA_NC2nd-2</x:v>
      </x:c>
      <x:c r="F2094" s="137" t="n">
        <x:v>1543.6806640625</x:v>
      </x:c>
      <x:c r="G2094" s="137" t="n">
        <x:v>1663.0167236328125</x:v>
      </x:c>
      <x:c r="H2094" s="137" t="n">
        <x:v>177.9320831298828</x:v>
      </x:c>
      <x:c r="I2094" s="137" t="n">
        <x:v>974.3152173913044</x:v>
      </x:c>
      <x:c r="J2094" s="137" t="n">
        <x:v>516.414945652174</x:v>
      </x:c>
      <x:c r="K2094" s="136" t="str">
        <x:v>map-97</x:v>
      </x:c>
      <x:c r="L2094" s="136" t="str">
        <x:v>SouthMountain | Skirmish | Anderson's Counterattack||Spawn | CSA Spawnpoint_FGAC_Base_CSA_NC2nd-2 [map-97/004]</x:v>
      </x:c>
      <x:c r="M2094" s="35"/>
      <x:c r="N2094" s="35"/>
      <x:c r="O2094" s="35"/>
      <x:c r="P2094" s="35"/>
      <x:c r="Q2094" s="35"/>
      <x:c r="R2094" s="35"/>
      <x:c r="S2094" s="35"/>
      <x:c r="T2094" s="35"/>
      <x:c r="U2094" s="35"/>
      <x:c r="V2094" s="35"/>
      <x:c r="W2094" s="35"/>
      <x:c r="X2094" s="35"/>
      <x:c r="Y2094" s="35"/>
      <x:c r="Z2094" s="35"/>
      <x:c r="AA2094" s="35"/>
    </x:row>
    <x:row r="2095">
      <x:c r="A2095" s="136" t="str">
        <x:v>SouthMountain | Skirmish | Anderson's Counterattack</x:v>
      </x:c>
      <x:c r="B2095" s="136" t="str">
        <x:v>Spawn | CSA Spawnpoint_FGAC_Base_CSA_NC4th-2 [map-97/005]</x:v>
      </x:c>
      <x:c r="C2095" s="136" t="str">
        <x:v>spawn</x:v>
      </x:c>
      <x:c r="D2095" s="136" t="str">
        <x:v>CSA</x:v>
      </x:c>
      <x:c r="E2095" s="136" t="str">
        <x:v>Spawnpoint_FGAC_Base_CSA_NC4th-2</x:v>
      </x:c>
      <x:c r="F2095" s="137" t="n">
        <x:v>1520.822509765625</x:v>
      </x:c>
      <x:c r="G2095" s="137" t="n">
        <x:v>1659.6954345703125</x:v>
      </x:c>
      <x:c r="H2095" s="137" t="n">
        <x:v>176.67263793945312</x:v>
      </x:c>
      <x:c r="I2095" s="137" t="n">
        <x:v>923.4309782608696</x:v>
      </x:c>
      <x:c r="J2095" s="137" t="n">
        <x:v>523.8084239130435</x:v>
      </x:c>
      <x:c r="K2095" s="136" t="str">
        <x:v>map-97</x:v>
      </x:c>
      <x:c r="L2095" s="136" t="str">
        <x:v>SouthMountain | Skirmish | Anderson's Counterattack||Spawn | CSA Spawnpoint_FGAC_Base_CSA_NC4th-2 [map-97/005]</x:v>
      </x:c>
      <x:c r="M2095" s="35"/>
      <x:c r="N2095" s="35"/>
      <x:c r="O2095" s="35"/>
      <x:c r="P2095" s="35"/>
      <x:c r="Q2095" s="35"/>
      <x:c r="R2095" s="35"/>
      <x:c r="S2095" s="35"/>
      <x:c r="T2095" s="35"/>
      <x:c r="U2095" s="35"/>
      <x:c r="V2095" s="35"/>
      <x:c r="W2095" s="35"/>
      <x:c r="X2095" s="35"/>
      <x:c r="Y2095" s="35"/>
      <x:c r="Z2095" s="35"/>
      <x:c r="AA2095" s="35"/>
    </x:row>
    <x:row r="2096">
      <x:c r="A2096" s="136" t="str">
        <x:v>SouthMountain | Skirmish | Anderson's Counterattack</x:v>
      </x:c>
      <x:c r="B2096" s="136" t="str">
        <x:v>Artillery | USA Spawnpoint_FGAC_USA_Arty_Clark_Forward [map-97/006]</x:v>
      </x:c>
      <x:c r="C2096" s="136" t="str">
        <x:v>battery</x:v>
      </x:c>
      <x:c r="D2096" s="136" t="str">
        <x:v>USA</x:v>
      </x:c>
      <x:c r="E2096" s="136" t="str">
        <x:v>Spawnpoint_FGAC_USA_Arty_Clark_Forward</x:v>
      </x:c>
      <x:c r="F2096" s="137" t="n">
        <x:v>1556.38427734375</x:v>
      </x:c>
      <x:c r="G2096" s="137" t="n">
        <x:v>1334.509521484375</x:v>
      </x:c>
      <x:c r="H2096" s="137" t="n">
        <x:v>209.8084716796875</x:v>
      </x:c>
      <x:c r="I2096" s="137" t="n">
        <x:v>1002.5945652173913</x:v>
      </x:c>
      <x:c r="J2096" s="137" t="n">
        <x:v>1247.700543478261</x:v>
      </x:c>
      <x:c r="K2096" s="136" t="str">
        <x:v>map-97</x:v>
      </x:c>
      <x:c r="L2096" s="136" t="str">
        <x:v>SouthMountain | Skirmish | Anderson's Counterattack||Artillery | USA Spawnpoint_FGAC_USA_Arty_Clark_Forward [map-97/006]</x:v>
      </x:c>
      <x:c r="M2096" s="35"/>
      <x:c r="N2096" s="35"/>
      <x:c r="O2096" s="35"/>
      <x:c r="P2096" s="35"/>
      <x:c r="Q2096" s="35"/>
      <x:c r="R2096" s="35"/>
      <x:c r="S2096" s="35"/>
      <x:c r="T2096" s="35"/>
      <x:c r="U2096" s="35"/>
      <x:c r="V2096" s="35"/>
      <x:c r="W2096" s="35"/>
      <x:c r="X2096" s="35"/>
      <x:c r="Y2096" s="35"/>
      <x:c r="Z2096" s="35"/>
      <x:c r="AA2096" s="35"/>
    </x:row>
    <x:row r="2097">
      <x:c r="A2097" s="136" t="str">
        <x:v>SouthMountain | Skirmish | Anderson's Counterattack</x:v>
      </x:c>
      <x:c r="B2097" s="136" t="str">
        <x:v>Spawn | USA Spawnpoint_FGAC_Base_USA_NY89th-2 [map-97/007]</x:v>
      </x:c>
      <x:c r="C2097" s="136" t="str">
        <x:v>spawn</x:v>
      </x:c>
      <x:c r="D2097" s="136" t="str">
        <x:v>USA</x:v>
      </x:c>
      <x:c r="E2097" s="136" t="str">
        <x:v>Spawnpoint_FGAC_Base_USA_NY89th-2</x:v>
      </x:c>
      <x:c r="F2097" s="137" t="n">
        <x:v>1624.0372314453125</x:v>
      </x:c>
      <x:c r="G2097" s="137" t="n">
        <x:v>1128.8731689453125</x:v>
      </x:c>
      <x:c r="H2097" s="137" t="n">
        <x:v>225.42918395996094</x:v>
      </x:c>
      <x:c r="I2097" s="137" t="n">
        <x:v>1153.1959239130435</x:v>
      </x:c>
      <x:c r="J2097" s="137" t="n">
        <x:v>1705.4649456521738</x:v>
      </x:c>
      <x:c r="K2097" s="136" t="str">
        <x:v>map-97</x:v>
      </x:c>
      <x:c r="L2097" s="136" t="str">
        <x:v>SouthMountain | Skirmish | Anderson's Counterattack||Spawn | USA Spawnpoint_FGAC_Base_USA_NY89th-2 [map-97/007]</x:v>
      </x:c>
      <x:c r="M2097" s="35"/>
      <x:c r="N2097" s="35"/>
      <x:c r="O2097" s="35"/>
      <x:c r="P2097" s="35"/>
      <x:c r="Q2097" s="35"/>
      <x:c r="R2097" s="35"/>
      <x:c r="S2097" s="35"/>
      <x:c r="T2097" s="35"/>
      <x:c r="U2097" s="35"/>
      <x:c r="V2097" s="35"/>
      <x:c r="W2097" s="35"/>
      <x:c r="X2097" s="35"/>
      <x:c r="Y2097" s="35"/>
      <x:c r="Z2097" s="35"/>
      <x:c r="AA2097" s="35"/>
    </x:row>
    <x:row r="2098">
      <x:c r="A2098" s="136" t="str">
        <x:v>SouthMountain | Skirmish | Anderson's Counterattack</x:v>
      </x:c>
      <x:c r="B2098" s="136" t="str">
        <x:v>Artillery | USA Spawnpoint_FGAC_USA_Arty_Base [map-97/008]</x:v>
      </x:c>
      <x:c r="C2098" s="136" t="str">
        <x:v>battery</x:v>
      </x:c>
      <x:c r="D2098" s="136" t="str">
        <x:v>USA</x:v>
      </x:c>
      <x:c r="E2098" s="136" t="str">
        <x:v>Spawnpoint_FGAC_USA_Arty_Base</x:v>
      </x:c>
      <x:c r="F2098" s="137" t="n">
        <x:v>1670.933349609375</x:v>
      </x:c>
      <x:c r="G2098" s="137" t="n">
        <x:v>1077.1143798828125</x:v>
      </x:c>
      <x:c r="H2098" s="137" t="n">
        <x:v>228.33981323242188</x:v>
      </x:c>
      <x:c r="I2098" s="137" t="n">
        <x:v>1257.5907608695652</x:v>
      </x:c>
      <x:c r="J2098" s="137" t="n">
        <x:v>1820.6845108695652</x:v>
      </x:c>
      <x:c r="K2098" s="136" t="str">
        <x:v>map-97</x:v>
      </x:c>
      <x:c r="L2098" s="136" t="str">
        <x:v>SouthMountain | Skirmish | Anderson's Counterattack||Artillery | USA Spawnpoint_FGAC_USA_Arty_Base [map-97/008]</x:v>
      </x:c>
      <x:c r="M2098" s="35"/>
      <x:c r="N2098" s="35"/>
      <x:c r="O2098" s="35"/>
      <x:c r="P2098" s="35"/>
      <x:c r="Q2098" s="35"/>
      <x:c r="R2098" s="35"/>
      <x:c r="S2098" s="35"/>
      <x:c r="T2098" s="35"/>
      <x:c r="U2098" s="35"/>
      <x:c r="V2098" s="35"/>
      <x:c r="W2098" s="35"/>
      <x:c r="X2098" s="35"/>
      <x:c r="Y2098" s="35"/>
      <x:c r="Z2098" s="35"/>
      <x:c r="AA2098" s="35"/>
    </x:row>
    <x:row r="2099">
      <x:c r="A2099" s="136" t="str">
        <x:v>SouthMountain | Skirmish | Anderson's Counterattack</x:v>
      </x:c>
      <x:c r="B2099" s="136" t="str">
        <x:v>Spawn | USA Spawnpoint_FGAC_Defend_USA_NY89th-2 [map-97/009]</x:v>
      </x:c>
      <x:c r="C2099" s="136" t="str">
        <x:v>spawn</x:v>
      </x:c>
      <x:c r="D2099" s="136" t="str">
        <x:v>USA</x:v>
      </x:c>
      <x:c r="E2099" s="136" t="str">
        <x:v>Spawnpoint_FGAC_Defend_USA_NY89th-2</x:v>
      </x:c>
      <x:c r="F2099" s="137" t="n">
        <x:v>1516.57177734375</x:v>
      </x:c>
      <x:c r="G2099" s="137" t="n">
        <x:v>1339.261962890625</x:v>
      </x:c>
      <x:c r="H2099" s="137" t="n">
        <x:v>205.275146484375</x:v>
      </x:c>
      <x:c r="I2099" s="137" t="n">
        <x:v>913.9684782608696</x:v>
      </x:c>
      <x:c r="J2099" s="137" t="n">
        <x:v>1237.1211956521738</x:v>
      </x:c>
      <x:c r="K2099" s="136" t="str">
        <x:v>map-97</x:v>
      </x:c>
      <x:c r="L2099" s="136" t="str">
        <x:v>SouthMountain | Skirmish | Anderson's Counterattack||Spawn | USA Spawnpoint_FGAC_Defend_USA_NY89th-2 [map-97/009]</x:v>
      </x:c>
      <x:c r="M2099" s="35"/>
      <x:c r="N2099" s="35"/>
      <x:c r="O2099" s="35"/>
      <x:c r="P2099" s="35"/>
      <x:c r="Q2099" s="35"/>
      <x:c r="R2099" s="35"/>
      <x:c r="S2099" s="35"/>
      <x:c r="T2099" s="35"/>
      <x:c r="U2099" s="35"/>
      <x:c r="V2099" s="35"/>
      <x:c r="W2099" s="35"/>
      <x:c r="X2099" s="35"/>
      <x:c r="Y2099" s="35"/>
      <x:c r="Z2099" s="35"/>
      <x:c r="AA2099" s="35"/>
    </x:row>
    <x:row r="2100">
      <x:c r="A2100" s="136" t="str">
        <x:v>SouthMountain | Skirmish | Anderson's Counterattack</x:v>
      </x:c>
      <x:c r="B2100" s="136" t="str">
        <x:v>Spawn | USA Spawnpoint_FGAC_Defend_USA_NY9th-2 [map-97/010]</x:v>
      </x:c>
      <x:c r="C2100" s="136" t="str">
        <x:v>spawn</x:v>
      </x:c>
      <x:c r="D2100" s="136" t="str">
        <x:v>USA</x:v>
      </x:c>
      <x:c r="E2100" s="136" t="str">
        <x:v>Spawnpoint_FGAC_Defend_USA_NY9th-2</x:v>
      </x:c>
      <x:c r="F2100" s="137" t="n">
        <x:v>1539.419189453125</x:v>
      </x:c>
      <x:c r="G2100" s="137" t="n">
        <x:v>1363.5</x:v>
      </x:c>
      <x:c r="H2100" s="137" t="n">
        <x:v>206.33258056640625</x:v>
      </x:c>
      <x:c r="I2100" s="137" t="n">
        <x:v>964.8288043478261</x:v>
      </x:c>
      <x:c r="J2100" s="137" t="n">
        <x:v>1183.1652173913044</x:v>
      </x:c>
      <x:c r="K2100" s="136" t="str">
        <x:v>map-97</x:v>
      </x:c>
      <x:c r="L2100" s="136" t="str">
        <x:v>SouthMountain | Skirmish | Anderson's Counterattack||Spawn | USA Spawnpoint_FGAC_Defend_USA_NY9th-2 [map-97/010]</x:v>
      </x:c>
      <x:c r="M2100" s="35"/>
      <x:c r="N2100" s="35"/>
      <x:c r="O2100" s="35"/>
      <x:c r="P2100" s="35"/>
      <x:c r="Q2100" s="35"/>
      <x:c r="R2100" s="35"/>
      <x:c r="S2100" s="35"/>
      <x:c r="T2100" s="35"/>
      <x:c r="U2100" s="35"/>
      <x:c r="V2100" s="35"/>
      <x:c r="W2100" s="35"/>
      <x:c r="X2100" s="35"/>
      <x:c r="Y2100" s="35"/>
      <x:c r="Z2100" s="35"/>
      <x:c r="AA2100" s="35"/>
    </x:row>
    <x:row r="2101">
      <x:c r="A2101" s="136" t="str">
        <x:v>SouthMountain | Skirmish | Anderson's Counterattack</x:v>
      </x:c>
      <x:c r="B2101" s="136" t="str">
        <x:v>Spawn | USA Spawnpoint_FGAC_Defend_USA_NY9th [map-97/011]</x:v>
      </x:c>
      <x:c r="C2101" s="136" t="str">
        <x:v>spawn</x:v>
      </x:c>
      <x:c r="D2101" s="136" t="str">
        <x:v>USA</x:v>
      </x:c>
      <x:c r="E2101" s="136" t="str">
        <x:v>Spawnpoint_FGAC_Defend_USA_NY9th</x:v>
      </x:c>
      <x:c r="F2101" s="137" t="n">
        <x:v>1539.019287109375</x:v>
      </x:c>
      <x:c r="G2101" s="137" t="n">
        <x:v>1376.545166015625</x:v>
      </x:c>
      <x:c r="H2101" s="137" t="n">
        <x:v>206.51499938964844</x:v>
      </x:c>
      <x:c r="I2101" s="137" t="n">
        <x:v>963.9385869565217</x:v>
      </x:c>
      <x:c r="J2101" s="137" t="n">
        <x:v>1154.1255434782609</x:v>
      </x:c>
      <x:c r="K2101" s="136" t="str">
        <x:v>map-97</x:v>
      </x:c>
      <x:c r="L2101" s="136" t="str">
        <x:v>SouthMountain | Skirmish | Anderson's Counterattack||Spawn | USA Spawnpoint_FGAC_Defend_USA_NY9th [map-97/011]</x:v>
      </x:c>
      <x:c r="M2101" s="35"/>
      <x:c r="N2101" s="35"/>
      <x:c r="O2101" s="35"/>
      <x:c r="P2101" s="35"/>
      <x:c r="Q2101" s="35"/>
      <x:c r="R2101" s="35"/>
      <x:c r="S2101" s="35"/>
      <x:c r="T2101" s="35"/>
      <x:c r="U2101" s="35"/>
      <x:c r="V2101" s="35"/>
      <x:c r="W2101" s="35"/>
      <x:c r="X2101" s="35"/>
      <x:c r="Y2101" s="35"/>
      <x:c r="Z2101" s="35"/>
      <x:c r="AA2101" s="35"/>
    </x:row>
    <x:row r="2102">
      <x:c r="A2102" s="136" t="str">
        <x:v>SouthMountain | Skirmish | Anderson's Counterattack</x:v>
      </x:c>
      <x:c r="B2102" s="136" t="str">
        <x:v>Spawn | USA Spawnpoint_FGAC_Base_USA_NY9th [map-97/012]</x:v>
      </x:c>
      <x:c r="C2102" s="136" t="str">
        <x:v>spawn</x:v>
      </x:c>
      <x:c r="D2102" s="136" t="str">
        <x:v>USA</x:v>
      </x:c>
      <x:c r="E2102" s="136" t="str">
        <x:v>Spawnpoint_FGAC_Base_USA_NY9th</x:v>
      </x:c>
      <x:c r="F2102" s="137" t="n">
        <x:v>1656.156005859375</x:v>
      </x:c>
      <x:c r="G2102" s="137" t="n">
        <x:v>1090.622802734375</x:v>
      </x:c>
      <x:c r="H2102" s="137" t="n">
        <x:v>227.8334503173828</x:v>
      </x:c>
      <x:c r="I2102" s="137" t="n">
        <x:v>1224.6951086956522</x:v>
      </x:c>
      <x:c r="J2102" s="137" t="n">
        <x:v>1790.6135869565217</x:v>
      </x:c>
      <x:c r="K2102" s="136" t="str">
        <x:v>map-97</x:v>
      </x:c>
      <x:c r="L2102" s="136" t="str">
        <x:v>SouthMountain | Skirmish | Anderson's Counterattack||Spawn | USA Spawnpoint_FGAC_Base_USA_NY9th [map-97/012]</x:v>
      </x:c>
      <x:c r="M2102" s="35"/>
      <x:c r="N2102" s="35"/>
      <x:c r="O2102" s="35"/>
      <x:c r="P2102" s="35"/>
      <x:c r="Q2102" s="35"/>
      <x:c r="R2102" s="35"/>
      <x:c r="S2102" s="35"/>
      <x:c r="T2102" s="35"/>
      <x:c r="U2102" s="35"/>
      <x:c r="V2102" s="35"/>
      <x:c r="W2102" s="35"/>
      <x:c r="X2102" s="35"/>
      <x:c r="Y2102" s="35"/>
      <x:c r="Z2102" s="35"/>
      <x:c r="AA2102" s="35"/>
    </x:row>
    <x:row r="2103">
      <x:c r="A2103" s="136" t="str">
        <x:v>SouthMountain | Skirmish | Anderson's Counterattack</x:v>
      </x:c>
      <x:c r="B2103" s="136" t="str">
        <x:v>Spawn | USA Spawnpoint_FGAC_Defend_USA_NY89th [map-97/013]</x:v>
      </x:c>
      <x:c r="C2103" s="136" t="str">
        <x:v>spawn</x:v>
      </x:c>
      <x:c r="D2103" s="136" t="str">
        <x:v>USA</x:v>
      </x:c>
      <x:c r="E2103" s="136" t="str">
        <x:v>Spawnpoint_FGAC_Defend_USA_NY89th</x:v>
      </x:c>
      <x:c r="F2103" s="137" t="n">
        <x:v>1514.2354736328125</x:v>
      </x:c>
      <x:c r="G2103" s="137" t="n">
        <x:v>1358.1259765625</x:v>
      </x:c>
      <x:c r="H2103" s="137" t="n">
        <x:v>204.10055541992188</x:v>
      </x:c>
      <x:c r="I2103" s="137" t="n">
        <x:v>908.7676630434783</x:v>
      </x:c>
      <x:c r="J2103" s="137" t="n">
        <x:v>1195.128260869565</x:v>
      </x:c>
      <x:c r="K2103" s="136" t="str">
        <x:v>map-97</x:v>
      </x:c>
      <x:c r="L2103" s="136" t="str">
        <x:v>SouthMountain | Skirmish | Anderson's Counterattack||Spawn | USA Spawnpoint_FGAC_Defend_USA_NY89th [map-97/013]</x:v>
      </x:c>
      <x:c r="M2103" s="35"/>
      <x:c r="N2103" s="35"/>
      <x:c r="O2103" s="35"/>
      <x:c r="P2103" s="35"/>
      <x:c r="Q2103" s="35"/>
      <x:c r="R2103" s="35"/>
      <x:c r="S2103" s="35"/>
      <x:c r="T2103" s="35"/>
      <x:c r="U2103" s="35"/>
      <x:c r="V2103" s="35"/>
      <x:c r="W2103" s="35"/>
      <x:c r="X2103" s="35"/>
      <x:c r="Y2103" s="35"/>
      <x:c r="Z2103" s="35"/>
      <x:c r="AA2103" s="35"/>
    </x:row>
    <x:row r="2104">
      <x:c r="A2104" s="136" t="str">
        <x:v>SouthMountain | Skirmish | Anderson's Counterattack</x:v>
      </x:c>
      <x:c r="B2104" s="136" t="str">
        <x:v>Spawn | USA Spawnpoint_FGAC_Base_USA_NY89th [map-97/014]</x:v>
      </x:c>
      <x:c r="C2104" s="136" t="str">
        <x:v>spawn</x:v>
      </x:c>
      <x:c r="D2104" s="136" t="str">
        <x:v>USA</x:v>
      </x:c>
      <x:c r="E2104" s="136" t="str">
        <x:v>Spawnpoint_FGAC_Base_USA_NY89th</x:v>
      </x:c>
      <x:c r="F2104" s="137" t="n">
        <x:v>1633.4503173828125</x:v>
      </x:c>
      <x:c r="G2104" s="137" t="n">
        <x:v>1115.3477783203125</x:v>
      </x:c>
      <x:c r="H2104" s="137" t="n">
        <x:v>226.14076232910156</x:v>
      </x:c>
      <x:c r="I2104" s="137" t="n">
        <x:v>1174.1502717391304</x:v>
      </x:c>
      <x:c r="J2104" s="137" t="n">
        <x:v>1735.5736413043478</x:v>
      </x:c>
      <x:c r="K2104" s="136" t="str">
        <x:v>map-97</x:v>
      </x:c>
      <x:c r="L2104" s="136" t="str">
        <x:v>SouthMountain | Skirmish | Anderson's Counterattack||Spawn | USA Spawnpoint_FGAC_Base_USA_NY89th [map-97/014]</x:v>
      </x:c>
      <x:c r="M2104" s="35"/>
      <x:c r="N2104" s="35"/>
      <x:c r="O2104" s="35"/>
      <x:c r="P2104" s="35"/>
      <x:c r="Q2104" s="35"/>
      <x:c r="R2104" s="35"/>
      <x:c r="S2104" s="35"/>
      <x:c r="T2104" s="35"/>
      <x:c r="U2104" s="35"/>
      <x:c r="V2104" s="35"/>
      <x:c r="W2104" s="35"/>
      <x:c r="X2104" s="35"/>
      <x:c r="Y2104" s="35"/>
      <x:c r="Z2104" s="35"/>
      <x:c r="AA2104" s="35"/>
    </x:row>
    <x:row r="2105">
      <x:c r="A2105" s="136" t="str">
        <x:v>SouthMountain | Skirmish | Anderson's Counterattack</x:v>
      </x:c>
      <x:c r="B2105" s="136" t="str">
        <x:v>Spawn | CSA Spawnpoint_FGAC_Base_CSA_NC4th [map-97/015]</x:v>
      </x:c>
      <x:c r="C2105" s="136" t="str">
        <x:v>spawn</x:v>
      </x:c>
      <x:c r="D2105" s="136" t="str">
        <x:v>CSA</x:v>
      </x:c>
      <x:c r="E2105" s="136" t="str">
        <x:v>Spawnpoint_FGAC_Base_CSA_NC4th</x:v>
      </x:c>
      <x:c r="F2105" s="137" t="n">
        <x:v>1511.3204345703125</x:v>
      </x:c>
      <x:c r="G2105" s="137" t="n">
        <x:v>1652.0357666015625</x:v>
      </x:c>
      <x:c r="H2105" s="137" t="n">
        <x:v>177.309814453125</x:v>
      </x:c>
      <x:c r="I2105" s="137" t="n">
        <x:v>902.2785326086956</x:v>
      </x:c>
      <x:c r="J2105" s="137" t="n">
        <x:v>540.8595108695653</x:v>
      </x:c>
      <x:c r="K2105" s="136" t="str">
        <x:v>map-97</x:v>
      </x:c>
      <x:c r="L2105" s="136" t="str">
        <x:v>SouthMountain | Skirmish | Anderson's Counterattack||Spawn | CSA Spawnpoint_FGAC_Base_CSA_NC4th [map-97/015]</x:v>
      </x:c>
      <x:c r="M2105" s="35"/>
      <x:c r="N2105" s="35"/>
      <x:c r="O2105" s="35"/>
      <x:c r="P2105" s="35"/>
      <x:c r="Q2105" s="35"/>
      <x:c r="R2105" s="35"/>
      <x:c r="S2105" s="35"/>
      <x:c r="T2105" s="35"/>
      <x:c r="U2105" s="35"/>
      <x:c r="V2105" s="35"/>
      <x:c r="W2105" s="35"/>
      <x:c r="X2105" s="35"/>
      <x:c r="Y2105" s="35"/>
      <x:c r="Z2105" s="35"/>
      <x:c r="AA2105" s="35"/>
    </x:row>
    <x:row r="2106">
      <x:c r="A2106" s="136" t="str">
        <x:v>SouthMountain | Skirmish | Anderson's Counterattack</x:v>
      </x:c>
      <x:c r="B2106" s="136" t="str">
        <x:v>Gun | 12-pounder Napoleon (USA) · 3InchOrdnanceRfile-21 [map-97/016]</x:v>
      </x:c>
      <x:c r="C2106" s="136" t="str">
        <x:v>gun_spawn</x:v>
      </x:c>
      <x:c r="D2106" s="136" t="str"/>
      <x:c r="E2106" s="136" t="str">
        <x:v>12-pounder Napoleon (USA) · 3InchOrdnanceRfile-21</x:v>
      </x:c>
      <x:c r="F2106" s="137" t="n">
        <x:v>1549.20947265625</x:v>
      </x:c>
      <x:c r="G2106" s="137" t="n">
        <x:v>1379.9176025390625</x:v>
      </x:c>
      <x:c r="H2106" s="137" t="n">
        <x:v>207.87257385253906</x:v>
      </x:c>
      <x:c r="I2106" s="137" t="n">
        <x:v>986.6228260869565</x:v>
      </x:c>
      <x:c r="J2106" s="137" t="n">
        <x:v>1146.6182065217392</x:v>
      </x:c>
      <x:c r="K2106" s="136" t="str">
        <x:v>map-97</x:v>
      </x:c>
      <x:c r="L2106" s="136" t="str">
        <x:v>SouthMountain | Skirmish | Anderson's Counterattack||Gun | 12-pounder Napoleon (USA) · 3InchOrdnanceRfile-21 [map-97/016]</x:v>
      </x:c>
      <x:c r="M2106" s="35"/>
      <x:c r="N2106" s="35"/>
      <x:c r="O2106" s="35"/>
      <x:c r="P2106" s="35"/>
      <x:c r="Q2106" s="35"/>
      <x:c r="R2106" s="35"/>
      <x:c r="S2106" s="35"/>
      <x:c r="T2106" s="35"/>
      <x:c r="U2106" s="35"/>
      <x:c r="V2106" s="35"/>
      <x:c r="W2106" s="35"/>
      <x:c r="X2106" s="35"/>
      <x:c r="Y2106" s="35"/>
      <x:c r="Z2106" s="35"/>
      <x:c r="AA2106" s="35"/>
    </x:row>
    <x:row r="2107">
      <x:c r="A2107" s="136" t="str">
        <x:v>SouthMountain | Skirmish | Anderson's Counterattack</x:v>
      </x:c>
      <x:c r="B2107" s="136" t="str">
        <x:v>Gun | 3-inch Ordnance · 3InchOrdnanceRfile-19 [map-97/017]</x:v>
      </x:c>
      <x:c r="C2107" s="136" t="str">
        <x:v>gun_spawn</x:v>
      </x:c>
      <x:c r="D2107" s="136" t="str"/>
      <x:c r="E2107" s="136" t="str">
        <x:v>3-inch Ordnance · 3InchOrdnanceRfile-19</x:v>
      </x:c>
      <x:c r="F2107" s="137" t="n">
        <x:v>1569.115234375</x:v>
      </x:c>
      <x:c r="G2107" s="137" t="n">
        <x:v>1381.3245849609375</x:v>
      </x:c>
      <x:c r="H2107" s="137" t="n">
        <x:v>210.10226440429688</x:v>
      </x:c>
      <x:c r="I2107" s="137" t="n">
        <x:v>1030.9347826086957</x:v>
      </x:c>
      <x:c r="J2107" s="137" t="n">
        <x:v>1143.486141304348</x:v>
      </x:c>
      <x:c r="K2107" s="136" t="str">
        <x:v>map-97</x:v>
      </x:c>
      <x:c r="L2107" s="136" t="str">
        <x:v>SouthMountain | Skirmish | Anderson's Counterattack||Gun | 3-inch Ordnance · 3InchOrdnanceRfile-19 [map-97/017]</x:v>
      </x:c>
      <x:c r="M2107" s="35"/>
      <x:c r="N2107" s="35"/>
      <x:c r="O2107" s="35"/>
      <x:c r="P2107" s="35"/>
      <x:c r="Q2107" s="35"/>
      <x:c r="R2107" s="35"/>
      <x:c r="S2107" s="35"/>
      <x:c r="T2107" s="35"/>
      <x:c r="U2107" s="35"/>
      <x:c r="V2107" s="35"/>
      <x:c r="W2107" s="35"/>
      <x:c r="X2107" s="35"/>
      <x:c r="Y2107" s="35"/>
      <x:c r="Z2107" s="35"/>
      <x:c r="AA2107" s="35"/>
    </x:row>
    <x:row r="2108">
      <x:c r="A2108" s="136" t="str">
        <x:v>SouthMountain | Skirmish | Anderson's Counterattack</x:v>
      </x:c>
      <x:c r="B2108" s="136" t="str">
        <x:v>Gun | 3-inch Ordnance · 3InchOrdnanceRfile-18 [map-97/018]</x:v>
      </x:c>
      <x:c r="C2108" s="136" t="str">
        <x:v>gun_spawn</x:v>
      </x:c>
      <x:c r="D2108" s="136" t="str"/>
      <x:c r="E2108" s="136" t="str">
        <x:v>3-inch Ordnance · 3InchOrdnanceRfile-18</x:v>
      </x:c>
      <x:c r="F2108" s="137" t="n">
        <x:v>1578.8009033203125</x:v>
      </x:c>
      <x:c r="G2108" s="137" t="n">
        <x:v>1380.4989013671875</x:v>
      </x:c>
      <x:c r="H2108" s="137" t="n">
        <x:v>210.83079528808594</x:v>
      </x:c>
      <x:c r="I2108" s="137" t="n">
        <x:v>1052.4959239130435</x:v>
      </x:c>
      <x:c r="J2108" s="137" t="n">
        <x:v>1145.3241847826087</x:v>
      </x:c>
      <x:c r="K2108" s="136" t="str">
        <x:v>map-97</x:v>
      </x:c>
      <x:c r="L2108" s="136" t="str">
        <x:v>SouthMountain | Skirmish | Anderson's Counterattack||Gun | 3-inch Ordnance · 3InchOrdnanceRfile-18 [map-97/018]</x:v>
      </x:c>
      <x:c r="M2108" s="35"/>
      <x:c r="N2108" s="35"/>
      <x:c r="O2108" s="35"/>
      <x:c r="P2108" s="35"/>
      <x:c r="Q2108" s="35"/>
      <x:c r="R2108" s="35"/>
      <x:c r="S2108" s="35"/>
      <x:c r="T2108" s="35"/>
      <x:c r="U2108" s="35"/>
      <x:c r="V2108" s="35"/>
      <x:c r="W2108" s="35"/>
      <x:c r="X2108" s="35"/>
      <x:c r="Y2108" s="35"/>
      <x:c r="Z2108" s="35"/>
      <x:c r="AA2108" s="35"/>
    </x:row>
    <x:row r="2109">
      <x:c r="A2109" s="136" t="str">
        <x:v>SouthMountain | Skirmish | Anderson's Counterattack</x:v>
      </x:c>
      <x:c r="B2109" s="136" t="str">
        <x:v>Gun | 12-pounder Napoleon (USA) · 3InchOrdnanceRfile-20 [map-97/019]</x:v>
      </x:c>
      <x:c r="C2109" s="136" t="str">
        <x:v>gun_spawn</x:v>
      </x:c>
      <x:c r="D2109" s="136" t="str"/>
      <x:c r="E2109" s="136" t="str">
        <x:v>12-pounder Napoleon (USA) · 3InchOrdnanceRfile-20</x:v>
      </x:c>
      <x:c r="F2109" s="137" t="n">
        <x:v>1559.9669189453125</x:v>
      </x:c>
      <x:c r="G2109" s="137" t="n">
        <x:v>1380.26611328125</x:v>
      </x:c>
      <x:c r="H2109" s="137" t="n">
        <x:v>209.28785705566406</x:v>
      </x:c>
      <x:c r="I2109" s="137" t="n">
        <x:v>1010.5698369565217</x:v>
      </x:c>
      <x:c r="J2109" s="137" t="n">
        <x:v>1145.8423913043478</x:v>
      </x:c>
      <x:c r="K2109" s="136" t="str">
        <x:v>map-97</x:v>
      </x:c>
      <x:c r="L2109" s="136" t="str">
        <x:v>SouthMountain | Skirmish | Anderson's Counterattack||Gun | 12-pounder Napoleon (USA) · 3InchOrdnanceRfile-20 [map-97/019]</x:v>
      </x:c>
      <x:c r="M2109" s="35"/>
      <x:c r="N2109" s="35"/>
      <x:c r="O2109" s="35"/>
      <x:c r="P2109" s="35"/>
      <x:c r="Q2109" s="35"/>
      <x:c r="R2109" s="35"/>
      <x:c r="S2109" s="35"/>
      <x:c r="T2109" s="35"/>
      <x:c r="U2109" s="35"/>
      <x:c r="V2109" s="35"/>
      <x:c r="W2109" s="35"/>
      <x:c r="X2109" s="35"/>
      <x:c r="Y2109" s="35"/>
      <x:c r="Z2109" s="35"/>
      <x:c r="AA2109" s="35"/>
    </x:row>
    <x:row r="2110">
      <x:c r="A2110" s="136" t="str">
        <x:v>SouthMountain | Skirmish | Reno's Fall</x:v>
      </x:c>
      <x:c r="B2110" s="136" t="str">
        <x:v>Spawn | CSA Spawnpoint_FGRF_Base_CSA_MS2nd [map-98/001]</x:v>
      </x:c>
      <x:c r="C2110" s="136" t="str">
        <x:v>spawn</x:v>
      </x:c>
      <x:c r="D2110" s="136" t="str">
        <x:v>CSA</x:v>
      </x:c>
      <x:c r="E2110" s="136" t="str">
        <x:v>Spawnpoint_FGRF_Base_CSA_MS2nd</x:v>
      </x:c>
      <x:c r="F2110" s="137" t="n">
        <x:v>1985.120361328125</x:v>
      </x:c>
      <x:c r="G2110" s="137" t="n">
        <x:v>2577.49169921875</x:v>
      </x:c>
      <x:c r="H2110" s="137" t="n">
        <x:v>173.4242706298828</x:v>
      </x:c>
      <x:c r="I2110" s="137" t="n">
        <x:v>703.6266596579566</x:v>
      </x:c>
      <x:c r="J2110" s="137" t="n">
        <x:v>725.08669161111</x:v>
      </x:c>
      <x:c r="K2110" s="136" t="str">
        <x:v>map-98</x:v>
      </x:c>
      <x:c r="L2110" s="136" t="str">
        <x:v>SouthMountain | Skirmish | Reno's Fall||Spawn | CSA Spawnpoint_FGRF_Base_CSA_MS2nd [map-98/001]</x:v>
      </x:c>
      <x:c r="M2110" s="35"/>
      <x:c r="N2110" s="35"/>
      <x:c r="O2110" s="35"/>
      <x:c r="P2110" s="35"/>
      <x:c r="Q2110" s="35"/>
      <x:c r="R2110" s="35"/>
      <x:c r="S2110" s="35"/>
      <x:c r="T2110" s="35"/>
      <x:c r="U2110" s="35"/>
      <x:c r="V2110" s="35"/>
      <x:c r="W2110" s="35"/>
      <x:c r="X2110" s="35"/>
      <x:c r="Y2110" s="35"/>
      <x:c r="Z2110" s="35"/>
      <x:c r="AA2110" s="35"/>
    </x:row>
    <x:row r="2111">
      <x:c r="A2111" s="136" t="str">
        <x:v>SouthMountain | Skirmish | Reno's Fall</x:v>
      </x:c>
      <x:c r="B2111" s="136" t="str">
        <x:v>Spawn | USA Spawnpoint_FGRF_Defend_USA_PA51st [map-98/002]</x:v>
      </x:c>
      <x:c r="C2111" s="136" t="str">
        <x:v>spawn</x:v>
      </x:c>
      <x:c r="D2111" s="136" t="str">
        <x:v>USA</x:v>
      </x:c>
      <x:c r="E2111" s="136" t="str">
        <x:v>Spawnpoint_FGRF_Defend_USA_PA51st</x:v>
      </x:c>
      <x:c r="F2111" s="137" t="n">
        <x:v>2103.459228515625</x:v>
      </x:c>
      <x:c r="G2111" s="137" t="n">
        <x:v>2243.43359375</x:v>
      </x:c>
      <x:c r="H2111" s="137" t="n">
        <x:v>195.32119750976562</x:v>
      </x:c>
      <x:c r="I2111" s="137" t="n">
        <x:v>933.5678359051484</x:v>
      </x:c>
      <x:c r="J2111" s="137" t="n">
        <x:v>1373.968151076981</x:v>
      </x:c>
      <x:c r="K2111" s="136" t="str">
        <x:v>map-98</x:v>
      </x:c>
      <x:c r="L2111" s="136" t="str">
        <x:v>SouthMountain | Skirmish | Reno's Fall||Spawn | USA Spawnpoint_FGRF_Defend_USA_PA51st [map-98/002]</x:v>
      </x:c>
      <x:c r="M2111" s="35"/>
      <x:c r="N2111" s="35"/>
      <x:c r="O2111" s="35"/>
      <x:c r="P2111" s="35"/>
      <x:c r="Q2111" s="35"/>
      <x:c r="R2111" s="35"/>
      <x:c r="S2111" s="35"/>
      <x:c r="T2111" s="35"/>
      <x:c r="U2111" s="35"/>
      <x:c r="V2111" s="35"/>
      <x:c r="W2111" s="35"/>
      <x:c r="X2111" s="35"/>
      <x:c r="Y2111" s="35"/>
      <x:c r="Z2111" s="35"/>
      <x:c r="AA2111" s="35"/>
    </x:row>
    <x:row r="2112">
      <x:c r="A2112" s="136" t="str">
        <x:v>SouthMountain | Skirmish | Reno's Fall</x:v>
      </x:c>
      <x:c r="B2112" s="136" t="str">
        <x:v>Objective | Victory_Foxs_Gap_Renos_Fall [map-98/003]</x:v>
      </x:c>
      <x:c r="C2112" s="136" t="str">
        <x:v>objective</x:v>
      </x:c>
      <x:c r="D2112" s="136" t="str"/>
      <x:c r="E2112" s="136" t="str">
        <x:v>Victory_Foxs_Gap_Renos_Fall</x:v>
      </x:c>
      <x:c r="F2112" s="137" t="n">
        <x:v>2105.382080078125</x:v>
      </x:c>
      <x:c r="G2112" s="137" t="n">
        <x:v>2241.540771484375</x:v>
      </x:c>
      <x:c r="H2112" s="137" t="n">
        <x:v>194.7312774658203</x:v>
      </x:c>
      <x:c r="I2112" s="137" t="n">
        <x:v>937.304078785769</x:v>
      </x:c>
      <x:c r="J2112" s="137" t="n">
        <x:v>1377.6424999908993</x:v>
      </x:c>
      <x:c r="K2112" s="136" t="str">
        <x:v>map-98</x:v>
      </x:c>
      <x:c r="L2112" s="136" t="str">
        <x:v>SouthMountain | Skirmish | Reno's Fall||Objective | Victory_Foxs_Gap_Renos_Fall [map-98/003]</x:v>
      </x:c>
      <x:c r="M2112" s="35"/>
      <x:c r="N2112" s="35"/>
      <x:c r="O2112" s="35"/>
      <x:c r="P2112" s="35"/>
      <x:c r="Q2112" s="35"/>
      <x:c r="R2112" s="35"/>
      <x:c r="S2112" s="35"/>
      <x:c r="T2112" s="35"/>
      <x:c r="U2112" s="35"/>
      <x:c r="V2112" s="35"/>
      <x:c r="W2112" s="35"/>
      <x:c r="X2112" s="35"/>
      <x:c r="Y2112" s="35"/>
      <x:c r="Z2112" s="35"/>
      <x:c r="AA2112" s="35"/>
    </x:row>
    <x:row r="2113">
      <x:c r="A2113" s="136" t="str">
        <x:v>SouthMountain | Skirmish | Reno's Fall</x:v>
      </x:c>
      <x:c r="B2113" s="136" t="str">
        <x:v>Spawn | USA Spawnpoint_FGRF_Base_USA_PA51st [map-98/004]</x:v>
      </x:c>
      <x:c r="C2113" s="136" t="str">
        <x:v>spawn</x:v>
      </x:c>
      <x:c r="D2113" s="136" t="str">
        <x:v>USA</x:v>
      </x:c>
      <x:c r="E2113" s="136" t="str">
        <x:v>Spawnpoint_FGRF_Base_USA_PA51st</x:v>
      </x:c>
      <x:c r="F2113" s="137" t="n">
        <x:v>2083.802734375</x:v>
      </x:c>
      <x:c r="G2113" s="137" t="n">
        <x:v>2077.87744140625</x:v>
      </x:c>
      <x:c r="H2113" s="137" t="n">
        <x:v>193.65380859375</x:v>
      </x:c>
      <x:c r="I2113" s="137" t="n">
        <x:v>895.3738131718568</x:v>
      </x:c>
      <x:c r="J2113" s="137" t="n">
        <x:v>1695.6922437465564</x:v>
      </x:c>
      <x:c r="K2113" s="136" t="str">
        <x:v>map-98</x:v>
      </x:c>
      <x:c r="L2113" s="136" t="str">
        <x:v>SouthMountain | Skirmish | Reno's Fall||Spawn | USA Spawnpoint_FGRF_Base_USA_PA51st [map-98/004]</x:v>
      </x:c>
      <x:c r="M2113" s="35"/>
      <x:c r="N2113" s="35"/>
      <x:c r="O2113" s="35"/>
      <x:c r="P2113" s="35"/>
      <x:c r="Q2113" s="35"/>
      <x:c r="R2113" s="35"/>
      <x:c r="S2113" s="35"/>
      <x:c r="T2113" s="35"/>
      <x:c r="U2113" s="35"/>
      <x:c r="V2113" s="35"/>
      <x:c r="W2113" s="35"/>
      <x:c r="X2113" s="35"/>
      <x:c r="Y2113" s="35"/>
      <x:c r="Z2113" s="35"/>
      <x:c r="AA2113" s="35"/>
    </x:row>
    <x:row r="2114">
      <x:c r="A2114" s="136" t="str">
        <x:v>SouthMountain | Skirmish | Reno's Fall</x:v>
      </x:c>
      <x:c r="B2114" s="136" t="str">
        <x:v>Spawn | USA Spawnpoint_FGRF_Defend_USA_PA51st-2 [map-98/005]</x:v>
      </x:c>
      <x:c r="C2114" s="136" t="str">
        <x:v>spawn</x:v>
      </x:c>
      <x:c r="D2114" s="136" t="str">
        <x:v>USA</x:v>
      </x:c>
      <x:c r="E2114" s="136" t="str">
        <x:v>Spawnpoint_FGRF_Defend_USA_PA51st-2</x:v>
      </x:c>
      <x:c r="F2114" s="137" t="n">
        <x:v>2118.566650390625</x:v>
      </x:c>
      <x:c r="G2114" s="137" t="n">
        <x:v>2244.9873046875</x:v>
      </x:c>
      <x:c r="H2114" s="137" t="n">
        <x:v>193.88995361328125</x:v>
      </x:c>
      <x:c r="I2114" s="137" t="n">
        <x:v>962.9226745863065</x:v>
      </x:c>
      <x:c r="J2114" s="137" t="n">
        <x:v>1370.9213248715432</x:v>
      </x:c>
      <x:c r="K2114" s="136" t="str">
        <x:v>map-98</x:v>
      </x:c>
      <x:c r="L2114" s="136" t="str">
        <x:v>SouthMountain | Skirmish | Reno's Fall||Spawn | USA Spawnpoint_FGRF_Defend_USA_PA51st-2 [map-98/005]</x:v>
      </x:c>
      <x:c r="M2114" s="35"/>
      <x:c r="N2114" s="35"/>
      <x:c r="O2114" s="35"/>
      <x:c r="P2114" s="35"/>
      <x:c r="Q2114" s="35"/>
      <x:c r="R2114" s="35"/>
      <x:c r="S2114" s="35"/>
      <x:c r="T2114" s="35"/>
      <x:c r="U2114" s="35"/>
      <x:c r="V2114" s="35"/>
      <x:c r="W2114" s="35"/>
      <x:c r="X2114" s="35"/>
      <x:c r="Y2114" s="35"/>
      <x:c r="Z2114" s="35"/>
      <x:c r="AA2114" s="35"/>
    </x:row>
    <x:row r="2115">
      <x:c r="A2115" s="136" t="str">
        <x:v>SouthMountain | Skirmish | Reno's Fall</x:v>
      </x:c>
      <x:c r="B2115" s="136" t="str">
        <x:v>Spawn | USA Spawnpoint_FGRF_Base_USA_PA51st-2 [map-98/006]</x:v>
      </x:c>
      <x:c r="C2115" s="136" t="str">
        <x:v>spawn</x:v>
      </x:c>
      <x:c r="D2115" s="136" t="str">
        <x:v>USA</x:v>
      </x:c>
      <x:c r="E2115" s="136" t="str">
        <x:v>Spawnpoint_FGRF_Base_USA_PA51st-2</x:v>
      </x:c>
      <x:c r="F2115" s="137" t="n">
        <x:v>2081.927978515625</x:v>
      </x:c>
      <x:c r="G2115" s="137" t="n">
        <x:v>2094.400634765625</x:v>
      </x:c>
      <x:c r="H2115" s="137" t="n">
        <x:v>193.4423828125</x:v>
      </x:c>
      <x:c r="I2115" s="137" t="n">
        <x:v>891.7310238015818</x:v>
      </x:c>
      <x:c r="J2115" s="137" t="n">
        <x:v>1663.5899124565924</x:v>
      </x:c>
      <x:c r="K2115" s="136" t="str">
        <x:v>map-98</x:v>
      </x:c>
      <x:c r="L2115" s="136" t="str">
        <x:v>SouthMountain | Skirmish | Reno's Fall||Spawn | USA Spawnpoint_FGRF_Base_USA_PA51st-2 [map-98/006]</x:v>
      </x:c>
      <x:c r="M2115" s="35"/>
      <x:c r="N2115" s="35"/>
      <x:c r="O2115" s="35"/>
      <x:c r="P2115" s="35"/>
      <x:c r="Q2115" s="35"/>
      <x:c r="R2115" s="35"/>
      <x:c r="S2115" s="35"/>
      <x:c r="T2115" s="35"/>
      <x:c r="U2115" s="35"/>
      <x:c r="V2115" s="35"/>
      <x:c r="W2115" s="35"/>
      <x:c r="X2115" s="35"/>
      <x:c r="Y2115" s="35"/>
      <x:c r="Z2115" s="35"/>
      <x:c r="AA2115" s="35"/>
    </x:row>
    <x:row r="2116">
      <x:c r="A2116" s="136" t="str">
        <x:v>SouthMountain | Skirmish | Reno's Fall</x:v>
      </x:c>
      <x:c r="B2116" s="136" t="str">
        <x:v>Spawn | USA Spawnpoint_FGRF_Defend_USA_NY51st-2 [map-98/007]</x:v>
      </x:c>
      <x:c r="C2116" s="136" t="str">
        <x:v>spawn</x:v>
      </x:c>
      <x:c r="D2116" s="136" t="str">
        <x:v>USA</x:v>
      </x:c>
      <x:c r="E2116" s="136" t="str">
        <x:v>Spawnpoint_FGRF_Defend_USA_NY51st-2</x:v>
      </x:c>
      <x:c r="F2116" s="137" t="n">
        <x:v>2158.94677734375</x:v>
      </x:c>
      <x:c r="G2116" s="137" t="n">
        <x:v>2250.72998046875</x:v>
      </x:c>
      <x:c r="H2116" s="137" t="n">
        <x:v>190.76116943359375</x:v>
      </x:c>
      <x:c r="I2116" s="137" t="n">
        <x:v>1041.38424946264</x:v>
      </x:c>
      <x:c r="J2116" s="137" t="n">
        <x:v>1359.688439175906</x:v>
      </x:c>
      <x:c r="K2116" s="136" t="str">
        <x:v>map-98</x:v>
      </x:c>
      <x:c r="L2116" s="136" t="str">
        <x:v>SouthMountain | Skirmish | Reno's Fall||Spawn | USA Spawnpoint_FGRF_Defend_USA_NY51st-2 [map-98/007]</x:v>
      </x:c>
      <x:c r="M2116" s="35"/>
      <x:c r="N2116" s="35"/>
      <x:c r="O2116" s="35"/>
      <x:c r="P2116" s="35"/>
      <x:c r="Q2116" s="35"/>
      <x:c r="R2116" s="35"/>
      <x:c r="S2116" s="35"/>
      <x:c r="T2116" s="35"/>
      <x:c r="U2116" s="35"/>
      <x:c r="V2116" s="35"/>
      <x:c r="W2116" s="35"/>
      <x:c r="X2116" s="35"/>
      <x:c r="Y2116" s="35"/>
      <x:c r="Z2116" s="35"/>
      <x:c r="AA2116" s="35"/>
    </x:row>
    <x:row r="2117">
      <x:c r="A2117" s="136" t="str">
        <x:v>SouthMountain | Skirmish | Reno's Fall</x:v>
      </x:c>
      <x:c r="B2117" s="136" t="str">
        <x:v>Artillery | USA Spawnpoint_FGRF_USA_Arty_Base [map-98/008]</x:v>
      </x:c>
      <x:c r="C2117" s="136" t="str">
        <x:v>battery</x:v>
      </x:c>
      <x:c r="D2117" s="136" t="str">
        <x:v>USA</x:v>
      </x:c>
      <x:c r="E2117" s="136" t="str">
        <x:v>Spawnpoint_FGRF_USA_Arty_Base</x:v>
      </x:c>
      <x:c r="F2117" s="137" t="n">
        <x:v>2086.179931640625</x:v>
      </x:c>
      <x:c r="G2117" s="137" t="n">
        <x:v>2028.98828125</x:v>
      </x:c>
      <x:c r="H2117" s="137" t="n">
        <x:v>194.83139038085938</x:v>
      </x:c>
      <x:c r="I2117" s="137" t="n">
        <x:v>899.9928833760979</x:v>
      </x:c>
      <x:c r="J2117" s="137" t="n">
        <x:v>1790.6831174039476</x:v>
      </x:c>
      <x:c r="K2117" s="136" t="str">
        <x:v>map-98</x:v>
      </x:c>
      <x:c r="L2117" s="136" t="str">
        <x:v>SouthMountain | Skirmish | Reno's Fall||Artillery | USA Spawnpoint_FGRF_USA_Arty_Base [map-98/008]</x:v>
      </x:c>
      <x:c r="M2117" s="35"/>
      <x:c r="N2117" s="35"/>
      <x:c r="O2117" s="35"/>
      <x:c r="P2117" s="35"/>
      <x:c r="Q2117" s="35"/>
      <x:c r="R2117" s="35"/>
      <x:c r="S2117" s="35"/>
      <x:c r="T2117" s="35"/>
      <x:c r="U2117" s="35"/>
      <x:c r="V2117" s="35"/>
      <x:c r="W2117" s="35"/>
      <x:c r="X2117" s="35"/>
      <x:c r="Y2117" s="35"/>
      <x:c r="Z2117" s="35"/>
      <x:c r="AA2117" s="35"/>
    </x:row>
    <x:row r="2118">
      <x:c r="A2118" s="136" t="str">
        <x:v>SouthMountain | Skirmish | Reno's Fall</x:v>
      </x:c>
      <x:c r="B2118" s="136" t="str">
        <x:v>Artillery | USA Spawnpoint_FGRF_USA_Arty_Glassie_Forward [map-98/009]</x:v>
      </x:c>
      <x:c r="C2118" s="136" t="str">
        <x:v>battery</x:v>
      </x:c>
      <x:c r="D2118" s="136" t="str">
        <x:v>USA</x:v>
      </x:c>
      <x:c r="E2118" s="136" t="str">
        <x:v>Spawnpoint_FGRF_USA_Arty_Glassie_Forward</x:v>
      </x:c>
      <x:c r="F2118" s="137" t="n">
        <x:v>2097.81884765625</x:v>
      </x:c>
      <x:c r="G2118" s="137" t="n">
        <x:v>1944.83154296875</x:v>
      </x:c>
      <x:c r="H2118" s="137" t="n">
        <x:v>197.8517303466797</x:v>
      </x:c>
      <x:c r="I2118" s="137" t="n">
        <x:v>922.6081584964413</x:v>
      </x:c>
      <x:c r="J2118" s="137" t="n">
        <x:v>1954.1844310368065</x:v>
      </x:c>
      <x:c r="K2118" s="136" t="str">
        <x:v>map-98</x:v>
      </x:c>
      <x:c r="L2118" s="136" t="str">
        <x:v>SouthMountain | Skirmish | Reno's Fall||Artillery | USA Spawnpoint_FGRF_USA_Arty_Glassie_Forward [map-98/009]</x:v>
      </x:c>
      <x:c r="M2118" s="35"/>
      <x:c r="N2118" s="35"/>
      <x:c r="O2118" s="35"/>
      <x:c r="P2118" s="35"/>
      <x:c r="Q2118" s="35"/>
      <x:c r="R2118" s="35"/>
      <x:c r="S2118" s="35"/>
      <x:c r="T2118" s="35"/>
      <x:c r="U2118" s="35"/>
      <x:c r="V2118" s="35"/>
      <x:c r="W2118" s="35"/>
      <x:c r="X2118" s="35"/>
      <x:c r="Y2118" s="35"/>
      <x:c r="Z2118" s="35"/>
      <x:c r="AA2118" s="35"/>
    </x:row>
    <x:row r="2119">
      <x:c r="A2119" s="136" t="str">
        <x:v>SouthMountain | Skirmish | Reno's Fall</x:v>
      </x:c>
      <x:c r="B2119" s="136" t="str">
        <x:v>Spawn | CSA Spawnpoint_FGRF_Base_CSA_GA18th-2 [map-98/010]</x:v>
      </x:c>
      <x:c r="C2119" s="136" t="str">
        <x:v>spawn</x:v>
      </x:c>
      <x:c r="D2119" s="136" t="str">
        <x:v>CSA</x:v>
      </x:c>
      <x:c r="E2119" s="136" t="str">
        <x:v>Spawnpoint_FGRF_Base_CSA_GA18th-2</x:v>
      </x:c>
      <x:c r="F2119" s="137" t="n">
        <x:v>1967.33740234375</x:v>
      </x:c>
      <x:c r="G2119" s="137" t="n">
        <x:v>2614.22509765625</x:v>
      </x:c>
      <x:c r="H2119" s="137" t="n">
        <x:v>172.2125701904297</x:v>
      </x:c>
      <x:c r="I2119" s="137" t="n">
        <x:v>669.0730543784337</x:v>
      </x:c>
      <x:c r="J2119" s="137" t="n">
        <x:v>653.7437633954016</x:v>
      </x:c>
      <x:c r="K2119" s="136" t="str">
        <x:v>map-98</x:v>
      </x:c>
      <x:c r="L2119" s="136" t="str">
        <x:v>SouthMountain | Skirmish | Reno's Fall||Spawn | CSA Spawnpoint_FGRF_Base_CSA_GA18th-2 [map-98/010]</x:v>
      </x:c>
      <x:c r="M2119" s="35"/>
      <x:c r="N2119" s="35"/>
      <x:c r="O2119" s="35"/>
      <x:c r="P2119" s="35"/>
      <x:c r="Q2119" s="35"/>
      <x:c r="R2119" s="35"/>
      <x:c r="S2119" s="35"/>
      <x:c r="T2119" s="35"/>
      <x:c r="U2119" s="35"/>
      <x:c r="V2119" s="35"/>
      <x:c r="W2119" s="35"/>
      <x:c r="X2119" s="35"/>
      <x:c r="Y2119" s="35"/>
      <x:c r="Z2119" s="35"/>
      <x:c r="AA2119" s="35"/>
    </x:row>
    <x:row r="2120">
      <x:c r="A2120" s="136" t="str">
        <x:v>SouthMountain | Skirmish | Reno's Fall</x:v>
      </x:c>
      <x:c r="B2120" s="136" t="str">
        <x:v>Spawn | USA Spawnpoint_FGRF_Defend_USA_NY51st [map-98/011]</x:v>
      </x:c>
      <x:c r="C2120" s="136" t="str">
        <x:v>spawn</x:v>
      </x:c>
      <x:c r="D2120" s="136" t="str">
        <x:v>USA</x:v>
      </x:c>
      <x:c r="E2120" s="136" t="str">
        <x:v>Spawnpoint_FGRF_Defend_USA_NY51st</x:v>
      </x:c>
      <x:c r="F2120" s="137" t="n">
        <x:v>2142.26611328125</x:v>
      </x:c>
      <x:c r="G2120" s="137" t="n">
        <x:v>2246.720703125</x:v>
      </x:c>
      <x:c r="H2120" s="137" t="n">
        <x:v>192.8733367919922</x:v>
      </x:c>
      <x:c r="I2120" s="137" t="n">
        <x:v>1008.9724847882467</x:v>
      </x:c>
      <x:c r="J2120" s="137" t="n">
        <x:v>1367.5095129330891</x:v>
      </x:c>
      <x:c r="K2120" s="136" t="str">
        <x:v>map-98</x:v>
      </x:c>
      <x:c r="L2120" s="136" t="str">
        <x:v>SouthMountain | Skirmish | Reno's Fall||Spawn | USA Spawnpoint_FGRF_Defend_USA_NY51st [map-98/011]</x:v>
      </x:c>
      <x:c r="M2120" s="35"/>
      <x:c r="N2120" s="35"/>
      <x:c r="O2120" s="35"/>
      <x:c r="P2120" s="35"/>
      <x:c r="Q2120" s="35"/>
      <x:c r="R2120" s="35"/>
      <x:c r="S2120" s="35"/>
      <x:c r="T2120" s="35"/>
      <x:c r="U2120" s="35"/>
      <x:c r="V2120" s="35"/>
      <x:c r="W2120" s="35"/>
      <x:c r="X2120" s="35"/>
      <x:c r="Y2120" s="35"/>
      <x:c r="Z2120" s="35"/>
      <x:c r="AA2120" s="35"/>
    </x:row>
    <x:row r="2121">
      <x:c r="A2121" s="136" t="str">
        <x:v>SouthMountain | Skirmish | Reno's Fall</x:v>
      </x:c>
      <x:c r="B2121" s="136" t="str">
        <x:v>Spawn | USA Spawnpoint_FGRF_Base_USA_NY51st-2 [map-98/012]</x:v>
      </x:c>
      <x:c r="C2121" s="136" t="str">
        <x:v>spawn</x:v>
      </x:c>
      <x:c r="D2121" s="136" t="str">
        <x:v>USA</x:v>
      </x:c>
      <x:c r="E2121" s="136" t="str">
        <x:v>Spawnpoint_FGRF_Base_USA_NY51st-2</x:v>
      </x:c>
      <x:c r="F2121" s="137" t="n">
        <x:v>2085.33251953125</x:v>
      </x:c>
      <x:c r="G2121" s="137" t="n">
        <x:v>2060.831298828125</x:v>
      </x:c>
      <x:c r="H2121" s="137" t="n">
        <x:v>193.763427734375</x:v>
      </x:c>
      <x:c r="I2121" s="137" t="n">
        <x:v>898.3462989374699</x:v>
      </x:c>
      <x:c r="J2121" s="137" t="n">
        <x:v>1728.8113400291393</x:v>
      </x:c>
      <x:c r="K2121" s="136" t="str">
        <x:v>map-98</x:v>
      </x:c>
      <x:c r="L2121" s="136" t="str">
        <x:v>SouthMountain | Skirmish | Reno's Fall||Spawn | USA Spawnpoint_FGRF_Base_USA_NY51st-2 [map-98/012]</x:v>
      </x:c>
      <x:c r="M2121" s="35"/>
      <x:c r="N2121" s="35"/>
      <x:c r="O2121" s="35"/>
      <x:c r="P2121" s="35"/>
      <x:c r="Q2121" s="35"/>
      <x:c r="R2121" s="35"/>
      <x:c r="S2121" s="35"/>
      <x:c r="T2121" s="35"/>
      <x:c r="U2121" s="35"/>
      <x:c r="V2121" s="35"/>
      <x:c r="W2121" s="35"/>
      <x:c r="X2121" s="35"/>
      <x:c r="Y2121" s="35"/>
      <x:c r="Z2121" s="35"/>
      <x:c r="AA2121" s="35"/>
    </x:row>
    <x:row r="2122">
      <x:c r="A2122" s="136" t="str">
        <x:v>SouthMountain | Skirmish | Reno's Fall</x:v>
      </x:c>
      <x:c r="B2122" s="136" t="str">
        <x:v>Spawn | USA Spawnpoint_FGRF_Base_USA_NY51st [map-98/013]</x:v>
      </x:c>
      <x:c r="C2122" s="136" t="str">
        <x:v>spawn</x:v>
      </x:c>
      <x:c r="D2122" s="136" t="str">
        <x:v>USA</x:v>
      </x:c>
      <x:c r="E2122" s="136" t="str">
        <x:v>Spawnpoint_FGRF_Base_USA_NY51st</x:v>
      </x:c>
      <x:c r="F2122" s="137" t="n">
        <x:v>2086.180419921875</x:v>
      </x:c>
      <x:c r="G2122" s="137" t="n">
        <x:v>2043.3453369140625</x:v>
      </x:c>
      <x:c r="H2122" s="137" t="n">
        <x:v>194.00335693359375</x:v>
      </x:c>
      <x:c r="I2122" s="137" t="n">
        <x:v>899.9938321427004</x:v>
      </x:c>
      <x:c r="J2122" s="137" t="n">
        <x:v>1762.7862948990141</x:v>
      </x:c>
      <x:c r="K2122" s="136" t="str">
        <x:v>map-98</x:v>
      </x:c>
      <x:c r="L2122" s="136" t="str">
        <x:v>SouthMountain | Skirmish | Reno's Fall||Spawn | USA Spawnpoint_FGRF_Base_USA_NY51st [map-98/013]</x:v>
      </x:c>
      <x:c r="M2122" s="35"/>
      <x:c r="N2122" s="35"/>
      <x:c r="O2122" s="35"/>
      <x:c r="P2122" s="35"/>
      <x:c r="Q2122" s="35"/>
      <x:c r="R2122" s="35"/>
      <x:c r="S2122" s="35"/>
      <x:c r="T2122" s="35"/>
      <x:c r="U2122" s="35"/>
      <x:c r="V2122" s="35"/>
      <x:c r="W2122" s="35"/>
      <x:c r="X2122" s="35"/>
      <x:c r="Y2122" s="35"/>
      <x:c r="Z2122" s="35"/>
      <x:c r="AA2122" s="35"/>
    </x:row>
    <x:row r="2123">
      <x:c r="A2123" s="136" t="str">
        <x:v>SouthMountain | Skirmish | Reno's Fall</x:v>
      </x:c>
      <x:c r="B2123" s="136" t="str">
        <x:v>Spawn | CSA Spawnpoint_FGRF_Base_CSA_GA18th [map-98/014]</x:v>
      </x:c>
      <x:c r="C2123" s="136" t="str">
        <x:v>spawn</x:v>
      </x:c>
      <x:c r="D2123" s="136" t="str">
        <x:v>CSA</x:v>
      </x:c>
      <x:c r="E2123" s="136" t="str">
        <x:v>Spawnpoint_FGRF_Base_CSA_GA18th</x:v>
      </x:c>
      <x:c r="F2123" s="137" t="n">
        <x:v>1975.404052734375</x:v>
      </x:c>
      <x:c r="G2123" s="137" t="n">
        <x:v>2598.3115234375</x:v>
      </x:c>
      <x:c r="H2123" s="137" t="n">
        <x:v>172.47427368164062</x:v>
      </x:c>
      <x:c r="I2123" s="137" t="n">
        <x:v>684.7471530349325</x:v>
      </x:c>
      <x:c r="J2123" s="137" t="n">
        <x:v>684.6501446835615</x:v>
      </x:c>
      <x:c r="K2123" s="136" t="str">
        <x:v>map-98</x:v>
      </x:c>
      <x:c r="L2123" s="136" t="str">
        <x:v>SouthMountain | Skirmish | Reno's Fall||Spawn | CSA Spawnpoint_FGRF_Base_CSA_GA18th [map-98/014]</x:v>
      </x:c>
      <x:c r="M2123" s="35"/>
      <x:c r="N2123" s="35"/>
      <x:c r="O2123" s="35"/>
      <x:c r="P2123" s="35"/>
      <x:c r="Q2123" s="35"/>
      <x:c r="R2123" s="35"/>
      <x:c r="S2123" s="35"/>
      <x:c r="T2123" s="35"/>
      <x:c r="U2123" s="35"/>
      <x:c r="V2123" s="35"/>
      <x:c r="W2123" s="35"/>
      <x:c r="X2123" s="35"/>
      <x:c r="Y2123" s="35"/>
      <x:c r="Z2123" s="35"/>
      <x:c r="AA2123" s="35"/>
    </x:row>
    <x:row r="2124">
      <x:c r="A2124" s="136" t="str">
        <x:v>SouthMountain | Skirmish | Reno's Fall</x:v>
      </x:c>
      <x:c r="B2124" s="136" t="str">
        <x:v>Spawn | CSA Spawnpoint_FGRF_Base_CSA_MS2nd-2 [map-98/015]</x:v>
      </x:c>
      <x:c r="C2124" s="136" t="str">
        <x:v>spawn</x:v>
      </x:c>
      <x:c r="D2124" s="136" t="str">
        <x:v>CSA</x:v>
      </x:c>
      <x:c r="E2124" s="136" t="str">
        <x:v>Spawnpoint_FGRF_Base_CSA_MS2nd-2</x:v>
      </x:c>
      <x:c r="F2124" s="137" t="n">
        <x:v>1992.1468505859375</x:v>
      </x:c>
      <x:c r="G2124" s="137" t="n">
        <x:v>2560.5966796875</x:v>
      </x:c>
      <x:c r="H2124" s="137" t="n">
        <x:v>174.55726623535156</x:v>
      </x:c>
      <x:c r="I2124" s="137" t="n">
        <x:v>717.279648259493</x:v>
      </x:c>
      <x:c r="J2124" s="137" t="n">
        <x:v>757.9020113310207</x:v>
      </x:c>
      <x:c r="K2124" s="136" t="str">
        <x:v>map-98</x:v>
      </x:c>
      <x:c r="L2124" s="136" t="str">
        <x:v>SouthMountain | Skirmish | Reno's Fall||Spawn | CSA Spawnpoint_FGRF_Base_CSA_MS2nd-2 [map-98/015]</x:v>
      </x:c>
      <x:c r="M2124" s="35"/>
      <x:c r="N2124" s="35"/>
      <x:c r="O2124" s="35"/>
      <x:c r="P2124" s="35"/>
      <x:c r="Q2124" s="35"/>
      <x:c r="R2124" s="35"/>
      <x:c r="S2124" s="35"/>
      <x:c r="T2124" s="35"/>
      <x:c r="U2124" s="35"/>
      <x:c r="V2124" s="35"/>
      <x:c r="W2124" s="35"/>
      <x:c r="X2124" s="35"/>
      <x:c r="Y2124" s="35"/>
      <x:c r="Z2124" s="35"/>
      <x:c r="AA2124" s="35"/>
    </x:row>
    <x:row r="2125">
      <x:c r="A2125" s="136" t="str">
        <x:v>SouthMountain | Skirmish | Reno's Fall</x:v>
      </x:c>
      <x:c r="B2125" s="136" t="str">
        <x:v>Gun | 12-pounder Napoleon (USA) · 3InchOrdnanceRfile-9 [map-98/016]</x:v>
      </x:c>
      <x:c r="C2125" s="136" t="str">
        <x:v>gun_spawn</x:v>
      </x:c>
      <x:c r="D2125" s="136" t="str"/>
      <x:c r="E2125" s="136" t="str">
        <x:v>12-pounder Napoleon (USA) · 3InchOrdnanceRfile-9</x:v>
      </x:c>
      <x:c r="F2125" s="137" t="n">
        <x:v>2096.416748046875</x:v>
      </x:c>
      <x:c r="G2125" s="137" t="n">
        <x:v>1971.4791259765625</x:v>
      </x:c>
      <x:c r="H2125" s="137" t="n">
        <x:v>196.09991455078125</x:v>
      </x:c>
      <x:c r="I2125" s="137" t="n">
        <x:v>919.8837751973804</x:v>
      </x:c>
      <x:c r="J2125" s="137" t="n">
        <x:v>1902.4087900832221</x:v>
      </x:c>
      <x:c r="K2125" s="136" t="str">
        <x:v>map-98</x:v>
      </x:c>
      <x:c r="L2125" s="136" t="str">
        <x:v>SouthMountain | Skirmish | Reno's Fall||Gun | 12-pounder Napoleon (USA) · 3InchOrdnanceRfile-9 [map-98/016]</x:v>
      </x:c>
      <x:c r="M2125" s="35"/>
      <x:c r="N2125" s="35"/>
      <x:c r="O2125" s="35"/>
      <x:c r="P2125" s="35"/>
      <x:c r="Q2125" s="35"/>
      <x:c r="R2125" s="35"/>
      <x:c r="S2125" s="35"/>
      <x:c r="T2125" s="35"/>
      <x:c r="U2125" s="35"/>
      <x:c r="V2125" s="35"/>
      <x:c r="W2125" s="35"/>
      <x:c r="X2125" s="35"/>
      <x:c r="Y2125" s="35"/>
      <x:c r="Z2125" s="35"/>
      <x:c r="AA2125" s="35"/>
    </x:row>
    <x:row r="2126">
      <x:c r="A2126" s="136" t="str">
        <x:v>SouthMountain | Skirmish | Reno's Fall</x:v>
      </x:c>
      <x:c r="B2126" s="136" t="str">
        <x:v>Gun | 12-pounder Napoleon (USA) · 3InchOrdnanceRfile-8 [map-98/017]</x:v>
      </x:c>
      <x:c r="C2126" s="136" t="str">
        <x:v>gun_spawn</x:v>
      </x:c>
      <x:c r="D2126" s="136" t="str"/>
      <x:c r="E2126" s="136" t="str">
        <x:v>12-pounder Napoleon (USA) · 3InchOrdnanceRfile-8</x:v>
      </x:c>
      <x:c r="F2126" s="137" t="n">
        <x:v>2103.7216796875</x:v>
      </x:c>
      <x:c r="G2126" s="137" t="n">
        <x:v>1970.3338623046875</x:v>
      </x:c>
      <x:c r="H2126" s="137" t="n">
        <x:v>195.88775634765625</x:v>
      </x:c>
      <x:c r="I2126" s="137" t="n">
        <x:v>934.0777979539888</x:v>
      </x:c>
      <x:c r="J2126" s="137" t="n">
        <x:v>1904.6206553415198</x:v>
      </x:c>
      <x:c r="K2126" s="136" t="str">
        <x:v>map-98</x:v>
      </x:c>
      <x:c r="L2126" s="136" t="str">
        <x:v>SouthMountain | Skirmish | Reno's Fall||Gun | 12-pounder Napoleon (USA) · 3InchOrdnanceRfile-8 [map-98/017]</x:v>
      </x:c>
      <x:c r="M2126" s="35"/>
      <x:c r="N2126" s="35"/>
      <x:c r="O2126" s="35"/>
      <x:c r="P2126" s="35"/>
      <x:c r="Q2126" s="35"/>
      <x:c r="R2126" s="35"/>
      <x:c r="S2126" s="35"/>
      <x:c r="T2126" s="35"/>
      <x:c r="U2126" s="35"/>
      <x:c r="V2126" s="35"/>
      <x:c r="W2126" s="35"/>
      <x:c r="X2126" s="35"/>
      <x:c r="Y2126" s="35"/>
      <x:c r="Z2126" s="35"/>
      <x:c r="AA2126" s="35"/>
    </x:row>
    <x:row r="2127">
      <x:c r="A2127" s="136" t="str">
        <x:v>SouthMountain | Skirmish | Colquitt's Defence</x:v>
      </x:c>
      <x:c r="B2127" s="136" t="str">
        <x:v>Spawn | CSA Spawnpoint_TGCD_Defend_CSA_AL13th-2 [map-99/001]</x:v>
      </x:c>
      <x:c r="C2127" s="136" t="str">
        <x:v>spawn</x:v>
      </x:c>
      <x:c r="D2127" s="136" t="str">
        <x:v>CSA</x:v>
      </x:c>
      <x:c r="E2127" s="136" t="str">
        <x:v>Spawnpoint_TGCD_Defend_CSA_AL13th-2</x:v>
      </x:c>
      <x:c r="F2127" s="137" t="n">
        <x:v>2084.1474609375</x:v>
      </x:c>
      <x:c r="G2127" s="137" t="n">
        <x:v>3475.793701171875</x:v>
      </x:c>
      <x:c r="H2127" s="137" t="n">
        <x:v>174.4724884033203</x:v>
      </x:c>
      <x:c r="I2127" s="137" t="n">
        <x:v>998.2524911283441</x:v>
      </x:c>
      <x:c r="J2127" s="137" t="n">
        <x:v>890.8036504424779</x:v>
      </x:c>
      <x:c r="K2127" s="136" t="str">
        <x:v>map-99</x:v>
      </x:c>
      <x:c r="L2127" s="136" t="str">
        <x:v>SouthMountain | Skirmish | Colquitt's Defence||Spawn | CSA Spawnpoint_TGCD_Defend_CSA_AL13th-2 [map-99/001]</x:v>
      </x:c>
      <x:c r="M2127" s="35"/>
      <x:c r="N2127" s="35"/>
      <x:c r="O2127" s="35"/>
      <x:c r="P2127" s="35"/>
      <x:c r="Q2127" s="35"/>
      <x:c r="R2127" s="35"/>
      <x:c r="S2127" s="35"/>
      <x:c r="T2127" s="35"/>
      <x:c r="U2127" s="35"/>
      <x:c r="V2127" s="35"/>
      <x:c r="W2127" s="35"/>
      <x:c r="X2127" s="35"/>
      <x:c r="Y2127" s="35"/>
      <x:c r="Z2127" s="35"/>
      <x:c r="AA2127" s="35"/>
    </x:row>
    <x:row r="2128">
      <x:c r="A2128" s="136" t="str">
        <x:v>SouthMountain | Skirmish | Colquitt's Defence</x:v>
      </x:c>
      <x:c r="B2128" s="136" t="str">
        <x:v>Spawn | CSA Spawnpoint_TGCD_Base_CSA_AL13th [map-99/002]</x:v>
      </x:c>
      <x:c r="C2128" s="136" t="str">
        <x:v>spawn</x:v>
      </x:c>
      <x:c r="D2128" s="136" t="str">
        <x:v>CSA</x:v>
      </x:c>
      <x:c r="E2128" s="136" t="str">
        <x:v>Spawnpoint_TGCD_Base_CSA_AL13th</x:v>
      </x:c>
      <x:c r="F2128" s="137" t="n">
        <x:v>1875.7979736328125</x:v>
      </x:c>
      <x:c r="G2128" s="137" t="n">
        <x:v>3618.013916015625</x:v>
      </x:c>
      <x:c r="H2128" s="137" t="n">
        <x:v>212.12474060058594</x:v>
      </x:c>
      <x:c r="I2128" s="137" t="n">
        <x:v>525.716777110557</x:v>
      </x:c>
      <x:c r="J2128" s="137" t="n">
        <x:v>568.6056415929204</x:v>
      </x:c>
      <x:c r="K2128" s="136" t="str">
        <x:v>map-99</x:v>
      </x:c>
      <x:c r="L2128" s="136" t="str">
        <x:v>SouthMountain | Skirmish | Colquitt's Defence||Spawn | CSA Spawnpoint_TGCD_Base_CSA_AL13th [map-99/002]</x:v>
      </x:c>
      <x:c r="M2128" s="35"/>
      <x:c r="N2128" s="35"/>
      <x:c r="O2128" s="35"/>
      <x:c r="P2128" s="35"/>
      <x:c r="Q2128" s="35"/>
      <x:c r="R2128" s="35"/>
      <x:c r="S2128" s="35"/>
      <x:c r="T2128" s="35"/>
      <x:c r="U2128" s="35"/>
      <x:c r="V2128" s="35"/>
      <x:c r="W2128" s="35"/>
      <x:c r="X2128" s="35"/>
      <x:c r="Y2128" s="35"/>
      <x:c r="Z2128" s="35"/>
      <x:c r="AA2128" s="35"/>
    </x:row>
    <x:row r="2129">
      <x:c r="A2129" s="136" t="str">
        <x:v>SouthMountain | Skirmish | Colquitt's Defence</x:v>
      </x:c>
      <x:c r="B2129" s="136" t="str">
        <x:v>Spawn | CSA Spawnpoint_TGCD_Base_CSA_AL13th-2 [map-99/003]</x:v>
      </x:c>
      <x:c r="C2129" s="136" t="str">
        <x:v>spawn</x:v>
      </x:c>
      <x:c r="D2129" s="136" t="str">
        <x:v>CSA</x:v>
      </x:c>
      <x:c r="E2129" s="136" t="str">
        <x:v>Spawnpoint_TGCD_Base_CSA_AL13th-2</x:v>
      </x:c>
      <x:c r="F2129" s="137" t="n">
        <x:v>1889.7734375</x:v>
      </x:c>
      <x:c r="G2129" s="137" t="n">
        <x:v>3607.88037109375</x:v>
      </x:c>
      <x:c r="H2129" s="137" t="n">
        <x:v>212.1758270263672</x:v>
      </x:c>
      <x:c r="I2129" s="137" t="n">
        <x:v>557.4130672365499</x:v>
      </x:c>
      <x:c r="J2129" s="137" t="n">
        <x:v>591.5630530973451</x:v>
      </x:c>
      <x:c r="K2129" s="136" t="str">
        <x:v>map-99</x:v>
      </x:c>
      <x:c r="L2129" s="136" t="str">
        <x:v>SouthMountain | Skirmish | Colquitt's Defence||Spawn | CSA Spawnpoint_TGCD_Base_CSA_AL13th-2 [map-99/003]</x:v>
      </x:c>
      <x:c r="M2129" s="35"/>
      <x:c r="N2129" s="35"/>
      <x:c r="O2129" s="35"/>
      <x:c r="P2129" s="35"/>
      <x:c r="Q2129" s="35"/>
      <x:c r="R2129" s="35"/>
      <x:c r="S2129" s="35"/>
      <x:c r="T2129" s="35"/>
      <x:c r="U2129" s="35"/>
      <x:c r="V2129" s="35"/>
      <x:c r="W2129" s="35"/>
      <x:c r="X2129" s="35"/>
      <x:c r="Y2129" s="35"/>
      <x:c r="Z2129" s="35"/>
      <x:c r="AA2129" s="35"/>
    </x:row>
    <x:row r="2130">
      <x:c r="A2130" s="136" t="str">
        <x:v>SouthMountain | Skirmish | Colquitt's Defence</x:v>
      </x:c>
      <x:c r="B2130" s="136" t="str">
        <x:v>Spawn | CSA Spawnpoint_TGCD_Defend_CSA_GA6th [map-99/004]</x:v>
      </x:c>
      <x:c r="C2130" s="136" t="str">
        <x:v>spawn</x:v>
      </x:c>
      <x:c r="D2130" s="136" t="str">
        <x:v>CSA</x:v>
      </x:c>
      <x:c r="E2130" s="136" t="str">
        <x:v>Spawnpoint_TGCD_Defend_CSA_GA6th</x:v>
      </x:c>
      <x:c r="F2130" s="137" t="n">
        <x:v>2061.441162109375</x:v>
      </x:c>
      <x:c r="G2130" s="137" t="n">
        <x:v>3441.510009765625</x:v>
      </x:c>
      <x:c r="H2130" s="137" t="n">
        <x:v>168.41510009765625</x:v>
      </x:c>
      <x:c r="I2130" s="137" t="n">
        <x:v>946.7547059969675</x:v>
      </x:c>
      <x:c r="J2130" s="137" t="n">
        <x:v>968.4728982300885</x:v>
      </x:c>
      <x:c r="K2130" s="136" t="str">
        <x:v>map-99</x:v>
      </x:c>
      <x:c r="L2130" s="136" t="str">
        <x:v>SouthMountain | Skirmish | Colquitt's Defence||Spawn | CSA Spawnpoint_TGCD_Defend_CSA_GA6th [map-99/004]</x:v>
      </x:c>
      <x:c r="M2130" s="35"/>
      <x:c r="N2130" s="35"/>
      <x:c r="O2130" s="35"/>
      <x:c r="P2130" s="35"/>
      <x:c r="Q2130" s="35"/>
      <x:c r="R2130" s="35"/>
      <x:c r="S2130" s="35"/>
      <x:c r="T2130" s="35"/>
      <x:c r="U2130" s="35"/>
      <x:c r="V2130" s="35"/>
      <x:c r="W2130" s="35"/>
      <x:c r="X2130" s="35"/>
      <x:c r="Y2130" s="35"/>
      <x:c r="Z2130" s="35"/>
      <x:c r="AA2130" s="35"/>
    </x:row>
    <x:row r="2131">
      <x:c r="A2131" s="136" t="str">
        <x:v>SouthMountain | Skirmish | Colquitt's Defence</x:v>
      </x:c>
      <x:c r="B2131" s="136" t="str">
        <x:v>Spawn | CSA Spawnpoint_TGCD_Base_CSA_GA6th [map-99/005]</x:v>
      </x:c>
      <x:c r="C2131" s="136" t="str">
        <x:v>spawn</x:v>
      </x:c>
      <x:c r="D2131" s="136" t="str">
        <x:v>CSA</x:v>
      </x:c>
      <x:c r="E2131" s="136" t="str">
        <x:v>Spawnpoint_TGCD_Base_CSA_GA6th</x:v>
      </x:c>
      <x:c r="F2131" s="137" t="n">
        <x:v>1854.9644775390625</x:v>
      </x:c>
      <x:c r="G2131" s="137" t="n">
        <x:v>3633.429443359375</x:v>
      </x:c>
      <x:c r="H2131" s="137" t="n">
        <x:v>211.85897827148438</x:v>
      </x:c>
      <x:c r="I2131" s="137" t="n">
        <x:v>478.4665002824199</x:v>
      </x:c>
      <x:c r="J2131" s="137" t="n">
        <x:v>533.6819690265487</x:v>
      </x:c>
      <x:c r="K2131" s="136" t="str">
        <x:v>map-99</x:v>
      </x:c>
      <x:c r="L2131" s="136" t="str">
        <x:v>SouthMountain | Skirmish | Colquitt's Defence||Spawn | CSA Spawnpoint_TGCD_Base_CSA_GA6th [map-99/005]</x:v>
      </x:c>
      <x:c r="M2131" s="35"/>
      <x:c r="N2131" s="35"/>
      <x:c r="O2131" s="35"/>
      <x:c r="P2131" s="35"/>
      <x:c r="Q2131" s="35"/>
      <x:c r="R2131" s="35"/>
      <x:c r="S2131" s="35"/>
      <x:c r="T2131" s="35"/>
      <x:c r="U2131" s="35"/>
      <x:c r="V2131" s="35"/>
      <x:c r="W2131" s="35"/>
      <x:c r="X2131" s="35"/>
      <x:c r="Y2131" s="35"/>
      <x:c r="Z2131" s="35"/>
      <x:c r="AA2131" s="35"/>
    </x:row>
    <x:row r="2132">
      <x:c r="A2132" s="136" t="str">
        <x:v>SouthMountain | Skirmish | Colquitt's Defence</x:v>
      </x:c>
      <x:c r="B2132" s="136" t="str">
        <x:v>Artillery | USA Spawnpoint_TGCD_USA_Arty_Stewart_Forward [map-99/006]</x:v>
      </x:c>
      <x:c r="C2132" s="136" t="str">
        <x:v>battery</x:v>
      </x:c>
      <x:c r="D2132" s="136" t="str">
        <x:v>USA</x:v>
      </x:c>
      <x:c r="E2132" s="136" t="str">
        <x:v>Spawnpoint_TGCD_USA_Arty_Stewart_Forward</x:v>
      </x:c>
      <x:c r="F2132" s="137" t="n">
        <x:v>2297.060791015625</x:v>
      </x:c>
      <x:c r="G2132" s="137" t="n">
        <x:v>3300.431884765625</x:v>
      </x:c>
      <x:c r="H2132" s="137" t="n">
        <x:v>209.72161865234375</x:v>
      </x:c>
      <x:c r="I2132" s="137" t="n">
        <x:v>1481.1389803340608</x:v>
      </x:c>
      <x:c r="J2132" s="137" t="n">
        <x:v>1288.083517699115</x:v>
      </x:c>
      <x:c r="K2132" s="136" t="str">
        <x:v>map-99</x:v>
      </x:c>
      <x:c r="L2132" s="136" t="str">
        <x:v>SouthMountain | Skirmish | Colquitt's Defence||Artillery | USA Spawnpoint_TGCD_USA_Arty_Stewart_Forward [map-99/006]</x:v>
      </x:c>
      <x:c r="M2132" s="35"/>
      <x:c r="N2132" s="35"/>
      <x:c r="O2132" s="35"/>
      <x:c r="P2132" s="35"/>
      <x:c r="Q2132" s="35"/>
      <x:c r="R2132" s="35"/>
      <x:c r="S2132" s="35"/>
      <x:c r="T2132" s="35"/>
      <x:c r="U2132" s="35"/>
      <x:c r="V2132" s="35"/>
      <x:c r="W2132" s="35"/>
      <x:c r="X2132" s="35"/>
      <x:c r="Y2132" s="35"/>
      <x:c r="Z2132" s="35"/>
      <x:c r="AA2132" s="35"/>
    </x:row>
    <x:row r="2133">
      <x:c r="A2133" s="136" t="str">
        <x:v>SouthMountain | Skirmish | Colquitt's Defence</x:v>
      </x:c>
      <x:c r="B2133" s="136" t="str">
        <x:v>Spawn | CSA Spawnpoint_TGCD_Defend_CSA_AL13th [map-99/007]</x:v>
      </x:c>
      <x:c r="C2133" s="136" t="str">
        <x:v>spawn</x:v>
      </x:c>
      <x:c r="D2133" s="136" t="str">
        <x:v>CSA</x:v>
      </x:c>
      <x:c r="E2133" s="136" t="str">
        <x:v>Spawnpoint_TGCD_Defend_CSA_AL13th</x:v>
      </x:c>
      <x:c r="F2133" s="137" t="n">
        <x:v>2075.519287109375</x:v>
      </x:c>
      <x:c r="G2133" s="137" t="n">
        <x:v>3461.534912109375</x:v>
      </x:c>
      <x:c r="H2133" s="137" t="n">
        <x:v>171.5330810546875</x:v>
      </x:c>
      <x:c r="I2133" s="137" t="n">
        <x:v>978.6838311172911</x:v>
      </x:c>
      <x:c r="J2133" s="137" t="n">
        <x:v>923.1067477876106</x:v>
      </x:c>
      <x:c r="K2133" s="136" t="str">
        <x:v>map-99</x:v>
      </x:c>
      <x:c r="L2133" s="136" t="str">
        <x:v>SouthMountain | Skirmish | Colquitt's Defence||Spawn | CSA Spawnpoint_TGCD_Defend_CSA_AL13th [map-99/007]</x:v>
      </x:c>
      <x:c r="M2133" s="35"/>
      <x:c r="N2133" s="35"/>
      <x:c r="O2133" s="35"/>
      <x:c r="P2133" s="35"/>
      <x:c r="Q2133" s="35"/>
      <x:c r="R2133" s="35"/>
      <x:c r="S2133" s="35"/>
      <x:c r="T2133" s="35"/>
      <x:c r="U2133" s="35"/>
      <x:c r="V2133" s="35"/>
      <x:c r="W2133" s="35"/>
      <x:c r="X2133" s="35"/>
      <x:c r="Y2133" s="35"/>
      <x:c r="Z2133" s="35"/>
      <x:c r="AA2133" s="35"/>
    </x:row>
    <x:row r="2134">
      <x:c r="A2134" s="136" t="str">
        <x:v>SouthMountain | Skirmish | Colquitt's Defence</x:v>
      </x:c>
      <x:c r="B2134" s="136" t="str">
        <x:v>Artillery | USA Spawnpoint_TGCD_USA_Arty_Base [map-99/008]</x:v>
      </x:c>
      <x:c r="C2134" s="136" t="str">
        <x:v>battery</x:v>
      </x:c>
      <x:c r="D2134" s="136" t="str">
        <x:v>USA</x:v>
      </x:c>
      <x:c r="E2134" s="136" t="str">
        <x:v>Spawnpoint_TGCD_USA_Arty_Base</x:v>
      </x:c>
      <x:c r="F2134" s="137" t="n">
        <x:v>2276.497802734375</x:v>
      </x:c>
      <x:c r="G2134" s="137" t="n">
        <x:v>3087.1923828125</x:v>
      </x:c>
      <x:c r="H2134" s="137" t="n">
        <x:v>166.65847778320312</x:v>
      </x:c>
      <x:c r="I2134" s="137" t="n">
        <x:v>1434.502214026063</x:v>
      </x:c>
      <x:c r="J2134" s="137" t="n">
        <x:v>1771.1747787610623</x:v>
      </x:c>
      <x:c r="K2134" s="136" t="str">
        <x:v>map-99</x:v>
      </x:c>
      <x:c r="L2134" s="136" t="str">
        <x:v>SouthMountain | Skirmish | Colquitt's Defence||Artillery | USA Spawnpoint_TGCD_USA_Arty_Base [map-99/008]</x:v>
      </x:c>
      <x:c r="M2134" s="35"/>
      <x:c r="N2134" s="35"/>
      <x:c r="O2134" s="35"/>
      <x:c r="P2134" s="35"/>
      <x:c r="Q2134" s="35"/>
      <x:c r="R2134" s="35"/>
      <x:c r="S2134" s="35"/>
      <x:c r="T2134" s="35"/>
      <x:c r="U2134" s="35"/>
      <x:c r="V2134" s="35"/>
      <x:c r="W2134" s="35"/>
      <x:c r="X2134" s="35"/>
      <x:c r="Y2134" s="35"/>
      <x:c r="Z2134" s="35"/>
      <x:c r="AA2134" s="35"/>
    </x:row>
    <x:row r="2135">
      <x:c r="A2135" s="136" t="str">
        <x:v>SouthMountain | Skirmish | Colquitt's Defence</x:v>
      </x:c>
      <x:c r="B2135" s="136" t="str">
        <x:v>Artillery | CSA Spawnpoint_TGCD_CSA_Arty_Base [map-99/009]</x:v>
      </x:c>
      <x:c r="C2135" s="136" t="str">
        <x:v>battery</x:v>
      </x:c>
      <x:c r="D2135" s="136" t="str">
        <x:v>CSA</x:v>
      </x:c>
      <x:c r="E2135" s="136" t="str">
        <x:v>Spawnpoint_TGCD_CSA_Arty_Base</x:v>
      </x:c>
      <x:c r="F2135" s="137" t="n">
        <x:v>1837.09375</x:v>
      </x:c>
      <x:c r="G2135" s="137" t="n">
        <x:v>3642.733154296875</x:v>
      </x:c>
      <x:c r="H2135" s="137" t="n">
        <x:v>210.80294799804688</x:v>
      </x:c>
      <x:c r="I2135" s="137" t="n">
        <x:v>437.9357694083908</x:v>
      </x:c>
      <x:c r="J2135" s="137" t="n">
        <x:v>512.6045353982302</x:v>
      </x:c>
      <x:c r="K2135" s="136" t="str">
        <x:v>map-99</x:v>
      </x:c>
      <x:c r="L2135" s="136" t="str">
        <x:v>SouthMountain | Skirmish | Colquitt's Defence||Artillery | CSA Spawnpoint_TGCD_CSA_Arty_Base [map-99/009]</x:v>
      </x:c>
      <x:c r="M2135" s="35"/>
      <x:c r="N2135" s="35"/>
      <x:c r="O2135" s="35"/>
      <x:c r="P2135" s="35"/>
      <x:c r="Q2135" s="35"/>
      <x:c r="R2135" s="35"/>
      <x:c r="S2135" s="35"/>
      <x:c r="T2135" s="35"/>
      <x:c r="U2135" s="35"/>
      <x:c r="V2135" s="35"/>
      <x:c r="W2135" s="35"/>
      <x:c r="X2135" s="35"/>
      <x:c r="Y2135" s="35"/>
      <x:c r="Z2135" s="35"/>
      <x:c r="AA2135" s="35"/>
    </x:row>
    <x:row r="2136">
      <x:c r="A2136" s="136" t="str">
        <x:v>SouthMountain | Skirmish | Colquitt's Defence</x:v>
      </x:c>
      <x:c r="B2136" s="136" t="str">
        <x:v>Spawn | USA Spawnpoint_TGCD_Base_USA_WI2nd [map-99/010]</x:v>
      </x:c>
      <x:c r="C2136" s="136" t="str">
        <x:v>spawn</x:v>
      </x:c>
      <x:c r="D2136" s="136" t="str">
        <x:v>USA</x:v>
      </x:c>
      <x:c r="E2136" s="136" t="str">
        <x:v>Spawnpoint_TGCD_Base_USA_WI2nd</x:v>
      </x:c>
      <x:c r="F2136" s="137" t="n">
        <x:v>2266.451171875</x:v>
      </x:c>
      <x:c r="G2136" s="137" t="n">
        <x:v>3108.060791015625</x:v>
      </x:c>
      <x:c r="H2136" s="137" t="n">
        <x:v>169.15106201171875</x:v>
      </x:c>
      <x:c r="I2136" s="137" t="n">
        <x:v>1411.7164997532682</x:v>
      </x:c>
      <x:c r="J2136" s="137" t="n">
        <x:v>1723.8976769911505</x:v>
      </x:c>
      <x:c r="K2136" s="136" t="str">
        <x:v>map-99</x:v>
      </x:c>
      <x:c r="L2136" s="136" t="str">
        <x:v>SouthMountain | Skirmish | Colquitt's Defence||Spawn | USA Spawnpoint_TGCD_Base_USA_WI2nd [map-99/010]</x:v>
      </x:c>
      <x:c r="M2136" s="35"/>
      <x:c r="N2136" s="35"/>
      <x:c r="O2136" s="35"/>
      <x:c r="P2136" s="35"/>
      <x:c r="Q2136" s="35"/>
      <x:c r="R2136" s="35"/>
      <x:c r="S2136" s="35"/>
      <x:c r="T2136" s="35"/>
      <x:c r="U2136" s="35"/>
      <x:c r="V2136" s="35"/>
      <x:c r="W2136" s="35"/>
      <x:c r="X2136" s="35"/>
      <x:c r="Y2136" s="35"/>
      <x:c r="Z2136" s="35"/>
      <x:c r="AA2136" s="35"/>
    </x:row>
    <x:row r="2137">
      <x:c r="A2137" s="136" t="str">
        <x:v>SouthMountain | Skirmish | Colquitt's Defence</x:v>
      </x:c>
      <x:c r="B2137" s="136" t="str">
        <x:v>Spawn | CSA Spawnpoint_TGCD_Defend_CSA_GA6th-2 [map-99/011]</x:v>
      </x:c>
      <x:c r="C2137" s="136" t="str">
        <x:v>spawn</x:v>
      </x:c>
      <x:c r="D2137" s="136" t="str">
        <x:v>CSA</x:v>
      </x:c>
      <x:c r="E2137" s="136" t="str">
        <x:v>Spawnpoint_TGCD_Defend_CSA_GA6th-2</x:v>
      </x:c>
      <x:c r="F2137" s="137" t="n">
        <x:v>2051.028076171875</x:v>
      </x:c>
      <x:c r="G2137" s="137" t="n">
        <x:v>3428.72119140625</x:v>
      </x:c>
      <x:c r="H2137" s="137" t="n">
        <x:v>166.4348907470703</x:v>
      </x:c>
      <x:c r="I2137" s="137" t="n">
        <x:v>923.1378732307347</x:v>
      </x:c>
      <x:c r="J2137" s="137" t="n">
        <x:v>997.4457964601771</x:v>
      </x:c>
      <x:c r="K2137" s="136" t="str">
        <x:v>map-99</x:v>
      </x:c>
      <x:c r="L2137" s="136" t="str">
        <x:v>SouthMountain | Skirmish | Colquitt's Defence||Spawn | CSA Spawnpoint_TGCD_Defend_CSA_GA6th-2 [map-99/011]</x:v>
      </x:c>
      <x:c r="M2137" s="35"/>
      <x:c r="N2137" s="35"/>
      <x:c r="O2137" s="35"/>
      <x:c r="P2137" s="35"/>
      <x:c r="Q2137" s="35"/>
      <x:c r="R2137" s="35"/>
      <x:c r="S2137" s="35"/>
      <x:c r="T2137" s="35"/>
      <x:c r="U2137" s="35"/>
      <x:c r="V2137" s="35"/>
      <x:c r="W2137" s="35"/>
      <x:c r="X2137" s="35"/>
      <x:c r="Y2137" s="35"/>
      <x:c r="Z2137" s="35"/>
      <x:c r="AA2137" s="35"/>
    </x:row>
    <x:row r="2138">
      <x:c r="A2138" s="136" t="str">
        <x:v>SouthMountain | Skirmish | Colquitt's Defence</x:v>
      </x:c>
      <x:c r="B2138" s="136" t="str">
        <x:v>Artillery | CSA Spawnpoint_TGCD_CSA_Arty_Lane_Forward [map-99/012]</x:v>
      </x:c>
      <x:c r="C2138" s="136" t="str">
        <x:v>battery</x:v>
      </x:c>
      <x:c r="D2138" s="136" t="str">
        <x:v>CSA</x:v>
      </x:c>
      <x:c r="E2138" s="136" t="str">
        <x:v>Spawnpoint_TGCD_CSA_Arty_Lane_Forward</x:v>
      </x:c>
      <x:c r="F2138" s="137" t="n">
        <x:v>1978.32275390625</x:v>
      </x:c>
      <x:c r="G2138" s="137" t="n">
        <x:v>3757.5732421875</x:v>
      </x:c>
      <x:c r="H2138" s="137" t="n">
        <x:v>252.090087890625</x:v>
      </x:c>
      <x:c r="I2138" s="137" t="n">
        <x:v>758.2425244870209</x:v>
      </x:c>
      <x:c r="J2138" s="137" t="n">
        <x:v>252.43584070796462</x:v>
      </x:c>
      <x:c r="K2138" s="136" t="str">
        <x:v>map-99</x:v>
      </x:c>
      <x:c r="L2138" s="136" t="str">
        <x:v>SouthMountain | Skirmish | Colquitt's Defence||Artillery | CSA Spawnpoint_TGCD_CSA_Arty_Lane_Forward [map-99/012]</x:v>
      </x:c>
      <x:c r="M2138" s="35"/>
      <x:c r="N2138" s="35"/>
      <x:c r="O2138" s="35"/>
      <x:c r="P2138" s="35"/>
      <x:c r="Q2138" s="35"/>
      <x:c r="R2138" s="35"/>
      <x:c r="S2138" s="35"/>
      <x:c r="T2138" s="35"/>
      <x:c r="U2138" s="35"/>
      <x:c r="V2138" s="35"/>
      <x:c r="W2138" s="35"/>
      <x:c r="X2138" s="35"/>
      <x:c r="Y2138" s="35"/>
      <x:c r="Z2138" s="35"/>
      <x:c r="AA2138" s="35"/>
    </x:row>
    <x:row r="2139">
      <x:c r="A2139" s="136" t="str">
        <x:v>SouthMountain | Skirmish | Colquitt's Defence</x:v>
      </x:c>
      <x:c r="B2139" s="136" t="str">
        <x:v>Objective | Victory_Turners_Gap_Colquitts_Defence [map-99/013]</x:v>
      </x:c>
      <x:c r="C2139" s="136" t="str">
        <x:v>objective</x:v>
      </x:c>
      <x:c r="D2139" s="136" t="str"/>
      <x:c r="E2139" s="136" t="str">
        <x:v>Victory_Turners_Gap_Colquitts_Defence</x:v>
      </x:c>
      <x:c r="F2139" s="137" t="n">
        <x:v>2067.5390625</x:v>
      </x:c>
      <x:c r="G2139" s="137" t="n">
        <x:v>3462.624755859375</x:v>
      </x:c>
      <x:c r="H2139" s="137" t="n">
        <x:v>171.14370727539062</x:v>
      </x:c>
      <x:c r="I2139" s="137" t="n">
        <x:v>960.584717063323</x:v>
      </x:c>
      <x:c r="J2139" s="137" t="n">
        <x:v>920.6377212389382</x:v>
      </x:c>
      <x:c r="K2139" s="136" t="str">
        <x:v>map-99</x:v>
      </x:c>
      <x:c r="L2139" s="136" t="str">
        <x:v>SouthMountain | Skirmish | Colquitt's Defence||Objective | Victory_Turners_Gap_Colquitts_Defence [map-99/013]</x:v>
      </x:c>
      <x:c r="M2139" s="35"/>
      <x:c r="N2139" s="35"/>
      <x:c r="O2139" s="35"/>
      <x:c r="P2139" s="35"/>
      <x:c r="Q2139" s="35"/>
      <x:c r="R2139" s="35"/>
      <x:c r="S2139" s="35"/>
      <x:c r="T2139" s="35"/>
      <x:c r="U2139" s="35"/>
      <x:c r="V2139" s="35"/>
      <x:c r="W2139" s="35"/>
      <x:c r="X2139" s="35"/>
      <x:c r="Y2139" s="35"/>
      <x:c r="Z2139" s="35"/>
      <x:c r="AA2139" s="35"/>
    </x:row>
    <x:row r="2140">
      <x:c r="A2140" s="136" t="str">
        <x:v>SouthMountain | Skirmish | Colquitt's Defence</x:v>
      </x:c>
      <x:c r="B2140" s="136" t="str">
        <x:v>Spawn | CSA Spawnpoint_TGCD_Base_CSA_GA6th-2 [map-99/014]</x:v>
      </x:c>
      <x:c r="C2140" s="136" t="str">
        <x:v>spawn</x:v>
      </x:c>
      <x:c r="D2140" s="136" t="str">
        <x:v>CSA</x:v>
      </x:c>
      <x:c r="E2140" s="136" t="str">
        <x:v>Spawnpoint_TGCD_Base_CSA_GA6th-2</x:v>
      </x:c>
      <x:c r="F2140" s="137" t="n">
        <x:v>1847.865966796875</x:v>
      </x:c>
      <x:c r="G2140" s="137" t="n">
        <x:v>3617.002197265625</x:v>
      </x:c>
      <x:c r="H2140" s="137" t="n">
        <x:v>211.00144958496094</x:v>
      </x:c>
      <x:c r="I2140" s="137" t="n">
        <x:v>462.36710937238985</x:v>
      </x:c>
      <x:c r="J2140" s="137" t="n">
        <x:v>570.8976769911505</x:v>
      </x:c>
      <x:c r="K2140" s="136" t="str">
        <x:v>map-99</x:v>
      </x:c>
      <x:c r="L2140" s="136" t="str">
        <x:v>SouthMountain | Skirmish | Colquitt's Defence||Spawn | CSA Spawnpoint_TGCD_Base_CSA_GA6th-2 [map-99/014]</x:v>
      </x:c>
      <x:c r="M2140" s="35"/>
      <x:c r="N2140" s="35"/>
      <x:c r="O2140" s="35"/>
      <x:c r="P2140" s="35"/>
      <x:c r="Q2140" s="35"/>
      <x:c r="R2140" s="35"/>
      <x:c r="S2140" s="35"/>
      <x:c r="T2140" s="35"/>
      <x:c r="U2140" s="35"/>
      <x:c r="V2140" s="35"/>
      <x:c r="W2140" s="35"/>
      <x:c r="X2140" s="35"/>
      <x:c r="Y2140" s="35"/>
      <x:c r="Z2140" s="35"/>
      <x:c r="AA2140" s="35"/>
    </x:row>
    <x:row r="2141">
      <x:c r="A2141" s="136" t="str">
        <x:v>SouthMountain | Skirmish | Colquitt's Defence</x:v>
      </x:c>
      <x:c r="B2141" s="136" t="str">
        <x:v>Spawn | USA Spawnpoint_TGCD_Base_USA_IA19th [map-99/015]</x:v>
      </x:c>
      <x:c r="C2141" s="136" t="str">
        <x:v>spawn</x:v>
      </x:c>
      <x:c r="D2141" s="136" t="str">
        <x:v>USA</x:v>
      </x:c>
      <x:c r="E2141" s="136" t="str">
        <x:v>Spawnpoint_TGCD_Base_USA_IA19th</x:v>
      </x:c>
      <x:c r="F2141" s="137" t="n">
        <x:v>2257.0380859375</x:v>
      </x:c>
      <x:c r="G2141" s="137" t="n">
        <x:v>3130.5751953125</x:v>
      </x:c>
      <x:c r="H2141" s="137" t="n">
        <x:v>171.7467041015625</x:v>
      </x:c>
      <x:c r="I2141" s="137" t="n">
        <x:v>1390.3676625560706</x:v>
      </x:c>
      <x:c r="J2141" s="137" t="n">
        <x:v>1672.891592920354</x:v>
      </x:c>
      <x:c r="K2141" s="136" t="str">
        <x:v>map-99</x:v>
      </x:c>
      <x:c r="L2141" s="136" t="str">
        <x:v>SouthMountain | Skirmish | Colquitt's Defence||Spawn | USA Spawnpoint_TGCD_Base_USA_IA19th [map-99/015]</x:v>
      </x:c>
      <x:c r="M2141" s="35"/>
      <x:c r="N2141" s="35"/>
      <x:c r="O2141" s="35"/>
      <x:c r="P2141" s="35"/>
      <x:c r="Q2141" s="35"/>
      <x:c r="R2141" s="35"/>
      <x:c r="S2141" s="35"/>
      <x:c r="T2141" s="35"/>
      <x:c r="U2141" s="35"/>
      <x:c r="V2141" s="35"/>
      <x:c r="W2141" s="35"/>
      <x:c r="X2141" s="35"/>
      <x:c r="Y2141" s="35"/>
      <x:c r="Z2141" s="35"/>
      <x:c r="AA2141" s="35"/>
    </x:row>
    <x:row r="2142">
      <x:c r="A2142" s="136" t="str">
        <x:v>SouthMountain | Skirmish | Colquitt's Defence</x:v>
      </x:c>
      <x:c r="B2142" s="136" t="str">
        <x:v>Gun | 12-pounder Napoleon (CSA) · 3InchOrdnanceRfile-5 [map-99/016]</x:v>
      </x:c>
      <x:c r="C2142" s="136" t="str">
        <x:v>gun_spawn</x:v>
      </x:c>
      <x:c r="D2142" s="136" t="str"/>
      <x:c r="E2142" s="136" t="str">
        <x:v>12-pounder Napoleon (CSA) · 3InchOrdnanceRfile-5</x:v>
      </x:c>
      <x:c r="F2142" s="137" t="n">
        <x:v>1995.7459716796875</x:v>
      </x:c>
      <x:c r="G2142" s="137" t="n">
        <x:v>3708.48681640625</x:v>
      </x:c>
      <x:c r="H2142" s="137" t="n">
        <x:v>247.11509704589844</x:v>
      </x:c>
      <x:c r="I2142" s="137" t="n">
        <x:v>797.7583051955124</x:v>
      </x:c>
      <x:c r="J2142" s="137" t="n">
        <x:v>363.6404867256637</x:v>
      </x:c>
      <x:c r="K2142" s="136" t="str">
        <x:v>map-99</x:v>
      </x:c>
      <x:c r="L2142" s="136" t="str">
        <x:v>SouthMountain | Skirmish | Colquitt's Defence||Gun | 12-pounder Napoleon (CSA) · 3InchOrdnanceRfile-5 [map-99/016]</x:v>
      </x:c>
      <x:c r="M2142" s="35"/>
      <x:c r="N2142" s="35"/>
      <x:c r="O2142" s="35"/>
      <x:c r="P2142" s="35"/>
      <x:c r="Q2142" s="35"/>
      <x:c r="R2142" s="35"/>
      <x:c r="S2142" s="35"/>
      <x:c r="T2142" s="35"/>
      <x:c r="U2142" s="35"/>
      <x:c r="V2142" s="35"/>
      <x:c r="W2142" s="35"/>
      <x:c r="X2142" s="35"/>
      <x:c r="Y2142" s="35"/>
      <x:c r="Z2142" s="35"/>
      <x:c r="AA2142" s="35"/>
    </x:row>
    <x:row r="2143">
      <x:c r="A2143" s="136" t="str">
        <x:v>SouthMountain | Skirmish | Colquitt's Defence</x:v>
      </x:c>
      <x:c r="B2143" s="136" t="str">
        <x:v>Gun | 10-pounder Parrott · 3InchOrdnanceRfile [map-99/017]</x:v>
      </x:c>
      <x:c r="C2143" s="136" t="str">
        <x:v>gun_spawn</x:v>
      </x:c>
      <x:c r="D2143" s="136" t="str"/>
      <x:c r="E2143" s="136" t="str">
        <x:v>10-pounder Parrott · 3InchOrdnanceRfile</x:v>
      </x:c>
      <x:c r="F2143" s="137" t="n">
        <x:v>2026.843505859375</x:v>
      </x:c>
      <x:c r="G2143" s="137" t="n">
        <x:v>3737.20654296875</x:v>
      </x:c>
      <x:c r="H2143" s="137" t="n">
        <x:v>250.57496643066406</x:v>
      </x:c>
      <x:c r="I2143" s="137" t="n">
        <x:v>868.2873749229644</x:v>
      </x:c>
      <x:c r="J2143" s="137" t="n">
        <x:v>298.5763274336283</x:v>
      </x:c>
      <x:c r="K2143" s="136" t="str">
        <x:v>map-99</x:v>
      </x:c>
      <x:c r="L2143" s="136" t="str">
        <x:v>SouthMountain | Skirmish | Colquitt's Defence||Gun | 10-pounder Parrott · 3InchOrdnanceRfile [map-99/017]</x:v>
      </x:c>
      <x:c r="M2143" s="35"/>
      <x:c r="N2143" s="35"/>
      <x:c r="O2143" s="35"/>
      <x:c r="P2143" s="35"/>
      <x:c r="Q2143" s="35"/>
      <x:c r="R2143" s="35"/>
      <x:c r="S2143" s="35"/>
      <x:c r="T2143" s="35"/>
      <x:c r="U2143" s="35"/>
      <x:c r="V2143" s="35"/>
      <x:c r="W2143" s="35"/>
      <x:c r="X2143" s="35"/>
      <x:c r="Y2143" s="35"/>
      <x:c r="Z2143" s="35"/>
      <x:c r="AA2143" s="35"/>
    </x:row>
    <x:row r="2144">
      <x:c r="A2144" s="136" t="str">
        <x:v>SouthMountain | Skirmish | Colquitt's Defence</x:v>
      </x:c>
      <x:c r="B2144" s="136" t="str">
        <x:v>Gun | 3-inch Ordnance · 3InchOrdnanceRfile-7 [map-99/018]</x:v>
      </x:c>
      <x:c r="C2144" s="136" t="str">
        <x:v>gun_spawn</x:v>
      </x:c>
      <x:c r="D2144" s="136" t="str"/>
      <x:c r="E2144" s="136" t="str">
        <x:v>3-inch Ordnance · 3InchOrdnanceRfile-7</x:v>
      </x:c>
      <x:c r="F2144" s="137" t="n">
        <x:v>2272.23828125</x:v>
      </x:c>
      <x:c r="G2144" s="137" t="n">
        <x:v>3331.034423828125</x:v>
      </x:c>
      <x:c r="H2144" s="137" t="n">
        <x:v>205.53810119628906</x:v>
      </x:c>
      <x:c r="I2144" s="137" t="n">
        <x:v>1424.8416381732902</x:v>
      </x:c>
      <x:c r="J2144" s="137" t="n">
        <x:v>1218.753871681416</x:v>
      </x:c>
      <x:c r="K2144" s="136" t="str">
        <x:v>map-99</x:v>
      </x:c>
      <x:c r="L2144" s="136" t="str">
        <x:v>SouthMountain | Skirmish | Colquitt's Defence||Gun | 3-inch Ordnance · 3InchOrdnanceRfile-7 [map-99/018]</x:v>
      </x:c>
      <x:c r="M2144" s="35"/>
      <x:c r="N2144" s="35"/>
      <x:c r="O2144" s="35"/>
      <x:c r="P2144" s="35"/>
      <x:c r="Q2144" s="35"/>
      <x:c r="R2144" s="35"/>
      <x:c r="S2144" s="35"/>
      <x:c r="T2144" s="35"/>
      <x:c r="U2144" s="35"/>
      <x:c r="V2144" s="35"/>
      <x:c r="W2144" s="35"/>
      <x:c r="X2144" s="35"/>
      <x:c r="Y2144" s="35"/>
      <x:c r="Z2144" s="35"/>
      <x:c r="AA2144" s="35"/>
    </x:row>
    <x:row r="2145">
      <x:c r="A2145" s="136" t="str">
        <x:v>SouthMountain | Skirmish | Colquitt's Defence</x:v>
      </x:c>
      <x:c r="B2145" s="136" t="str">
        <x:v>Gun | 12-pounder Napoleon (CSA) · 3InchOrdnanceRfile-4 [map-99/019]</x:v>
      </x:c>
      <x:c r="C2145" s="136" t="str">
        <x:v>gun_spawn</x:v>
      </x:c>
      <x:c r="D2145" s="136" t="str"/>
      <x:c r="E2145" s="136" t="str">
        <x:v>12-pounder Napoleon (CSA) · 3InchOrdnanceRfile-4</x:v>
      </x:c>
      <x:c r="F2145" s="137" t="n">
        <x:v>2003.7698974609375</x:v>
      </x:c>
      <x:c r="G2145" s="137" t="n">
        <x:v>3715.53515625</x:v>
      </x:c>
      <x:c r="H2145" s="137" t="n">
        <x:v>248.30960083007812</x:v>
      </x:c>
      <x:c r="I2145" s="137" t="n">
        <x:v>815.9565333136547</x:v>
      </x:c>
      <x:c r="J2145" s="137" t="n">
        <x:v>347.6725663716814</x:v>
      </x:c>
      <x:c r="K2145" s="136" t="str">
        <x:v>map-99</x:v>
      </x:c>
      <x:c r="L2145" s="136" t="str">
        <x:v>SouthMountain | Skirmish | Colquitt's Defence||Gun | 12-pounder Napoleon (CSA) · 3InchOrdnanceRfile-4 [map-99/019]</x:v>
      </x:c>
      <x:c r="M2145" s="35"/>
      <x:c r="N2145" s="35"/>
      <x:c r="O2145" s="35"/>
      <x:c r="P2145" s="35"/>
      <x:c r="Q2145" s="35"/>
      <x:c r="R2145" s="35"/>
      <x:c r="S2145" s="35"/>
      <x:c r="T2145" s="35"/>
      <x:c r="U2145" s="35"/>
      <x:c r="V2145" s="35"/>
      <x:c r="W2145" s="35"/>
      <x:c r="X2145" s="35"/>
      <x:c r="Y2145" s="35"/>
      <x:c r="Z2145" s="35"/>
      <x:c r="AA2145" s="35"/>
    </x:row>
    <x:row r="2146">
      <x:c r="A2146" s="136" t="str">
        <x:v>SouthMountain | Skirmish | Colquitt's Defence</x:v>
      </x:c>
      <x:c r="B2146" s="136" t="str">
        <x:v>Gun | 3-inch Ordnance · 3InchOrdnanceRfile-6 [map-99/020]</x:v>
      </x:c>
      <x:c r="C2146" s="136" t="str">
        <x:v>gun_spawn</x:v>
      </x:c>
      <x:c r="D2146" s="136" t="str"/>
      <x:c r="E2146" s="136" t="str">
        <x:v>3-inch Ordnance · 3InchOrdnanceRfile-6</x:v>
      </x:c>
      <x:c r="F2146" s="137" t="n">
        <x:v>2265.2294921875</x:v>
      </x:c>
      <x:c r="G2146" s="137" t="n">
        <x:v>3322.873291015625</x:v>
      </x:c>
      <x:c r="H2146" s="137" t="n">
        <x:v>203.6402130126953</x:v>
      </x:c>
      <x:c r="I2146" s="137" t="n">
        <x:v>1408.945735635238</x:v>
      </x:c>
      <x:c r="J2146" s="137" t="n">
        <x:v>1237.2428097345135</x:v>
      </x:c>
      <x:c r="K2146" s="136" t="str">
        <x:v>map-99</x:v>
      </x:c>
      <x:c r="L2146" s="136" t="str">
        <x:v>SouthMountain | Skirmish | Colquitt's Defence||Gun | 3-inch Ordnance · 3InchOrdnanceRfile-6 [map-99/020]</x:v>
      </x:c>
      <x:c r="M2146" s="35"/>
      <x:c r="N2146" s="35"/>
      <x:c r="O2146" s="35"/>
      <x:c r="P2146" s="35"/>
      <x:c r="Q2146" s="35"/>
      <x:c r="R2146" s="35"/>
      <x:c r="S2146" s="35"/>
      <x:c r="T2146" s="35"/>
      <x:c r="U2146" s="35"/>
      <x:c r="V2146" s="35"/>
      <x:c r="W2146" s="35"/>
      <x:c r="X2146" s="35"/>
      <x:c r="Y2146" s="35"/>
      <x:c r="Z2146" s="35"/>
      <x:c r="AA2146" s="35"/>
    </x:row>
    <x:row r="2147">
      <x:c r="A2147" s="136" t="str">
        <x:v>SouthMountain | Skirmish | Colquitt's Defence</x:v>
      </x:c>
      <x:c r="B2147" s="136" t="str">
        <x:v>Gun | 12-pounder Napoleon (USA) · 3InchOrdnanceRfile-3 [map-99/021]</x:v>
      </x:c>
      <x:c r="C2147" s="136" t="str">
        <x:v>gun_spawn</x:v>
      </x:c>
      <x:c r="D2147" s="136" t="str"/>
      <x:c r="E2147" s="136" t="str">
        <x:v>12-pounder Napoleon (USA) · 3InchOrdnanceRfile-3</x:v>
      </x:c>
      <x:c r="F2147" s="137" t="n">
        <x:v>2009.7060546875</x:v>
      </x:c>
      <x:c r="G2147" s="137" t="n">
        <x:v>3722.15869140625</x:v>
      </x:c>
      <x:c r="H2147" s="137" t="n">
        <x:v>248.9505615234375</x:v>
      </x:c>
      <x:c r="I2147" s="137" t="n">
        <x:v>829.4197116005948</x:v>
      </x:c>
      <x:c r="J2147" s="137" t="n">
        <x:v>332.6670353982301</x:v>
      </x:c>
      <x:c r="K2147" s="136" t="str">
        <x:v>map-99</x:v>
      </x:c>
      <x:c r="L2147" s="136" t="str">
        <x:v>SouthMountain | Skirmish | Colquitt's Defence||Gun | 12-pounder Napoleon (USA) · 3InchOrdnanceRfile-3 [map-99/021]</x:v>
      </x:c>
      <x:c r="M2147" s="35"/>
      <x:c r="N2147" s="35"/>
      <x:c r="O2147" s="35"/>
      <x:c r="P2147" s="35"/>
      <x:c r="Q2147" s="35"/>
      <x:c r="R2147" s="35"/>
      <x:c r="S2147" s="35"/>
      <x:c r="T2147" s="35"/>
      <x:c r="U2147" s="35"/>
      <x:c r="V2147" s="35"/>
      <x:c r="W2147" s="35"/>
      <x:c r="X2147" s="35"/>
      <x:c r="Y2147" s="35"/>
      <x:c r="Z2147" s="35"/>
      <x:c r="AA2147" s="35"/>
    </x:row>
    <x:row r="2148">
      <x:c r="A2148" s="138" t="str">
        <x:v>SouthMountain | Skirmish | Colquitt's Defence</x:v>
      </x:c>
      <x:c r="B2148" s="138" t="str">
        <x:v>Gun | 10-pounder Parrott · 3InchOrdnanceRfile-2 [map-99/022]</x:v>
      </x:c>
      <x:c r="C2148" s="138" t="str">
        <x:v>gun_spawn</x:v>
      </x:c>
      <x:c r="D2148" s="138" t="str"/>
      <x:c r="E2148" s="138" t="str">
        <x:v>10-pounder Parrott · 3InchOrdnanceRfile-2</x:v>
      </x:c>
      <x:c r="F2148" s="139" t="n">
        <x:v>2017.591796875</x:v>
      </x:c>
      <x:c r="G2148" s="139" t="n">
        <x:v>3728.386474609375</x:v>
      </x:c>
      <x:c r="H2148" s="139" t="n">
        <x:v>249.84523010253906</x:v>
      </x:c>
      <x:c r="I2148" s="139" t="n">
        <x:v>847.3045399403987</x:v>
      </x:c>
      <x:c r="J2148" s="139" t="n">
        <x:v>318.55807522123894</x:v>
      </x:c>
      <x:c r="K2148" s="138" t="str">
        <x:v>map-99</x:v>
      </x:c>
      <x:c r="L2148" s="138" t="str">
        <x:v>SouthMountain | Skirmish | Colquitt's Defence||Gun | 10-pounder Parrott · 3InchOrdnanceRfile-2 [map-99/022]</x:v>
      </x:c>
      <x:c r="M2148" s="35"/>
      <x:c r="N2148" s="35"/>
      <x:c r="O2148" s="35"/>
      <x:c r="P2148" s="35"/>
      <x:c r="Q2148" s="35"/>
      <x:c r="R2148" s="35"/>
      <x:c r="S2148" s="35"/>
      <x:c r="T2148" s="35"/>
      <x:c r="U2148" s="35"/>
      <x:c r="V2148" s="35"/>
      <x:c r="W2148" s="35"/>
      <x:c r="X2148" s="35"/>
      <x:c r="Y2148" s="35"/>
      <x:c r="Z2148" s="35"/>
      <x:c r="AA2148" s="35"/>
    </x:row>
  </x:sheetData>
  <x:pageMargins left="0.7" right="0.7" top="0.75" bottom="0.75" header="0.3" footer="0.3"/>
</x:worksheet>
</file>