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dbdd499cf4f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culator" sheetId="1" r:id="R0685776753404bc7"/>
    <x:sheet xmlns:r="http://schemas.openxmlformats.org/officeDocument/2006/relationships" name="Parameters" sheetId="2" r:id="Rd068a8ac11cf4beb"/>
    <x:sheet xmlns:r="http://schemas.openxmlformats.org/officeDocument/2006/relationships" name="Calculation" sheetId="3" r:id="R3fa7d428914d40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.000"/>
    <x:numFmt numFmtId="202" formatCode="0.00"/>
    <x:numFmt numFmtId="203" formatCode="0.000000"/>
  </x:numFmts>
  <x:fonts count="11">
    <x:font>
      <x:sz val="11"/>
      <x:name val="Carlito"/>
    </x:font>
    <x:font>
      <x:b/>
      <x:sz val="16"/>
      <x:color rgb="FF17365D"/>
      <x:name val="Arial"/>
    </x:font>
    <x:font>
      <x:b/>
      <x:sz val="10"/>
      <x:color rgb="FFFFFFFF"/>
      <x:name val="Arial"/>
    </x:font>
    <x:font>
      <x:b/>
      <x:sz val="10"/>
      <x:color rgb="FF1F2937"/>
      <x:name val="Arial"/>
    </x:font>
    <x:font>
      <x:b/>
      <x:sz val="12"/>
      <x:color rgb="FF17365D"/>
      <x:name val="Arial"/>
    </x:font>
    <x:font>
      <x:b/>
      <x:sz val="10"/>
      <x:color rgb="FF17365D"/>
      <x:name val="Arial"/>
    </x:font>
    <x:font>
      <x:sz val="9"/>
      <x:color rgb="FF5B6573"/>
      <x:name val="Arial"/>
    </x:font>
    <x:font>
      <x:sz val="11"/>
      <x:name val="Arial"/>
    </x:font>
    <x:font>
      <x:b/>
      <x:sz val="9"/>
      <x:color rgb="FFFFFFFF"/>
      <x:name val="Arial"/>
    </x:font>
    <x:font>
      <x:b/>
      <x:sz val="9"/>
      <x:color rgb="FF5B6573"/>
      <x:name val="Arial"/>
    </x:font>
    <x:font>
      <x:b/>
      <x:sz val="9"/>
      <x:color rgb="FF17365D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EEF5FB"/>
      </x:patternFill>
    </x:fill>
  </x:fills>
  <x:borders count="9">
    <x:border/>
    <x:border>
      <x:bottom style="thin">
        <x:color rgb="FF17365D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AAB7C4"/>
      </x:bottom>
    </x:border>
    <x:border>
      <x:top style="thin">
        <x:color rgb="FFAAB7C4"/>
      </x:top>
      <x:bottom style="thin">
        <x:color rgb="FFAAB7C4"/>
      </x:bottom>
    </x:border>
    <x:border>
      <x:left style="thin">
        <x:color rgb="FFAAB7C4"/>
      </x:left>
      <x:top style="thin">
        <x:color rgb="FFAAB7C4"/>
      </x:top>
      <x:bottom style="thin">
        <x:color rgb="FFAAB7C4"/>
      </x:bottom>
    </x:border>
    <x:border>
      <x:right style="thin">
        <x:color rgb="FFAAB7C4"/>
      </x:right>
      <x:top style="thin">
        <x:color rgb="FFAAB7C4"/>
      </x:top>
      <x:bottom style="thin">
        <x:color rgb="FFAAB7C4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/>
    </x:xf>
    <x:xf numFmtId="0" fontId="2" fillId="2" borderId="4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200" fontId="3" fillId="3" borderId="0" xfId="0" applyNumberFormat="1" applyFont="1" applyFill="1" applyBorder="1"/>
    <x:xf numFmtId="0" fontId="0" fillId="0" borderId="5" xfId="0" applyNumberFormat="1" applyFont="1" applyFill="1" applyBorder="1"/>
    <x:xf numFmtId="0" fontId="3" fillId="3" borderId="5" xfId="0" applyNumberFormat="1" applyFont="1" applyFill="1" applyBorder="1"/>
    <x:xf numFmtId="0" fontId="0" fillId="0" borderId="6" xfId="0" applyNumberFormat="1" applyFont="1" applyFill="1" applyBorder="1"/>
    <x:xf numFmtId="0" fontId="3" fillId="3" borderId="6" xfId="0" applyNumberFormat="1" applyFont="1" applyFill="1" applyBorder="1"/>
    <x:xf numFmtId="200" fontId="3" fillId="3" borderId="6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1" fontId="4" fillId="4" borderId="0" xfId="0" applyNumberFormat="1" applyFont="1" applyFill="1" applyBorder="1"/>
    <x:xf numFmtId="201" fontId="4" fillId="4" borderId="0" xfId="0" applyNumberFormat="1" applyFont="1" applyFill="1" applyBorder="1" applyAlignment="1">
      <x:alignment horizontal="right"/>
    </x:xf>
    <x:xf numFmtId="201" fontId="4" fillId="4" borderId="5" xfId="0" applyNumberFormat="1" applyFont="1" applyFill="1" applyBorder="1" applyAlignment="1">
      <x:alignment horizontal="right"/>
    </x:xf>
    <x:xf numFmtId="201" fontId="4" fillId="4" borderId="6" xfId="0" applyNumberFormat="1" applyFont="1" applyFill="1" applyBorder="1" applyAlignment="1">
      <x:alignment horizontal="right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7" xfId="0" applyNumberFormat="1" applyFont="1" applyFill="1" applyBorder="1"/>
    <x:xf numFmtId="0" fontId="5" fillId="5" borderId="6" xfId="0" applyNumberFormat="1" applyFont="1" applyFill="1" applyBorder="1"/>
    <x:xf numFmtId="0" fontId="5" fillId="5" borderId="8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0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3" fillId="3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3" fillId="3" borderId="6" xfId="0" applyNumberFormat="1" applyFont="1" applyFill="1" applyBorder="1" applyAlignment="1">
      <x:alignment vertical="center"/>
    </x:xf>
    <x:xf numFmtId="200" fontId="3" fillId="3" borderId="6" xfId="0" applyNumberFormat="1" applyFont="1" applyFill="1" applyBorder="1" applyAlignment="1">
      <x:alignment vertical="center"/>
    </x:xf>
    <x:xf numFmtId="201" fontId="4" fillId="4" borderId="5" xfId="0" applyNumberFormat="1" applyFont="1" applyFill="1" applyBorder="1" applyAlignment="1">
      <x:alignment horizontal="right" vertical="center"/>
    </x:xf>
    <x:xf numFmtId="201" fontId="4" fillId="4" borderId="6" xfId="0" applyNumberFormat="1" applyFont="1" applyFill="1" applyBorder="1" applyAlignment="1">
      <x:alignment horizontal="right" vertical="center"/>
    </x:xf>
    <x:xf numFmtId="0" fontId="5" fillId="5" borderId="7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5" fillId="5" borderId="8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0"/>
    </x:xf>
    <x:xf numFmtId="0" fontId="2" fillId="2" borderId="2" xfId="0" applyNumberFormat="1" applyFont="1" applyFill="1" applyBorder="1" applyAlignment="1">
      <x:alignment horizontal="left" vertical="center"/>
    </x:xf>
    <x:xf numFmtId="0" fontId="7" fillId="0" borderId="5" xfId="0" applyNumberFormat="1" applyFont="1" applyFill="1" applyBorder="1" applyAlignment="1">
      <x:alignment horizontal="left" vertical="center"/>
    </x:xf>
    <x:xf numFmtId="0" fontId="7" fillId="0" borderId="6" xfId="0" applyNumberFormat="1" applyFont="1" applyFill="1" applyBorder="1" applyAlignment="1">
      <x:alignment horizontal="left" vertical="center"/>
    </x:xf>
    <x:xf numFmtId="0" fontId="7" fillId="0" borderId="0" xfId="0" applyNumberFormat="1" applyFont="1" applyFill="1" applyBorder="1" applyAlignment="1">
      <x:alignment horizontal="left" vertical="center"/>
    </x:xf>
    <x:xf numFmtId="0" fontId="7" fillId="0" borderId="5" xfId="0" applyNumberFormat="1" applyFont="1" applyFill="1" applyBorder="1" applyAlignment="1">
      <x:alignment horizontal="center" vertical="center"/>
    </x:xf>
    <x:xf numFmtId="0" fontId="7" fillId="0" borderId="6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center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202" fontId="0" fillId="0" borderId="5" xfId="0" applyNumberFormat="1" applyFont="1" applyFill="1" applyBorder="1"/>
    <x:xf numFmtId="202" fontId="0" fillId="0" borderId="6" xfId="0" applyNumberFormat="1" applyFont="1" applyFill="1" applyBorder="1"/>
    <x:xf numFmtId="0" fontId="9" fillId="5" borderId="0" xfId="0" applyNumberFormat="1" applyFont="1" applyFill="1" applyBorder="1"/>
    <x:xf numFmtId="203" fontId="0" fillId="0" borderId="0" xfId="0" applyNumberFormat="1" applyFont="1" applyFill="1" applyBorder="1"/>
    <x:xf numFmtId="203" fontId="0" fillId="0" borderId="6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203" fontId="7" fillId="0" borderId="6" xfId="0" applyNumberFormat="1" applyFont="1" applyFill="1" applyBorder="1"/>
    <x:xf numFmtId="203" fontId="7" fillId="0" borderId="0" xfId="0" applyNumberFormat="1" applyFont="1" applyFill="1" applyBorder="1"/>
    <x:xf numFmtId="203" fontId="10" fillId="5" borderId="0" xfId="0" applyNumberFormat="1" applyFont="1" applyFill="1" applyBorder="1" applyAlignment="1">
      <x:alignment horizontal="center"/>
    </x:xf>
    <x:xf numFmtId="203" fontId="5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8518518dd248d8" /><Relationship Type="http://schemas.openxmlformats.org/officeDocument/2006/relationships/theme" Target="/xl/theme/theme1.xml" Id="R81a8791ca5b64973" /><Relationship Type="http://schemas.openxmlformats.org/officeDocument/2006/relationships/sharedStrings" Target="/xl/sharedStrings.xml" Id="R8b4a9203dcf34baa" /><Relationship Type="http://schemas.openxmlformats.org/officeDocument/2006/relationships/worksheet" Target="/xl/worksheets/sheet1.xml" Id="R0685776753404bc7" /><Relationship Type="http://schemas.openxmlformats.org/officeDocument/2006/relationships/worksheet" Target="/xl/worksheets/sheet2.xml" Id="Rd068a8ac11cf4beb" /><Relationship Type="http://schemas.openxmlformats.org/officeDocument/2006/relationships/worksheet" Target="/xl/worksheets/sheet3.xml" Id="R3fa7d428914d40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31" hidden="0" customWidth="1"/>
    <x:col min="2" max="2" width="24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2" hidden="0" customWidth="1"/>
  </x:cols>
  <x:sheetData>
    <x:row r="1">
      <x:c r="A1" s="39"/>
      <x:c r="B1" s="39"/>
      <x:c r="C1" s="39"/>
      <x:c r="D1" s="39"/>
      <x:c r="E1" s="39"/>
      <x:c r="F1" s="39"/>
      <x:c r="G1" s="39"/>
    </x:row>
    <x:row r="2" ht="24" customHeight="1">
      <x:c r="A2" s="40" t="str">
        <x:v>Flat-ground elevation and fuze calculator</x:v>
      </x:c>
      <x:c r="B2" s="40"/>
      <x:c r="C2" s="40"/>
      <x:c r="D2" s="40"/>
      <x:c r="E2" s="40"/>
      <x:c r="F2" s="40"/>
      <x:c r="G2" s="40"/>
    </x:row>
    <x:row r="3">
      <x:c r="A3" s="41"/>
      <x:c r="B3" s="41"/>
      <x:c r="C3" s="41"/>
      <x:c r="D3" s="41"/>
      <x:c r="E3" s="41"/>
      <x:c r="F3" s="41"/>
      <x:c r="G3" s="41"/>
    </x:row>
    <x:row r="4">
      <x:c r="A4" s="39"/>
      <x:c r="B4" s="39"/>
      <x:c r="C4" s="39"/>
      <x:c r="D4" s="39"/>
      <x:c r="E4" s="39"/>
      <x:c r="F4" s="39"/>
      <x:c r="G4" s="39"/>
    </x:row>
    <x:row r="5" ht="22" customHeight="1">
      <x:c r="A5" s="53" t="str">
        <x:v>INPUTS</x:v>
      </x:c>
      <x:c r="B5" s="12" t="str">
        <x:v>VALUE</x:v>
      </x:c>
      <x:c r="C5" s="13" t="str">
        <x:v>UNIT</x:v>
      </x:c>
      <x:c r="D5" s="39"/>
      <x:c r="E5" s="39"/>
      <x:c r="F5" s="39"/>
      <x:c r="G5" s="39"/>
    </x:row>
    <x:row r="6">
      <x:c r="A6" s="54" t="str">
        <x:v>Cannon</x:v>
      </x:c>
      <x:c r="B6" s="43" t="str">
        <x:v>3-inch Ordnance</x:v>
      </x:c>
      <x:c r="C6" s="57" t="str">
        <x:v>profile</x:v>
      </x:c>
      <x:c r="D6" s="39"/>
      <x:c r="E6" s="39"/>
      <x:c r="F6" s="39"/>
      <x:c r="G6" s="39"/>
    </x:row>
    <x:row r="7">
      <x:c r="A7" s="55" t="str">
        <x:v>Ammunition</x:v>
      </x:c>
      <x:c r="B7" s="45" t="str">
        <x:v>Shell</x:v>
      </x:c>
      <x:c r="C7" s="58" t="str">
        <x:v>profile</x:v>
      </x:c>
      <x:c r="D7" s="39"/>
      <x:c r="E7" s="39"/>
      <x:c r="F7" s="39"/>
      <x:c r="G7" s="39"/>
    </x:row>
    <x:row r="8">
      <x:c r="A8" s="55" t="str">
        <x:v>Target range</x:v>
      </x:c>
      <x:c r="B8" s="46" t="n">
        <x:v>300</x:v>
      </x:c>
      <x:c r="C8" s="58" t="str">
        <x:v>yd</x:v>
      </x:c>
      <x:c r="D8" s="39"/>
      <x:c r="E8" s="39"/>
      <x:c r="F8" s="39"/>
      <x:c r="G8" s="39"/>
    </x:row>
    <x:row r="9">
      <x:c r="A9" s="56"/>
      <x:c r="B9" s="39"/>
      <x:c r="C9" s="59"/>
      <x:c r="D9" s="39"/>
      <x:c r="E9" s="39"/>
      <x:c r="F9" s="39"/>
      <x:c r="G9" s="39"/>
    </x:row>
    <x:row r="10">
      <x:c r="A10" s="56"/>
      <x:c r="B10" s="39"/>
      <x:c r="C10" s="59"/>
      <x:c r="D10" s="39"/>
      <x:c r="E10" s="39"/>
      <x:c r="F10" s="39"/>
      <x:c r="G10" s="39"/>
    </x:row>
    <x:row r="11" ht="22" customHeight="1">
      <x:c r="A11" s="53" t="str">
        <x:v>RESULTS</x:v>
      </x:c>
      <x:c r="B11" s="12" t="str">
        <x:v>VALUE</x:v>
      </x:c>
      <x:c r="C11" s="13" t="str">
        <x:v>UNIT</x:v>
      </x:c>
      <x:c r="D11" s="39"/>
      <x:c r="E11" s="39"/>
      <x:c r="F11" s="39"/>
      <x:c r="G11" s="39"/>
    </x:row>
    <x:row r="12">
      <x:c r="A12" s="54" t="str">
        <x:v>Ground elevation</x:v>
      </x:c>
      <x:c r="B12" s="47" t="n">
        <x:f>IF(B8="","",IF('Calculation'!B20,('Calculation'!B143+'Calculation'!C143)/2,"No solution"))</x:f>
        <x:v>-0.1808969534681561</x:v>
      </x:c>
      <x:c r="C12" s="57" t="str">
        <x:v>°</x:v>
      </x:c>
      <x:c r="D12" s="39"/>
      <x:c r="E12" s="39"/>
      <x:c r="F12" s="39"/>
      <x:c r="G12" s="39"/>
    </x:row>
    <x:row r="13">
      <x:c r="A13" s="55" t="str">
        <x:v>Airburst elevation (+1 m)</x:v>
      </x:c>
      <x:c r="B13" s="48" t="n">
        <x:f>IF(B8="","",IF('Calculation'!B21,('Calculation'!I143+'Calculation'!J143)/2,"No solution"))</x:f>
        <x:v>0.027986184609107678</x:v>
      </x:c>
      <x:c r="C13" s="58" t="str">
        <x:v>°</x:v>
      </x:c>
      <x:c r="D13" s="39"/>
      <x:c r="E13" s="39"/>
      <x:c r="F13" s="39"/>
      <x:c r="G13" s="39"/>
    </x:row>
    <x:row r="14">
      <x:c r="A14" s="55" t="str">
        <x:v>Ground fuze</x:v>
      </x:c>
      <x:c r="B14" s="48" t="n">
        <x:f>IF(B8="","",IF('Calculation'!B20,'Calculation'!B148,"No solution"))</x:f>
        <x:v>0.7703391864097384</x:v>
      </x:c>
      <x:c r="C14" s="58" t="str">
        <x:v>s</x:v>
      </x:c>
      <x:c r="D14" s="39"/>
      <x:c r="E14" s="39"/>
      <x:c r="F14" s="39"/>
      <x:c r="G14" s="39"/>
    </x:row>
    <x:row r="15">
      <x:c r="A15" s="55" t="str">
        <x:v>Airburst fuze (+1 m)</x:v>
      </x:c>
      <x:c r="B15" s="48" t="n">
        <x:f>IF(B8="","",IF('Calculation'!B21,'Calculation'!H148,"No solution"))</x:f>
        <x:v>0.7703597491235804</x:v>
      </x:c>
      <x:c r="C15" s="58" t="str">
        <x:v>s</x:v>
      </x:c>
      <x:c r="D15" s="39"/>
      <x:c r="E15" s="39"/>
      <x:c r="F15" s="39"/>
      <x:c r="G15" s="39"/>
    </x:row>
    <x:row r="16">
      <x:c r="A16" s="39"/>
      <x:c r="B16" s="39"/>
      <x:c r="C16" s="39"/>
      <x:c r="D16" s="39"/>
      <x:c r="E16" s="39"/>
      <x:c r="F16" s="39"/>
      <x:c r="G16" s="39"/>
    </x:row>
    <x:row r="17">
      <x:c r="A17" s="39"/>
      <x:c r="B17" s="39"/>
      <x:c r="C17" s="39"/>
      <x:c r="D17" s="39"/>
      <x:c r="E17" s="39"/>
      <x:c r="F17" s="39"/>
      <x:c r="G17" s="39"/>
    </x:row>
    <x:row r="18">
      <x:c r="A18" s="49" t="str">
        <x:v>USAGE NOTES</x:v>
      </x:c>
      <x:c r="B18" s="50" t="str"/>
      <x:c r="C18" s="50" t="str"/>
      <x:c r="D18" s="50" t="str"/>
      <x:c r="E18" s="50" t="str"/>
      <x:c r="F18" s="51" t="str"/>
      <x:c r="G18" s="39"/>
    </x:row>
    <x:row r="19">
      <x:c r="A19" s="52" t="str">
        <x:v>Target range is horizontal and measured in yards.</x:v>
      </x:c>
      <x:c r="B19" s="52" t="str"/>
      <x:c r="C19" s="52" t="str"/>
      <x:c r="D19" s="52" t="str"/>
      <x:c r="E19" s="52" t="str"/>
      <x:c r="F19" s="52" t="str"/>
      <x:c r="G19" s="39"/>
    </x:row>
    <x:row r="20">
      <x:c r="A20" s="52" t="str">
        <x:v>Ground assumes the target is level with the cannon; airburst aims 1.0 m above the target.</x:v>
      </x:c>
      <x:c r="B20" s="52" t="str"/>
      <x:c r="C20" s="52" t="str"/>
      <x:c r="D20" s="52" t="str"/>
      <x:c r="E20" s="52" t="str"/>
      <x:c r="F20" s="52" t="str"/>
      <x:c r="G20" s="39"/>
    </x:row>
    <x:row r="21">
      <x:c r="A21" s="52" t="str">
        <x:v>Fuze is the flight time calculated for the corresponding elevation.</x:v>
      </x:c>
      <x:c r="B21" s="52" t="str"/>
      <x:c r="C21" s="52" t="str"/>
      <x:c r="D21" s="52" t="str"/>
      <x:c r="E21" s="52" t="str"/>
      <x:c r="F21" s="52" t="str"/>
      <x:c r="G21" s="39"/>
    </x:row>
    <x:row r="22">
      <x:c r="A22" s="52" t="str">
        <x:v>The model uses linear air resistance, 9.1 m/s² gravity, a 1.2 m launch height, and a 0.48° offset.</x:v>
      </x:c>
      <x:c r="B22" s="52" t="str"/>
      <x:c r="C22" s="52" t="str"/>
      <x:c r="D22" s="52" t="str"/>
      <x:c r="E22" s="52" t="str"/>
      <x:c r="F22" s="52" t="str"/>
      <x:c r="G22" s="39"/>
    </x:row>
    <x:row r="23">
      <x:c r="A23" s="52" t="str">
        <x:v>Edit only the yellow cells; results recalculate in Excel.</x:v>
      </x:c>
      <x:c r="B23" s="52" t="str"/>
      <x:c r="C23" s="52" t="str"/>
      <x:c r="D23" s="52" t="str"/>
      <x:c r="E23" s="52" t="str"/>
      <x:c r="F23" s="52" t="str"/>
      <x:c r="G23" s="39"/>
    </x:row>
    <x:row r="24">
      <x:c r="A24" s="39"/>
      <x:c r="B24" s="39"/>
      <x:c r="C24" s="39"/>
      <x:c r="D24" s="39"/>
      <x:c r="E24" s="39"/>
      <x:c r="F24" s="39"/>
      <x:c r="G24" s="39"/>
    </x:row>
  </x:sheetData>
  <x:dataValidations count="3">
    <x:dataValidation type="list" sqref="B6">
      <x:formula1>"3-inch Ordnance,10-pounder Parrott,12-pounder Napoleon"</x:formula1>
    </x:dataValidation>
    <x:dataValidation type="list" sqref="B7">
      <x:formula1>"Shell,Case"</x:formula1>
    </x:dataValidation>
    <x:dataValidation type="decimal" operator="greaterThan" sqref="B8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6E4F0"/>
  </x:sheetPr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2" ht="24" customHeight="1">
      <x:c r="A2" s="1" t="str">
        <x:v>Model parameters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5" ht="32" customHeight="1">
      <x:c r="A5" s="63" t="str">
        <x:v>Cannon</x:v>
      </x:c>
      <x:c r="B5" s="63" t="str">
        <x:v>Shell speed</x:v>
      </x:c>
      <x:c r="C5" s="63" t="str">
        <x:v>Shell drag</x:v>
      </x:c>
      <x:c r="D5" s="63" t="str">
        <x:v>Case speed</x:v>
      </x:c>
      <x:c r="E5" s="63" t="str">
        <x:v>Case drag</x:v>
      </x:c>
      <x:c r="F5" s="63" t="str">
        <x:v>Launch height</x:v>
      </x:c>
      <x:c r="G5" s="63" t="str">
        <x:v>Forward offset</x:v>
      </x:c>
      <x:c r="H5" s="63" t="str">
        <x:v>Angle offset</x:v>
      </x:c>
      <x:c r="I5" s="63" t="str">
        <x:v>Min. display</x:v>
      </x:c>
      <x:c r="J5" s="63" t="str">
        <x:v>Max. display</x:v>
      </x:c>
    </x:row>
    <x:row r="6">
      <x:c r="A6" s="17" t="str">
        <x:v>3-inch Ordnance</x:v>
      </x:c>
      <x:c r="B6" s="64" t="n">
        <x:v>370</x:v>
      </x:c>
      <x:c r="C6" s="64" t="n">
        <x:v>0.1</x:v>
      </x:c>
      <x:c r="D6" s="64" t="n">
        <x:v>375</x:v>
      </x:c>
      <x:c r="E6" s="64" t="n">
        <x:v>0.1</x:v>
      </x:c>
      <x:c r="F6" s="64" t="n">
        <x:v>1.2</x:v>
      </x:c>
      <x:c r="G6" s="64" t="n">
        <x:v>0</x:v>
      </x:c>
      <x:c r="H6" s="64" t="n">
        <x:v>0.48</x:v>
      </x:c>
      <x:c r="I6" s="64" t="n">
        <x:v>-8</x:v>
      </x:c>
      <x:c r="J6" s="64" t="n">
        <x:v>13.7</x:v>
      </x:c>
    </x:row>
    <x:row r="7">
      <x:c r="A7" s="19" t="str">
        <x:v>10-pounder Parrott</x:v>
      </x:c>
      <x:c r="B7" s="65" t="n">
        <x:v>370</x:v>
      </x:c>
      <x:c r="C7" s="65" t="n">
        <x:v>0.1</x:v>
      </x:c>
      <x:c r="D7" s="65" t="n">
        <x:v>375</x:v>
      </x:c>
      <x:c r="E7" s="65" t="n">
        <x:v>0.1</x:v>
      </x:c>
      <x:c r="F7" s="65" t="n">
        <x:v>1.2</x:v>
      </x:c>
      <x:c r="G7" s="65" t="n">
        <x:v>0</x:v>
      </x:c>
      <x:c r="H7" s="65" t="n">
        <x:v>0.48</x:v>
      </x:c>
      <x:c r="I7" s="65" t="n">
        <x:v>-8</x:v>
      </x:c>
      <x:c r="J7" s="65" t="n">
        <x:v>10.5</x:v>
      </x:c>
    </x:row>
    <x:row r="8">
      <x:c r="A8" s="19" t="str">
        <x:v>12-pounder Napoleon</x:v>
      </x:c>
      <x:c r="B8" s="65" t="n">
        <x:v>439</x:v>
      </x:c>
      <x:c r="C8" s="65" t="n">
        <x:v>0.31</x:v>
      </x:c>
      <x:c r="D8" s="65" t="n">
        <x:v>439</x:v>
      </x:c>
      <x:c r="E8" s="65" t="n">
        <x:v>0.31</x:v>
      </x:c>
      <x:c r="F8" s="65" t="n">
        <x:v>1.2</x:v>
      </x:c>
      <x:c r="G8" s="65" t="n">
        <x:v>0</x:v>
      </x:c>
      <x:c r="H8" s="65" t="n">
        <x:v>0.48</x:v>
      </x:c>
      <x:c r="I8" s="65" t="n">
        <x:v>-8</x:v>
      </x:c>
      <x:c r="J8" s="65" t="n">
        <x:v>13.6</x:v>
      </x:c>
    </x:row>
    <x:row r="11">
      <x:c r="A11" s="29" t="str">
        <x:v>Constant</x:v>
      </x:c>
      <x:c r="B11" s="29" t="str">
        <x:v>Value</x:v>
      </x:c>
    </x:row>
    <x:row r="12">
      <x:c r="A12" s="17" t="str">
        <x:v>Metres to yards</x:v>
      </x:c>
      <x:c r="B12" s="17" t="n">
        <x:v>1.0936132983377078</x:v>
      </x:c>
    </x:row>
    <x:row r="13">
      <x:c r="A13" s="19" t="str">
        <x:v>Gravity (m/s²)</x:v>
      </x:c>
      <x:c r="B13" s="19" t="n">
        <x:v>9.1</x:v>
      </x:c>
    </x:row>
    <x:row r="14">
      <x:c r="A14" s="19" t="str">
        <x:v>Airburst height (m)</x:v>
      </x:c>
      <x:c r="B14" s="19" t="n">
        <x:v>1</x:v>
      </x:c>
    </x:row>
    <x:row r="15">
      <x:c r="A15" s="19" t="str">
        <x:v>Ternary iterations</x:v>
      </x:c>
      <x:c r="B15" s="19" t="n">
        <x:v>50</x:v>
      </x:c>
    </x:row>
    <x:row r="16">
      <x:c r="A16" s="19" t="str">
        <x:v>Bisection iterations</x:v>
      </x:c>
      <x:c r="B16" s="19" t="n">
        <x:v>65</x:v>
      </x:c>
    </x:row>
    <x:row r="19">
      <x:c r="A19" s="29" t="str">
        <x:v>Method</x:v>
      </x:c>
      <x:c r="B19" s="29" t="str"/>
      <x:c r="C19" s="29" t="str"/>
      <x:c r="D19" s="29" t="str"/>
      <x:c r="E19" s="29" t="str"/>
      <x:c r="F19" s="29" t="str"/>
      <x:c r="G19" s="29" t="str"/>
      <x:c r="H19" s="29" t="str"/>
      <x:c r="I19" s="29" t="str"/>
      <x:c r="J19" s="29" t="str"/>
    </x:row>
    <x:row r="20">
      <x:c r="A20" s="33" t="str">
        <x:v>The Calculation sheet first finds the maximum height by ternary search, then solves the lower-angle root by bisection.</x:v>
      </x:c>
      <x:c r="B20" s="33" t="str"/>
      <x:c r="C20" s="33" t="str"/>
      <x:c r="D20" s="33" t="str"/>
      <x:c r="E20" s="33" t="str"/>
      <x:c r="F20" s="33" t="str"/>
      <x:c r="G20" s="33" t="str"/>
      <x:c r="H20" s="33" t="str"/>
      <x:c r="I20" s="33" t="str"/>
      <x:c r="J20" s="33" t="str"/>
    </x:row>
    <x:row r="21">
      <x:c r="A21" s="66" t="str">
        <x:v>Source</x:v>
      </x:c>
      <x:c r="B21" s="66" t="str"/>
      <x:c r="C21" s="66" t="str"/>
      <x:c r="D21" s="66" t="str"/>
      <x:c r="E21" s="66" t="str"/>
      <x:c r="F21" s="66" t="str"/>
      <x:c r="G21" s="66" t="str"/>
      <x:c r="H21" s="66" t="str"/>
      <x:c r="I21" s="66" t="str"/>
      <x:c r="J21" s="66" t="str"/>
    </x:row>
    <x:row r="22">
      <x:c r="A22" s="33" t="str">
        <x:v>worCalc unified physics model: projectile profiles, launch geometry, elevation, and flight time. Project state as of September 18, 2026.</x:v>
      </x:c>
      <x:c r="B22" s="33" t="str"/>
      <x:c r="C22" s="33" t="str"/>
      <x:c r="D22" s="33" t="str"/>
      <x:c r="E22" s="33" t="str"/>
      <x:c r="F22" s="33" t="str"/>
      <x:c r="G22" s="33" t="str"/>
      <x:c r="H22" s="33" t="str"/>
      <x:c r="I22" s="33" t="str"/>
      <x:c r="J22" s="33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>
      <x:c r="A1" s="35"/>
      <x:c r="B1" s="35"/>
      <x:c r="C1" s="35"/>
      <x:c r="D1" s="35"/>
      <x:c r="E1" s="35"/>
      <x:c r="F1" s="35"/>
      <x:c r="G1" s="35"/>
      <x:c r="H1" s="35"/>
      <x:c r="I1" s="35"/>
      <x:c r="J1" s="35"/>
      <x:c r="K1" s="35"/>
      <x:c r="L1" s="35"/>
      <x:c r="M1" s="35"/>
    </x:row>
    <x:row r="2">
      <x:c r="A2" s="1" t="str">
        <x:v>Physics calculation and numerical solution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6"/>
      <x:c r="B3" s="36"/>
      <x:c r="C3" s="36"/>
      <x:c r="D3" s="36"/>
      <x:c r="E3" s="36"/>
      <x:c r="F3" s="36"/>
      <x:c r="G3" s="36"/>
      <x:c r="H3" s="36"/>
      <x:c r="I3" s="36"/>
      <x:c r="J3" s="36"/>
      <x:c r="K3" s="36"/>
      <x:c r="L3" s="36"/>
      <x:c r="M3" s="36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</x:row>
    <x:row r="5">
      <x:c r="A5" s="4" t="str">
        <x:v>Input/constant</x:v>
      </x:c>
      <x:c r="B5" s="4" t="str">
        <x:v>Value</x:v>
      </x:c>
      <x:c r="C5" s="35"/>
      <x:c r="D5" s="35"/>
      <x:c r="E5" s="35"/>
      <x:c r="F5" s="35"/>
      <x:c r="G5" s="35"/>
      <x:c r="H5" s="35"/>
      <x:c r="I5" s="35"/>
      <x:c r="J5" s="35"/>
      <x:c r="K5" s="35"/>
      <x:c r="L5" s="35"/>
      <x:c r="M5" s="35"/>
    </x:row>
    <x:row r="6">
      <x:c r="A6" s="37" t="str">
        <x:v>Cannon</x:v>
      </x:c>
      <x:c r="B6" s="37" t="str">
        <x:f>'Calculator'!B6</x:f>
        <x:v>3-inch Ordnance</x:v>
      </x:c>
      <x:c r="C6" s="37"/>
      <x:c r="D6" s="35"/>
      <x:c r="E6" s="35"/>
      <x:c r="F6" s="35"/>
      <x:c r="G6" s="35"/>
      <x:c r="H6" s="35"/>
      <x:c r="I6" s="35"/>
      <x:c r="J6" s="35"/>
      <x:c r="K6" s="35"/>
      <x:c r="L6" s="35"/>
      <x:c r="M6" s="35"/>
    </x:row>
    <x:row r="7">
      <x:c r="A7" s="38" t="str">
        <x:v>Ammunition</x:v>
      </x:c>
      <x:c r="B7" s="38" t="str">
        <x:f>'Calculator'!B7</x:f>
        <x:v>Shell</x:v>
      </x:c>
      <x:c r="C7" s="38"/>
      <x:c r="D7" s="35"/>
      <x:c r="E7" s="35"/>
      <x:c r="F7" s="35"/>
      <x:c r="G7" s="35"/>
      <x:c r="H7" s="35"/>
      <x:c r="I7" s="35"/>
      <x:c r="J7" s="35"/>
      <x:c r="K7" s="35"/>
      <x:c r="L7" s="35"/>
      <x:c r="M7" s="35"/>
    </x:row>
    <x:row r="8">
      <x:c r="A8" s="38" t="str">
        <x:v>Range (yd)</x:v>
      </x:c>
      <x:c r="B8" s="73" t="n">
        <x:f>'Calculator'!B8</x:f>
        <x:v>300</x:v>
      </x:c>
      <x:c r="C8" s="73"/>
      <x:c r="D8" s="74"/>
      <x:c r="E8" s="74"/>
      <x:c r="F8" s="74"/>
      <x:c r="G8" s="74"/>
      <x:c r="H8" s="74"/>
      <x:c r="I8" s="74"/>
      <x:c r="J8" s="74"/>
      <x:c r="K8" s="74"/>
      <x:c r="L8" s="74"/>
      <x:c r="M8" s="74"/>
    </x:row>
    <x:row r="9">
      <x:c r="A9" s="38" t="str">
        <x:v>Speed (m/s)</x:v>
      </x:c>
      <x:c r="B9" s="73" t="n">
        <x:f>IF(B6="12-pounder Napoleon",439,IF(B7="Case",375,370))</x:f>
        <x:v>370</x:v>
      </x:c>
      <x:c r="C9" s="73"/>
      <x:c r="D9" s="74"/>
      <x:c r="E9" s="74"/>
      <x:c r="F9" s="74"/>
      <x:c r="G9" s="74"/>
      <x:c r="H9" s="74"/>
      <x:c r="I9" s="74"/>
      <x:c r="J9" s="74"/>
      <x:c r="K9" s="74"/>
      <x:c r="L9" s="74"/>
      <x:c r="M9" s="74"/>
    </x:row>
    <x:row r="10">
      <x:c r="A10" s="38" t="str">
        <x:v>Drag (1/s)</x:v>
      </x:c>
      <x:c r="B10" s="73" t="n">
        <x:f>IF(B6="12-pounder Napoleon",0.31,0.1)</x:f>
        <x:v>0.1</x:v>
      </x:c>
      <x:c r="C10" s="73"/>
      <x:c r="D10" s="74"/>
      <x:c r="E10" s="74"/>
      <x:c r="F10" s="74"/>
      <x:c r="G10" s="74"/>
      <x:c r="H10" s="74"/>
      <x:c r="I10" s="74"/>
      <x:c r="J10" s="74"/>
      <x:c r="K10" s="74"/>
      <x:c r="L10" s="74"/>
      <x:c r="M10" s="74"/>
    </x:row>
    <x:row r="11">
      <x:c r="A11" s="38" t="str">
        <x:v>Gravity (m/s²)</x:v>
      </x:c>
      <x:c r="B11" s="73" t="n">
        <x:v>9.1</x:v>
      </x:c>
      <x:c r="C11" s="73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</x:row>
    <x:row r="12">
      <x:c r="A12" s="38" t="str">
        <x:v>Metres to yards</x:v>
      </x:c>
      <x:c r="B12" s="73" t="n">
        <x:v>1.0936132983377078</x:v>
      </x:c>
      <x:c r="C12" s="73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</x:row>
    <x:row r="13">
      <x:c r="A13" s="38" t="str">
        <x:v>Launch height (m)</x:v>
      </x:c>
      <x:c r="B13" s="73" t="n">
        <x:v>1.2</x:v>
      </x:c>
      <x:c r="C13" s="73"/>
      <x:c r="D13" s="74"/>
      <x:c r="E13" s="74"/>
      <x:c r="F13" s="74"/>
      <x:c r="G13" s="74"/>
      <x:c r="H13" s="74"/>
      <x:c r="I13" s="74"/>
      <x:c r="J13" s="74"/>
      <x:c r="K13" s="74"/>
      <x:c r="L13" s="74"/>
      <x:c r="M13" s="74"/>
    </x:row>
    <x:row r="14">
      <x:c r="A14" s="38" t="str">
        <x:v>Forward offset (m)</x:v>
      </x:c>
      <x:c r="B14" s="73" t="n">
        <x:v>0</x:v>
      </x:c>
      <x:c r="C14" s="73"/>
      <x:c r="D14" s="74"/>
      <x:c r="E14" s="74"/>
      <x:c r="F14" s="74"/>
      <x:c r="G14" s="74"/>
      <x:c r="H14" s="74"/>
      <x:c r="I14" s="74"/>
      <x:c r="J14" s="74"/>
      <x:c r="K14" s="74"/>
      <x:c r="L14" s="74"/>
      <x:c r="M14" s="74"/>
    </x:row>
    <x:row r="15">
      <x:c r="A15" s="38" t="str">
        <x:v>Angle offset (°)</x:v>
      </x:c>
      <x:c r="B15" s="73" t="n">
        <x:v>0.48</x:v>
      </x:c>
      <x:c r="C15" s="73"/>
      <x:c r="D15" s="74"/>
      <x:c r="E15" s="74"/>
      <x:c r="F15" s="74"/>
      <x:c r="G15" s="74"/>
      <x:c r="H15" s="74"/>
      <x:c r="I15" s="74"/>
      <x:c r="J15" s="74"/>
      <x:c r="K15" s="74"/>
      <x:c r="L15" s="74"/>
      <x:c r="M15" s="74"/>
    </x:row>
    <x:row r="16">
      <x:c r="A16" s="38" t="str">
        <x:v>Range ratio</x:v>
      </x:c>
      <x:c r="B16" s="73" t="n">
        <x:f>IF(B8&gt;0,B8/B12/(B14+B9/B10),1)</x:f>
        <x:v>0.07414054054054053</x:v>
      </x:c>
      <x:c r="C16" s="73"/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</x:row>
    <x:row r="17">
      <x:c r="A17" s="38" t="str">
        <x:v>Physical limit (°)</x:v>
      </x:c>
      <x:c r="B17" s="73" t="n">
        <x:f>IF(AND(B8&gt;0,B16&lt;1),DEGREES(ACOS(B16))-0.00000001,0)</x:f>
        <x:v>85.74815857474717</x:v>
      </x:c>
      <x:c r="C17" s="73"/>
      <x:c r="D17" s="74"/>
      <x:c r="E17" s="74"/>
      <x:c r="F17" s="74"/>
      <x:c r="G17" s="74"/>
      <x:c r="H17" s="74"/>
      <x:c r="I17" s="74"/>
      <x:c r="J17" s="74"/>
      <x:c r="K17" s="74"/>
      <x:c r="L17" s="74"/>
      <x:c r="M17" s="74"/>
    </x:row>
    <x:row r="18">
      <x:c r="A18" s="38" t="str">
        <x:v>Lower angle (°)</x:v>
      </x:c>
      <x:c r="B18" s="73" t="n">
        <x:f>IF(AND(B8&gt;0,B16&lt;1),MAX(-89-B15+0.00000001,-B17-B15),0)</x:f>
        <x:v>-86.22815857474717</x:v>
      </x:c>
      <x:c r="C18" s="73" t="n">
        <x:f>IF(AND(B8&gt;0,B16&lt;1),MIN(89-B15-0.00000001,B17-B15),0)</x:f>
        <x:v>85.26815857474716</x:v>
      </x:c>
      <x:c r="D18" s="74"/>
      <x:c r="E18" s="74"/>
      <x:c r="F18" s="74"/>
      <x:c r="G18" s="74"/>
      <x:c r="H18" s="74"/>
      <x:c r="I18" s="74"/>
      <x:c r="J18" s="74"/>
      <x:c r="K18" s="74"/>
      <x:c r="L18" s="74"/>
      <x:c r="M18" s="74"/>
    </x:row>
    <x:row r="19">
      <x:c r="A19" s="38" t="str">
        <x:v>Upper angle (°)</x:v>
      </x:c>
      <x:c r="B19" s="73" t="n">
        <x:f>C18</x:f>
        <x:v>85.26815857474716</x:v>
      </x:c>
      <x:c r="C19" s="73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</x:row>
    <x:row r="20">
      <x:c r="A20" s="38" t="str">
        <x:v>Ground available</x:v>
      </x:c>
      <x:c r="B20" s="73" t="b">
        <x:f>AND(B8&gt;0,B16&lt;1,B75&gt;=0,B147&lt;=0)</x:f>
        <x:v>1</x:v>
      </x:c>
      <x:c r="C20" s="73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</x:row>
    <x:row r="21">
      <x:c r="A21" s="38" t="str">
        <x:v>Airburst available</x:v>
      </x:c>
      <x:c r="B21" s="73" t="b">
        <x:f>AND(B8&gt;0,B16&lt;1,B75&gt;=1,H147&lt;=1)</x:f>
        <x:v>1</x:v>
      </x:c>
      <x:c r="C21" s="73"/>
      <x:c r="D21" s="74"/>
      <x:c r="E21" s="74"/>
      <x:c r="F21" s="74"/>
      <x:c r="G21" s="74"/>
      <x:c r="H21" s="74"/>
      <x:c r="I21" s="74"/>
      <x:c r="J21" s="74"/>
      <x:c r="K21" s="74"/>
      <x:c r="L21" s="74"/>
      <x:c r="M21" s="74"/>
    </x:row>
    <x:row r="22">
      <x:c r="A22" s="70" t="str">
        <x:v>Iter.</x:v>
      </x:c>
      <x:c r="B22" s="75" t="str">
        <x:v>Left</x:v>
      </x:c>
      <x:c r="C22" s="75" t="str">
        <x:v>Right</x:v>
      </x:c>
      <x:c r="D22" s="75" t="str">
        <x:v>A</x:v>
      </x:c>
      <x:c r="E22" s="75" t="str">
        <x:v>B</x:v>
      </x:c>
      <x:c r="F22" s="75" t="str">
        <x:v>Height A</x:v>
      </x:c>
      <x:c r="G22" s="75" t="str">
        <x:v>Height B</x:v>
      </x:c>
      <x:c r="H22" s="74"/>
      <x:c r="I22" s="74"/>
      <x:c r="J22" s="74"/>
      <x:c r="K22" s="74"/>
      <x:c r="L22" s="74"/>
      <x:c r="M22" s="74"/>
    </x:row>
    <x:row r="23">
      <x:c r="A23" s="35" t="n">
        <x:v>1</x:v>
      </x:c>
      <x:c r="B23" s="74" t="n">
        <x:f>$B$18</x:f>
        <x:v>-86.22815857474717</x:v>
      </x:c>
      <x:c r="C23" s="74" t="n">
        <x:f>$C$18</x:f>
        <x:v>85.26815857474716</x:v>
      </x:c>
      <x:c r="D23" s="74" t="n">
        <x:f>B23+(C23-B23)/3</x:f>
        <x:v>-29.062719524915728</x:v>
      </x:c>
      <x:c r="E23" s="74" t="n">
        <x:f>C23-(C23-B23)/3</x:f>
        <x:v>28.10271952491572</x:v>
      </x:c>
      <x:c r="F23" s="74" t="n">
        <x:f>$B$13+$B$14*SIN(RADIANS(D23+$B$15))+$B$9*SIN(RADIANS(D23+$B$15))*((1-EXP(-$B$10*(-LN(1-$B$10*($B$8/$B$12-$B$14*COS(RADIANS(D23+$B$15)))/($B$9*COS(RADIANS(D23+$B$15))))/$B$10)))/$B$10)-$B$11*(((-LN(1-$B$10*($B$8/$B$12-$B$14*COS(RADIANS(D23+$B$15)))/($B$9*COS(RADIANS(D23+$B$15))))/$B$10)-((1-EXP(-$B$10*(-LN(1-$B$10*($B$8/$B$12-$B$14*COS(RADIANS(D23+$B$15)))/($B$9*COS(RADIANS(D23+$B$15))))/$B$10)))/$B$10))/$B$10)</x:f>
        <x:v>-151.69522741087926</x:v>
      </x:c>
      <x:c r="G23" s="74" t="n">
        <x:f>$B$13+$B$14*SIN(RADIANS(E23+$B$15))+$B$9*SIN(RADIANS(E23+$B$15))*((1-EXP(-$B$10*(-LN(1-$B$10*($B$8/$B$12-$B$14*COS(RADIANS(E23+$B$15)))/($B$9*COS(RADIANS(E23+$B$15))))/$B$10)))/$B$10)-$B$11*(((-LN(1-$B$10*($B$8/$B$12-$B$14*COS(RADIANS(E23+$B$15)))/($B$9*COS(RADIANS(E23+$B$15))))/$B$10)-((1-EXP(-$B$10*(-LN(1-$B$10*($B$8/$B$12-$B$14*COS(RADIANS(E23+$B$15)))/($B$9*COS(RADIANS(E23+$B$15))))/$B$10)))/$B$10))/$B$10)</x:f>
        <x:v>147.21838783658256</x:v>
      </x:c>
      <x:c r="H23" s="74"/>
      <x:c r="I23" s="74"/>
      <x:c r="J23" s="74"/>
      <x:c r="K23" s="74"/>
      <x:c r="L23" s="74"/>
      <x:c r="M23" s="74"/>
    </x:row>
    <x:row r="24">
      <x:c r="A24" s="35" t="n">
        <x:v>2</x:v>
      </x:c>
      <x:c r="B24" s="74" t="n">
        <x:f>IF(F23&lt;G23,D23,B23)</x:f>
        <x:v>-29.062719524915728</x:v>
      </x:c>
      <x:c r="C24" s="74" t="n">
        <x:f>IF(F23&lt;G23,C23,E23)</x:f>
        <x:v>85.26815857474716</x:v>
      </x:c>
      <x:c r="D24" s="74" t="n">
        <x:f>B24+(C24-B24)/3</x:f>
        <x:v>9.047573174971902</x:v>
      </x:c>
      <x:c r="E24" s="74" t="n">
        <x:f>C24-(C24-B24)/3</x:f>
        <x:v>47.15786587485953</x:v>
      </x:c>
      <x:c r="F24" s="74" t="n">
        <x:f>$B$13+$B$14*SIN(RADIANS(D24+$B$15))+$B$9*SIN(RADIANS(D24+$B$15))*((1-EXP(-$B$10*(-LN(1-$B$10*($B$8/$B$12-$B$14*COS(RADIANS(D24+$B$15)))/($B$9*COS(RADIANS(D24+$B$15))))/$B$10)))/$B$10)-$B$11*(((-LN(1-$B$10*($B$8/$B$12-$B$14*COS(RADIANS(D24+$B$15)))/($B$9*COS(RADIANS(D24+$B$15))))/$B$10)-((1-EXP(-$B$10*(-LN(1-$B$10*($B$8/$B$12-$B$14*COS(RADIANS(D24+$B$15)))/($B$9*COS(RADIANS(D24+$B$15))))/$B$10)))/$B$10))/$B$10)</x:f>
        <x:v>44.53302812831155</x:v>
      </x:c>
      <x:c r="G24" s="74" t="n">
        <x:f>$B$13+$B$14*SIN(RADIANS(E24+$B$15))+$B$9*SIN(RADIANS(E24+$B$15))*((1-EXP(-$B$10*(-LN(1-$B$10*($B$8/$B$12-$B$14*COS(RADIANS(E24+$B$15)))/($B$9*COS(RADIANS(E24+$B$15))))/$B$10)))/$B$10)-$B$11*(((-LN(1-$B$10*($B$8/$B$12-$B$14*COS(RADIANS(E24+$B$15)))/($B$9*COS(RADIANS(E24+$B$15))))/$B$10)-((1-EXP(-$B$10*(-LN(1-$B$10*($B$8/$B$12-$B$14*COS(RADIANS(E24+$B$15)))/($B$9*COS(RADIANS(E24+$B$15))))/$B$10)))/$B$10))/$B$10)</x:f>
        <x:v>296.0684720530255</x:v>
      </x:c>
      <x:c r="H24" s="74"/>
      <x:c r="I24" s="74"/>
      <x:c r="J24" s="74"/>
      <x:c r="K24" s="74"/>
      <x:c r="L24" s="74"/>
      <x:c r="M24" s="74"/>
    </x:row>
    <x:row r="25">
      <x:c r="A25" s="35" t="n">
        <x:v>3</x:v>
      </x:c>
      <x:c r="B25" s="74" t="n">
        <x:f>IF(F24&lt;G24,D24,B24)</x:f>
        <x:v>9.047573174971902</x:v>
      </x:c>
      <x:c r="C25" s="74" t="n">
        <x:f>IF(F24&lt;G24,C24,E24)</x:f>
        <x:v>85.26815857474716</x:v>
      </x:c>
      <x:c r="D25" s="74" t="n">
        <x:f>B25+(C25-B25)/3</x:f>
        <x:v>34.454434974896984</x:v>
      </x:c>
      <x:c r="E25" s="74" t="n">
        <x:f>C25-(C25-B25)/3</x:f>
        <x:v>59.86129677482208</x:v>
      </x:c>
      <x:c r="F25" s="74" t="n">
        <x:f>$B$13+$B$14*SIN(RADIANS(D25+$B$15))+$B$9*SIN(RADIANS(D25+$B$15))*((1-EXP(-$B$10*(-LN(1-$B$10*($B$8/$B$12-$B$14*COS(RADIANS(D25+$B$15)))/($B$9*COS(RADIANS(D25+$B$15))))/$B$10)))/$B$10)-$B$11*(((-LN(1-$B$10*($B$8/$B$12-$B$14*COS(RADIANS(D25+$B$15)))/($B$9*COS(RADIANS(D25+$B$15))))/$B$10)-((1-EXP(-$B$10*(-LN(1-$B$10*($B$8/$B$12-$B$14*COS(RADIANS(D25+$B$15)))/($B$9*COS(RADIANS(D25+$B$15))))/$B$10)))/$B$10))/$B$10)</x:f>
        <x:v>188.8513804881479</x:v>
      </x:c>
      <x:c r="G25" s="74" t="n">
        <x:f>$B$13+$B$14*SIN(RADIANS(E25+$B$15))+$B$9*SIN(RADIANS(E25+$B$15))*((1-EXP(-$B$10*(-LN(1-$B$10*($B$8/$B$12-$B$14*COS(RADIANS(E25+$B$15)))/($B$9*COS(RADIANS(E25+$B$15))))/$B$10)))/$B$10)-$B$11*(((-LN(1-$B$10*($B$8/$B$12-$B$14*COS(RADIANS(E25+$B$15)))/($B$9*COS(RADIANS(E25+$B$15))))/$B$10)-((1-EXP(-$B$10*(-LN(1-$B$10*($B$8/$B$12-$B$14*COS(RADIANS(E25+$B$15)))/($B$9*COS(RADIANS(E25+$B$15))))/$B$10)))/$B$10))/$B$10)</x:f>
        <x:v>471.5757447209439</x:v>
      </x:c>
      <x:c r="H25" s="74"/>
      <x:c r="I25" s="74"/>
      <x:c r="J25" s="74"/>
      <x:c r="K25" s="74"/>
      <x:c r="L25" s="74"/>
      <x:c r="M25" s="74"/>
    </x:row>
    <x:row r="26">
      <x:c r="A26" s="35" t="n">
        <x:v>4</x:v>
      </x:c>
      <x:c r="B26" s="74" t="n">
        <x:f>IF(F25&lt;G25,D25,B25)</x:f>
        <x:v>34.454434974896984</x:v>
      </x:c>
      <x:c r="C26" s="74" t="n">
        <x:f>IF(F25&lt;G25,C25,E25)</x:f>
        <x:v>85.26815857474716</x:v>
      </x:c>
      <x:c r="D26" s="74" t="n">
        <x:f>B26+(C26-B26)/3</x:f>
        <x:v>51.39234284151371</x:v>
      </x:c>
      <x:c r="E26" s="74" t="n">
        <x:f>C26-(C26-B26)/3</x:f>
        <x:v>68.33025070813044</x:v>
      </x:c>
      <x:c r="F26" s="74" t="n">
        <x:f>$B$13+$B$14*SIN(RADIANS(D26+$B$15))+$B$9*SIN(RADIANS(D26+$B$15))*((1-EXP(-$B$10*(-LN(1-$B$10*($B$8/$B$12-$B$14*COS(RADIANS(D26+$B$15)))/($B$9*COS(RADIANS(D26+$B$15))))/$B$10)))/$B$10)-$B$11*(((-LN(1-$B$10*($B$8/$B$12-$B$14*COS(RADIANS(D26+$B$15)))/($B$9*COS(RADIANS(D26+$B$15))))/$B$10)-((1-EXP(-$B$10*(-LN(1-$B$10*($B$8/$B$12-$B$14*COS(RADIANS(D26+$B$15)))/($B$9*COS(RADIANS(D26+$B$15))))/$B$10)))/$B$10))/$B$10)</x:f>
        <x:v>343.56713076773144</x:v>
      </x:c>
      <x:c r="G26" s="74" t="n">
        <x:f>$B$13+$B$14*SIN(RADIANS(E26+$B$15))+$B$9*SIN(RADIANS(E26+$B$15))*((1-EXP(-$B$10*(-LN(1-$B$10*($B$8/$B$12-$B$14*COS(RADIANS(E26+$B$15)))/($B$9*COS(RADIANS(E26+$B$15))))/$B$10)))/$B$10)-$B$11*(((-LN(1-$B$10*($B$8/$B$12-$B$14*COS(RADIANS(E26+$B$15)))/($B$9*COS(RADIANS(E26+$B$15))))/$B$10)-((1-EXP(-$B$10*(-LN(1-$B$10*($B$8/$B$12-$B$14*COS(RADIANS(E26+$B$15)))/($B$9*COS(RADIANS(E26+$B$15))))/$B$10)))/$B$10))/$B$10)</x:f>
        <x:v>686.5715906614882</x:v>
      </x:c>
      <x:c r="H26" s="74"/>
      <x:c r="I26" s="74"/>
      <x:c r="J26" s="74"/>
      <x:c r="K26" s="74"/>
      <x:c r="L26" s="74"/>
      <x:c r="M26" s="74"/>
    </x:row>
    <x:row r="27">
      <x:c r="A27" s="35" t="n">
        <x:v>5</x:v>
      </x:c>
      <x:c r="B27" s="74" t="n">
        <x:f>IF(F26&lt;G26,D26,B26)</x:f>
        <x:v>51.39234284151371</x:v>
      </x:c>
      <x:c r="C27" s="74" t="n">
        <x:f>IF(F26&lt;G26,C26,E26)</x:f>
        <x:v>85.26815857474716</x:v>
      </x:c>
      <x:c r="D27" s="74" t="n">
        <x:f>B27+(C27-B27)/3</x:f>
        <x:v>62.68428141925819</x:v>
      </x:c>
      <x:c r="E27" s="74" t="n">
        <x:f>C27-(C27-B27)/3</x:f>
        <x:v>73.97621999700267</x:v>
      </x:c>
      <x:c r="F27" s="74" t="n">
        <x:f>$B$13+$B$14*SIN(RADIANS(D27+$B$15))+$B$9*SIN(RADIANS(D27+$B$15))*((1-EXP(-$B$10*(-LN(1-$B$10*($B$8/$B$12-$B$14*COS(RADIANS(D27+$B$15)))/($B$9*COS(RADIANS(D27+$B$15))))/$B$10)))/$B$10)-$B$11*(((-LN(1-$B$10*($B$8/$B$12-$B$14*COS(RADIANS(D27+$B$15)))/($B$9*COS(RADIANS(D27+$B$15))))/$B$10)-((1-EXP(-$B$10*(-LN(1-$B$10*($B$8/$B$12-$B$14*COS(RADIANS(D27+$B$15)))/($B$9*COS(RADIANS(D27+$B$15))))/$B$10)))/$B$10))/$B$10)</x:f>
        <x:v>529.6141348789771</x:v>
      </x:c>
      <x:c r="G27" s="74" t="n">
        <x:f>$B$13+$B$14*SIN(RADIANS(E27+$B$15))+$B$9*SIN(RADIANS(E27+$B$15))*((1-EXP(-$B$10*(-LN(1-$B$10*($B$8/$B$12-$B$14*COS(RADIANS(E27+$B$15)))/($B$9*COS(RADIANS(E27+$B$15))))/$B$10)))/$B$10)-$B$11*(((-LN(1-$B$10*($B$8/$B$12-$B$14*COS(RADIANS(E27+$B$15)))/($B$9*COS(RADIANS(E27+$B$15))))/$B$10)-((1-EXP(-$B$10*(-LN(1-$B$10*($B$8/$B$12-$B$14*COS(RADIANS(E27+$B$15)))/($B$9*COS(RADIANS(E27+$B$15))))/$B$10)))/$B$10))/$B$10)</x:f>
        <x:v>944.4690357956296</x:v>
      </x:c>
      <x:c r="H27" s="74"/>
      <x:c r="I27" s="74"/>
      <x:c r="J27" s="74"/>
      <x:c r="K27" s="74"/>
      <x:c r="L27" s="74"/>
      <x:c r="M27" s="74"/>
    </x:row>
    <x:row r="28">
      <x:c r="A28" s="35" t="n">
        <x:v>6</x:v>
      </x:c>
      <x:c r="B28" s="74" t="n">
        <x:f>IF(F27&lt;G27,D27,B27)</x:f>
        <x:v>62.68428141925819</x:v>
      </x:c>
      <x:c r="C28" s="74" t="n">
        <x:f>IF(F27&lt;G27,C27,E27)</x:f>
        <x:v>85.26815857474716</x:v>
      </x:c>
      <x:c r="D28" s="74" t="n">
        <x:f>B28+(C28-B28)/3</x:f>
        <x:v>70.21224047108785</x:v>
      </x:c>
      <x:c r="E28" s="74" t="n">
        <x:f>C28-(C28-B28)/3</x:f>
        <x:v>77.74019952291751</x:v>
      </x:c>
      <x:c r="F28" s="74" t="n">
        <x:f>$B$13+$B$14*SIN(RADIANS(D28+$B$15))+$B$9*SIN(RADIANS(D28+$B$15))*((1-EXP(-$B$10*(-LN(1-$B$10*($B$8/$B$12-$B$14*COS(RADIANS(D28+$B$15)))/($B$9*COS(RADIANS(D28+$B$15))))/$B$10)))/$B$10)-$B$11*(((-LN(1-$B$10*($B$8/$B$12-$B$14*COS(RADIANS(D28+$B$15)))/($B$9*COS(RADIANS(D28+$B$15))))/$B$10)-((1-EXP(-$B$10*(-LN(1-$B$10*($B$8/$B$12-$B$14*COS(RADIANS(D28+$B$15)))/($B$9*COS(RADIANS(D28+$B$15))))/$B$10)))/$B$10))/$B$10)</x:f>
        <x:v>757.1955255102159</x:v>
      </x:c>
      <x:c r="G28" s="74" t="n">
        <x:f>$B$13+$B$14*SIN(RADIANS(E28+$B$15))+$B$9*SIN(RADIANS(E28+$B$15))*((1-EXP(-$B$10*(-LN(1-$B$10*($B$8/$B$12-$B$14*COS(RADIANS(E28+$B$15)))/($B$9*COS(RADIANS(E28+$B$15))))/$B$10)))/$B$10)-$B$11*(((-LN(1-$B$10*($B$8/$B$12-$B$14*COS(RADIANS(E28+$B$15)))/($B$9*COS(RADIANS(E28+$B$15))))/$B$10)-((1-EXP(-$B$10*(-LN(1-$B$10*($B$8/$B$12-$B$14*COS(RADIANS(E28+$B$15)))/($B$9*COS(RADIANS(E28+$B$15))))/$B$10)))/$B$10))/$B$10)</x:f>
        <x:v>1236.4596413245747</x:v>
      </x:c>
      <x:c r="H28" s="74"/>
      <x:c r="I28" s="74"/>
      <x:c r="J28" s="74"/>
      <x:c r="K28" s="74"/>
      <x:c r="L28" s="74"/>
      <x:c r="M28" s="74"/>
    </x:row>
    <x:row r="29">
      <x:c r="A29" s="35" t="n">
        <x:v>7</x:v>
      </x:c>
      <x:c r="B29" s="74" t="n">
        <x:f>IF(F28&lt;G28,D28,B28)</x:f>
        <x:v>70.21224047108785</x:v>
      </x:c>
      <x:c r="C29" s="74" t="n">
        <x:f>IF(F28&lt;G28,C28,E28)</x:f>
        <x:v>85.26815857474716</x:v>
      </x:c>
      <x:c r="D29" s="74" t="n">
        <x:f>B29+(C29-B29)/3</x:f>
        <x:v>75.23087983897429</x:v>
      </x:c>
      <x:c r="E29" s="74" t="n">
        <x:f>C29-(C29-B29)/3</x:f>
        <x:v>80.24951920686073</x:v>
      </x:c>
      <x:c r="F29" s="74" t="n">
        <x:f>$B$13+$B$14*SIN(RADIANS(D29+$B$15))+$B$9*SIN(RADIANS(D29+$B$15))*((1-EXP(-$B$10*(-LN(1-$B$10*($B$8/$B$12-$B$14*COS(RADIANS(D29+$B$15)))/($B$9*COS(RADIANS(D29+$B$15))))/$B$10)))/$B$10)-$B$11*(((-LN(1-$B$10*($B$8/$B$12-$B$14*COS(RADIANS(D29+$B$15)))/($B$9*COS(RADIANS(D29+$B$15))))/$B$10)-((1-EXP(-$B$10*(-LN(1-$B$10*($B$8/$B$12-$B$14*COS(RADIANS(D29+$B$15)))/($B$9*COS(RADIANS(D29+$B$15))))/$B$10)))/$B$10))/$B$10)</x:f>
        <x:v>1026.528597324083</x:v>
      </x:c>
      <x:c r="G29" s="74" t="n">
        <x:f>$B$13+$B$14*SIN(RADIANS(E29+$B$15))+$B$9*SIN(RADIANS(E29+$B$15))*((1-EXP(-$B$10*(-LN(1-$B$10*($B$8/$B$12-$B$14*COS(RADIANS(E29+$B$15)))/($B$9*COS(RADIANS(E29+$B$15))))/$B$10)))/$B$10)-$B$11*(((-LN(1-$B$10*($B$8/$B$12-$B$14*COS(RADIANS(E29+$B$15)))/($B$9*COS(RADIANS(E29+$B$15))))/$B$10)-((1-EXP(-$B$10*(-LN(1-$B$10*($B$8/$B$12-$B$14*COS(RADIANS(E29+$B$15)))/($B$9*COS(RADIANS(E29+$B$15))))/$B$10)))/$B$10))/$B$10)</x:f>
        <x:v>1539.49527132256</x:v>
      </x:c>
      <x:c r="H29" s="74"/>
      <x:c r="I29" s="74"/>
      <x:c r="J29" s="74"/>
      <x:c r="K29" s="74"/>
      <x:c r="L29" s="74"/>
      <x:c r="M29" s="74"/>
    </x:row>
    <x:row r="30">
      <x:c r="A30" s="35" t="n">
        <x:v>8</x:v>
      </x:c>
      <x:c r="B30" s="74" t="n">
        <x:f>IF(F29&lt;G29,D29,B29)</x:f>
        <x:v>75.23087983897429</x:v>
      </x:c>
      <x:c r="C30" s="74" t="n">
        <x:f>IF(F29&lt;G29,C29,E29)</x:f>
        <x:v>85.26815857474716</x:v>
      </x:c>
      <x:c r="D30" s="74" t="n">
        <x:f>B30+(C30-B30)/3</x:f>
        <x:v>78.57663941756525</x:v>
      </x:c>
      <x:c r="E30" s="74" t="n">
        <x:f>C30-(C30-B30)/3</x:f>
        <x:v>81.9223989961562</x:v>
      </x:c>
      <x:c r="F30" s="74" t="n">
        <x:f>$B$13+$B$14*SIN(RADIANS(D30+$B$15))+$B$9*SIN(RADIANS(D30+$B$15))*((1-EXP(-$B$10*(-LN(1-$B$10*($B$8/$B$12-$B$14*COS(RADIANS(D30+$B$15)))/($B$9*COS(RADIANS(D30+$B$15))))/$B$10)))/$B$10)-$B$11*(((-LN(1-$B$10*($B$8/$B$12-$B$14*COS(RADIANS(D30+$B$15)))/($B$9*COS(RADIANS(D30+$B$15))))/$B$10)-((1-EXP(-$B$10*(-LN(1-$B$10*($B$8/$B$12-$B$14*COS(RADIANS(D30+$B$15)))/($B$9*COS(RADIANS(D30+$B$15))))/$B$10)))/$B$10))/$B$10)</x:f>
        <x:v>1324.7131418108697</x:v>
      </x:c>
      <x:c r="G30" s="74" t="n">
        <x:f>$B$13+$B$14*SIN(RADIANS(E30+$B$15))+$B$9*SIN(RADIANS(E30+$B$15))*((1-EXP(-$B$10*(-LN(1-$B$10*($B$8/$B$12-$B$14*COS(RADIANS(E30+$B$15)))/($B$9*COS(RADIANS(E30+$B$15))))/$B$10)))/$B$10)-$B$11*(((-LN(1-$B$10*($B$8/$B$12-$B$14*COS(RADIANS(E30+$B$15)))/($B$9*COS(RADIANS(E30+$B$15))))/$B$10)-((1-EXP(-$B$10*(-LN(1-$B$10*($B$8/$B$12-$B$14*COS(RADIANS(E30+$B$15)))/($B$9*COS(RADIANS(E30+$B$15))))/$B$10)))/$B$10))/$B$10)</x:f>
        <x:v>1819.4182025633545</x:v>
      </x:c>
      <x:c r="H30" s="74"/>
      <x:c r="I30" s="74"/>
      <x:c r="J30" s="74"/>
      <x:c r="K30" s="74"/>
      <x:c r="L30" s="74"/>
      <x:c r="M30" s="74"/>
    </x:row>
    <x:row r="31">
      <x:c r="A31" s="35" t="n">
        <x:v>9</x:v>
      </x:c>
      <x:c r="B31" s="74" t="n">
        <x:f>IF(F30&lt;G30,D30,B30)</x:f>
        <x:v>78.57663941756525</x:v>
      </x:c>
      <x:c r="C31" s="74" t="n">
        <x:f>IF(F30&lt;G30,C30,E30)</x:f>
        <x:v>85.26815857474716</x:v>
      </x:c>
      <x:c r="D31" s="74" t="n">
        <x:f>B31+(C31-B31)/3</x:f>
        <x:v>80.80714580329256</x:v>
      </x:c>
      <x:c r="E31" s="74" t="n">
        <x:f>C31-(C31-B31)/3</x:f>
        <x:v>83.03765218901985</x:v>
      </x:c>
      <x:c r="F31" s="74" t="n">
        <x:f>$B$13+$B$14*SIN(RADIANS(D31+$B$15))+$B$9*SIN(RADIANS(D31+$B$15))*((1-EXP(-$B$10*(-LN(1-$B$10*($B$8/$B$12-$B$14*COS(RADIANS(D31+$B$15)))/($B$9*COS(RADIANS(D31+$B$15))))/$B$10)))/$B$10)-$B$11*(((-LN(1-$B$10*($B$8/$B$12-$B$14*COS(RADIANS(D31+$B$15)))/($B$9*COS(RADIANS(D31+$B$15))))/$B$10)-((1-EXP(-$B$10*(-LN(1-$B$10*($B$8/$B$12-$B$14*COS(RADIANS(D31+$B$15)))/($B$9*COS(RADIANS(D31+$B$15))))/$B$10)))/$B$10))/$B$10)</x:f>
        <x:v>1624.8551523164854</x:v>
      </x:c>
      <x:c r="G31" s="74" t="n">
        <x:f>$B$13+$B$14*SIN(RADIANS(E31+$B$15))+$B$9*SIN(RADIANS(E31+$B$15))*((1-EXP(-$B$10*(-LN(1-$B$10*($B$8/$B$12-$B$14*COS(RADIANS(E31+$B$15)))/($B$9*COS(RADIANS(E31+$B$15))))/$B$10)))/$B$10)-$B$11*(((-LN(1-$B$10*($B$8/$B$12-$B$14*COS(RADIANS(E31+$B$15)))/($B$9*COS(RADIANS(E31+$B$15))))/$B$10)-((1-EXP(-$B$10*(-LN(1-$B$10*($B$8/$B$12-$B$14*COS(RADIANS(E31+$B$15)))/($B$9*COS(RADIANS(E31+$B$15))))/$B$10)))/$B$10))/$B$10)</x:f>
        <x:v>2040.1429620500471</x:v>
      </x:c>
      <x:c r="H31" s="74"/>
      <x:c r="I31" s="74"/>
      <x:c r="J31" s="74"/>
      <x:c r="K31" s="74"/>
      <x:c r="L31" s="74"/>
      <x:c r="M31" s="74"/>
    </x:row>
    <x:row r="32">
      <x:c r="A32" s="35" t="n">
        <x:v>10</x:v>
      </x:c>
      <x:c r="B32" s="74" t="n">
        <x:f>IF(F31&lt;G31,D31,B31)</x:f>
        <x:v>80.80714580329256</x:v>
      </x:c>
      <x:c r="C32" s="74" t="n">
        <x:f>IF(F31&lt;G31,C31,E31)</x:f>
        <x:v>85.26815857474716</x:v>
      </x:c>
      <x:c r="D32" s="74" t="n">
        <x:f>B32+(C32-B32)/3</x:f>
        <x:v>82.2941500604441</x:v>
      </x:c>
      <x:c r="E32" s="74" t="n">
        <x:f>C32-(C32-B32)/3</x:f>
        <x:v>83.78115431759562</x:v>
      </x:c>
      <x:c r="F32" s="74" t="n">
        <x:f>$B$13+$B$14*SIN(RADIANS(D32+$B$15))+$B$9*SIN(RADIANS(D32+$B$15))*((1-EXP(-$B$10*(-LN(1-$B$10*($B$8/$B$12-$B$14*COS(RADIANS(D32+$B$15)))/($B$9*COS(RADIANS(D32+$B$15))))/$B$10)))/$B$10)-$B$11*(((-LN(1-$B$10*($B$8/$B$12-$B$14*COS(RADIANS(D32+$B$15)))/($B$9*COS(RADIANS(D32+$B$15))))/$B$10)-((1-EXP(-$B$10*(-LN(1-$B$10*($B$8/$B$12-$B$14*COS(RADIANS(D32+$B$15)))/($B$9*COS(RADIANS(D32+$B$15))))/$B$10)))/$B$10))/$B$10)</x:f>
        <x:v>1891.0907959014646</x:v>
      </x:c>
      <x:c r="G32" s="74" t="n">
        <x:f>$B$13+$B$14*SIN(RADIANS(E32+$B$15))+$B$9*SIN(RADIANS(E32+$B$15))*((1-EXP(-$B$10*(-LN(1-$B$10*($B$8/$B$12-$B$14*COS(RADIANS(E32+$B$15)))/($B$9*COS(RADIANS(E32+$B$15))))/$B$10)))/$B$10)-$B$11*(((-LN(1-$B$10*($B$8/$B$12-$B$14*COS(RADIANS(E32+$B$15)))/($B$9*COS(RADIANS(E32+$B$15))))/$B$10)-((1-EXP(-$B$10*(-LN(1-$B$10*($B$8/$B$12-$B$14*COS(RADIANS(E32+$B$15)))/($B$9*COS(RADIANS(E32+$B$15))))/$B$10)))/$B$10))/$B$10)</x:f>
        <x:v>2174.6055676784918</x:v>
      </x:c>
      <x:c r="H32" s="74"/>
      <x:c r="I32" s="74"/>
      <x:c r="J32" s="74"/>
      <x:c r="K32" s="74"/>
      <x:c r="L32" s="74"/>
      <x:c r="M32" s="74"/>
    </x:row>
    <x:row r="33">
      <x:c r="A33" s="35" t="n">
        <x:v>11</x:v>
      </x:c>
      <x:c r="B33" s="74" t="n">
        <x:f>IF(F32&lt;G32,D32,B32)</x:f>
        <x:v>82.2941500604441</x:v>
      </x:c>
      <x:c r="C33" s="74" t="n">
        <x:f>IF(F32&lt;G32,C32,E32)</x:f>
        <x:v>85.26815857474716</x:v>
      </x:c>
      <x:c r="D33" s="74" t="n">
        <x:f>B33+(C33-B33)/3</x:f>
        <x:v>83.28548623187845</x:v>
      </x:c>
      <x:c r="E33" s="74" t="n">
        <x:f>C33-(C33-B33)/3</x:f>
        <x:v>84.2768224033128</x:v>
      </x:c>
      <x:c r="F33" s="74" t="n">
        <x:f>$B$13+$B$14*SIN(RADIANS(D33+$B$15))+$B$9*SIN(RADIANS(D33+$B$15))*((1-EXP(-$B$10*(-LN(1-$B$10*($B$8/$B$12-$B$14*COS(RADIANS(D33+$B$15)))/($B$9*COS(RADIANS(D33+$B$15))))/$B$10)))/$B$10)-$B$11*(((-LN(1-$B$10*($B$8/$B$12-$B$14*COS(RADIANS(D33+$B$15)))/($B$9*COS(RADIANS(D33+$B$15))))/$B$10)-((1-EXP(-$B$10*(-LN(1-$B$10*($B$8/$B$12-$B$14*COS(RADIANS(D33+$B$15)))/($B$9*COS(RADIANS(D33+$B$15))))/$B$10)))/$B$10))/$B$10)</x:f>
        <x:v>2088.9205003342977</x:v>
      </x:c>
      <x:c r="G33" s="74" t="n">
        <x:f>$B$13+$B$14*SIN(RADIANS(E33+$B$15))+$B$9*SIN(RADIANS(E33+$B$15))*((1-EXP(-$B$10*(-LN(1-$B$10*($B$8/$B$12-$B$14*COS(RADIANS(E33+$B$15)))/($B$9*COS(RADIANS(E33+$B$15))))/$B$10)))/$B$10)-$B$11*(((-LN(1-$B$10*($B$8/$B$12-$B$14*COS(RADIANS(E33+$B$15)))/($B$9*COS(RADIANS(E33+$B$15))))/$B$10)-((1-EXP(-$B$10*(-LN(1-$B$10*($B$8/$B$12-$B$14*COS(RADIANS(E33+$B$15)))/($B$9*COS(RADIANS(E33+$B$15))))/$B$10)))/$B$10))/$B$10)</x:f>
        <x:v>2211.216074952779</x:v>
      </x:c>
      <x:c r="H33" s="74"/>
      <x:c r="I33" s="74"/>
      <x:c r="J33" s="74"/>
      <x:c r="K33" s="74"/>
      <x:c r="L33" s="74"/>
      <x:c r="M33" s="74"/>
    </x:row>
    <x:row r="34">
      <x:c r="A34" s="35" t="n">
        <x:v>12</x:v>
      </x:c>
      <x:c r="B34" s="74" t="n">
        <x:f>IF(F33&lt;G33,D33,B33)</x:f>
        <x:v>83.28548623187845</x:v>
      </x:c>
      <x:c r="C34" s="74" t="n">
        <x:f>IF(F33&lt;G33,C33,E33)</x:f>
        <x:v>85.26815857474716</x:v>
      </x:c>
      <x:c r="D34" s="74" t="n">
        <x:f>B34+(C34-B34)/3</x:f>
        <x:v>83.94637701283469</x:v>
      </x:c>
      <x:c r="E34" s="74" t="n">
        <x:f>C34-(C34-B34)/3</x:f>
        <x:v>84.60726779379092</x:v>
      </x:c>
      <x:c r="F34" s="74" t="n">
        <x:f>$B$13+$B$14*SIN(RADIANS(D34+$B$15))+$B$9*SIN(RADIANS(D34+$B$15))*((1-EXP(-$B$10*(-LN(1-$B$10*($B$8/$B$12-$B$14*COS(RADIANS(D34+$B$15)))/($B$9*COS(RADIANS(D34+$B$15))))/$B$10)))/$B$10)-$B$11*(((-LN(1-$B$10*($B$8/$B$12-$B$14*COS(RADIANS(D34+$B$15)))/($B$9*COS(RADIANS(D34+$B$15))))/$B$10)-((1-EXP(-$B$10*(-LN(1-$B$10*($B$8/$B$12-$B$14*COS(RADIANS(D34+$B$15)))/($B$9*COS(RADIANS(D34+$B$15))))/$B$10)))/$B$10))/$B$10)</x:f>
        <x:v>2195.4258871877673</x:v>
      </x:c>
      <x:c r="G34" s="74" t="n">
        <x:f>$B$13+$B$14*SIN(RADIANS(E34+$B$15))+$B$9*SIN(RADIANS(E34+$B$15))*((1-EXP(-$B$10*(-LN(1-$B$10*($B$8/$B$12-$B$14*COS(RADIANS(E34+$B$15)))/($B$9*COS(RADIANS(E34+$B$15))))/$B$10)))/$B$10)-$B$11*(((-LN(1-$B$10*($B$8/$B$12-$B$14*COS(RADIANS(E34+$B$15)))/($B$9*COS(RADIANS(E34+$B$15))))/$B$10)-((1-EXP(-$B$10*(-LN(1-$B$10*($B$8/$B$12-$B$14*COS(RADIANS(E34+$B$15)))/($B$9*COS(RADIANS(E34+$B$15))))/$B$10)))/$B$10))/$B$10)</x:f>
        <x:v>2153.234135905262</x:v>
      </x:c>
      <x:c r="H34" s="74"/>
      <x:c r="I34" s="74"/>
      <x:c r="J34" s="74"/>
      <x:c r="K34" s="74"/>
      <x:c r="L34" s="74"/>
      <x:c r="M34" s="74"/>
    </x:row>
    <x:row r="35">
      <x:c r="A35" s="35" t="n">
        <x:v>13</x:v>
      </x:c>
      <x:c r="B35" s="74" t="n">
        <x:f>IF(F34&lt;G34,D34,B34)</x:f>
        <x:v>83.28548623187845</x:v>
      </x:c>
      <x:c r="C35" s="74" t="n">
        <x:f>IF(F34&lt;G34,C34,E34)</x:f>
        <x:v>84.60726779379092</x:v>
      </x:c>
      <x:c r="D35" s="74" t="n">
        <x:f>B35+(C35-B35)/3</x:f>
        <x:v>83.72608008584928</x:v>
      </x:c>
      <x:c r="E35" s="74" t="n">
        <x:f>C35-(C35-B35)/3</x:f>
        <x:v>84.1666739398201</x:v>
      </x:c>
      <x:c r="F35" s="74" t="n">
        <x:f>$B$13+$B$14*SIN(RADIANS(D35+$B$15))+$B$9*SIN(RADIANS(D35+$B$15))*((1-EXP(-$B$10*(-LN(1-$B$10*($B$8/$B$12-$B$14*COS(RADIANS(D35+$B$15)))/($B$9*COS(RADIANS(D35+$B$15))))/$B$10)))/$B$10)-$B$11*(((-LN(1-$B$10*($B$8/$B$12-$B$14*COS(RADIANS(D35+$B$15)))/($B$9*COS(RADIANS(D35+$B$15))))/$B$10)-((1-EXP(-$B$10*(-LN(1-$B$10*($B$8/$B$12-$B$14*COS(RADIANS(D35+$B$15)))/($B$9*COS(RADIANS(D35+$B$15))))/$B$10)))/$B$10))/$B$10)</x:f>
        <x:v>2166.484346652514</x:v>
      </x:c>
      <x:c r="G35" s="74" t="n">
        <x:f>$B$13+$B$14*SIN(RADIANS(E35+$B$15))+$B$9*SIN(RADIANS(E35+$B$15))*((1-EXP(-$B$10*(-LN(1-$B$10*($B$8/$B$12-$B$14*COS(RADIANS(E35+$B$15)))/($B$9*COS(RADIANS(E35+$B$15))))/$B$10)))/$B$10)-$B$11*(((-LN(1-$B$10*($B$8/$B$12-$B$14*COS(RADIANS(E35+$B$15)))/($B$9*COS(RADIANS(E35+$B$15))))/$B$10)-((1-EXP(-$B$10*(-LN(1-$B$10*($B$8/$B$12-$B$14*COS(RADIANS(E35+$B$15)))/($B$9*COS(RADIANS(E35+$B$15))))/$B$10)))/$B$10))/$B$10)</x:f>
        <x:v>2211.149530913972</x:v>
      </x:c>
      <x:c r="H35" s="74"/>
      <x:c r="I35" s="74"/>
      <x:c r="J35" s="74"/>
      <x:c r="K35" s="74"/>
      <x:c r="L35" s="74"/>
      <x:c r="M35" s="74"/>
    </x:row>
    <x:row r="36">
      <x:c r="A36" s="35" t="n">
        <x:v>14</x:v>
      </x:c>
      <x:c r="B36" s="74" t="n">
        <x:f>IF(F35&lt;G35,D35,B35)</x:f>
        <x:v>83.72608008584928</x:v>
      </x:c>
      <x:c r="C36" s="74" t="n">
        <x:f>IF(F35&lt;G35,C35,E35)</x:f>
        <x:v>84.60726779379092</x:v>
      </x:c>
      <x:c r="D36" s="74" t="n">
        <x:f>B36+(C36-B36)/3</x:f>
        <x:v>84.01980932182983</x:v>
      </x:c>
      <x:c r="E36" s="74" t="n">
        <x:f>C36-(C36-B36)/3</x:f>
        <x:v>84.31353855781038</x:v>
      </x:c>
      <x:c r="F36" s="74" t="n">
        <x:f>$B$13+$B$14*SIN(RADIANS(D36+$B$15))+$B$9*SIN(RADIANS(D36+$B$15))*((1-EXP(-$B$10*(-LN(1-$B$10*($B$8/$B$12-$B$14*COS(RADIANS(D36+$B$15)))/($B$9*COS(RADIANS(D36+$B$15))))/$B$10)))/$B$10)-$B$11*(((-LN(1-$B$10*($B$8/$B$12-$B$14*COS(RADIANS(D36+$B$15)))/($B$9*COS(RADIANS(D36+$B$15))))/$B$10)-((1-EXP(-$B$10*(-LN(1-$B$10*($B$8/$B$12-$B$14*COS(RADIANS(D36+$B$15)))/($B$9*COS(RADIANS(D36+$B$15))))/$B$10)))/$B$10))/$B$10)</x:f>
        <x:v>2202.506566087107</x:v>
      </x:c>
      <x:c r="G36" s="74" t="n">
        <x:f>$B$13+$B$14*SIN(RADIANS(E36+$B$15))+$B$9*SIN(RADIANS(E36+$B$15))*((1-EXP(-$B$10*(-LN(1-$B$10*($B$8/$B$12-$B$14*COS(RADIANS(E36+$B$15)))/($B$9*COS(RADIANS(E36+$B$15))))/$B$10)))/$B$10)-$B$11*(((-LN(1-$B$10*($B$8/$B$12-$B$14*COS(RADIANS(E36+$B$15)))/($B$9*COS(RADIANS(E36+$B$15))))/$B$10)-((1-EXP(-$B$10*(-LN(1-$B$10*($B$8/$B$12-$B$14*COS(RADIANS(E36+$B$15)))/($B$9*COS(RADIANS(E36+$B$15))))/$B$10)))/$B$10))/$B$10)</x:f>
        <x:v>2209.6649319920966</x:v>
      </x:c>
      <x:c r="H36" s="74"/>
      <x:c r="I36" s="74"/>
      <x:c r="J36" s="74"/>
      <x:c r="K36" s="74"/>
      <x:c r="L36" s="74"/>
      <x:c r="M36" s="74"/>
    </x:row>
    <x:row r="37">
      <x:c r="A37" s="35" t="n">
        <x:v>15</x:v>
      </x:c>
      <x:c r="B37" s="74" t="n">
        <x:f>IF(F36&lt;G36,D36,B36)</x:f>
        <x:v>84.01980932182983</x:v>
      </x:c>
      <x:c r="C37" s="74" t="n">
        <x:f>IF(F36&lt;G36,C36,E36)</x:f>
        <x:v>84.60726779379092</x:v>
      </x:c>
      <x:c r="D37" s="74" t="n">
        <x:f>B37+(C37-B37)/3</x:f>
        <x:v>84.21562881248353</x:v>
      </x:c>
      <x:c r="E37" s="74" t="n">
        <x:f>C37-(C37-B37)/3</x:f>
        <x:v>84.41144830313722</x:v>
      </x:c>
      <x:c r="F37" s="74" t="n">
        <x:f>$B$13+$B$14*SIN(RADIANS(D37+$B$15))+$B$9*SIN(RADIANS(D37+$B$15))*((1-EXP(-$B$10*(-LN(1-$B$10*($B$8/$B$12-$B$14*COS(RADIANS(D37+$B$15)))/($B$9*COS(RADIANS(D37+$B$15))))/$B$10)))/$B$10)-$B$11*(((-LN(1-$B$10*($B$8/$B$12-$B$14*COS(RADIANS(D37+$B$15)))/($B$9*COS(RADIANS(D37+$B$15))))/$B$10)-((1-EXP(-$B$10*(-LN(1-$B$10*($B$8/$B$12-$B$14*COS(RADIANS(D37+$B$15)))/($B$9*COS(RADIANS(D37+$B$15))))/$B$10)))/$B$10))/$B$10)</x:f>
        <x:v>2211.978270954419</x:v>
      </x:c>
      <x:c r="G37" s="74" t="n">
        <x:f>$B$13+$B$14*SIN(RADIANS(E37+$B$15))+$B$9*SIN(RADIANS(E37+$B$15))*((1-EXP(-$B$10*(-LN(1-$B$10*($B$8/$B$12-$B$14*COS(RADIANS(E37+$B$15)))/($B$9*COS(RADIANS(E37+$B$15))))/$B$10)))/$B$10)-$B$11*(((-LN(1-$B$10*($B$8/$B$12-$B$14*COS(RADIANS(E37+$B$15)))/($B$9*COS(RADIANS(E37+$B$15))))/$B$10)-((1-EXP(-$B$10*(-LN(1-$B$10*($B$8/$B$12-$B$14*COS(RADIANS(E37+$B$15)))/($B$9*COS(RADIANS(E37+$B$15))))/$B$10)))/$B$10))/$B$10)</x:f>
        <x:v>2200.7113577400114</x:v>
      </x:c>
      <x:c r="H37" s="74"/>
      <x:c r="I37" s="74"/>
      <x:c r="J37" s="74"/>
      <x:c r="K37" s="74"/>
      <x:c r="L37" s="74"/>
      <x:c r="M37" s="74"/>
    </x:row>
    <x:row r="38">
      <x:c r="A38" s="35" t="n">
        <x:v>16</x:v>
      </x:c>
      <x:c r="B38" s="74" t="n">
        <x:f>IF(F37&lt;G37,D37,B37)</x:f>
        <x:v>84.01980932182983</x:v>
      </x:c>
      <x:c r="C38" s="74" t="n">
        <x:f>IF(F37&lt;G37,C37,E37)</x:f>
        <x:v>84.41144830313722</x:v>
      </x:c>
      <x:c r="D38" s="74" t="n">
        <x:f>B38+(C38-B38)/3</x:f>
        <x:v>84.15035564893229</x:v>
      </x:c>
      <x:c r="E38" s="74" t="n">
        <x:f>C38-(C38-B38)/3</x:f>
        <x:v>84.28090197603476</x:v>
      </x:c>
      <x:c r="F38" s="74" t="n">
        <x:f>$B$13+$B$14*SIN(RADIANS(D38+$B$15))+$B$9*SIN(RADIANS(D38+$B$15))*((1-EXP(-$B$10*(-LN(1-$B$10*($B$8/$B$12-$B$14*COS(RADIANS(D38+$B$15)))/($B$9*COS(RADIANS(D38+$B$15))))/$B$10)))/$B$10)-$B$11*(((-LN(1-$B$10*($B$8/$B$12-$B$14*COS(RADIANS(D38+$B$15)))/($B$9*COS(RADIANS(D38+$B$15))))/$B$10)-((1-EXP(-$B$10*(-LN(1-$B$10*($B$8/$B$12-$B$14*COS(RADIANS(D38+$B$15)))/($B$9*COS(RADIANS(D38+$B$15))))/$B$10)))/$B$10))/$B$10)</x:f>
        <x:v>2210.619404546048</x:v>
      </x:c>
      <x:c r="G38" s="74" t="n">
        <x:f>$B$13+$B$14*SIN(RADIANS(E38+$B$15))+$B$9*SIN(RADIANS(E38+$B$15))*((1-EXP(-$B$10*(-LN(1-$B$10*($B$8/$B$12-$B$14*COS(RADIANS(E38+$B$15)))/($B$9*COS(RADIANS(E38+$B$15))))/$B$10)))/$B$10)-$B$11*(((-LN(1-$B$10*($B$8/$B$12-$B$14*COS(RADIANS(E38+$B$15)))/($B$9*COS(RADIANS(E38+$B$15))))/$B$10)-((1-EXP(-$B$10*(-LN(1-$B$10*($B$8/$B$12-$B$14*COS(RADIANS(E38+$B$15)))/($B$9*COS(RADIANS(E38+$B$15))))/$B$10)))/$B$10))/$B$10)</x:f>
        <x:v>2211.0866637651784</x:v>
      </x:c>
      <x:c r="H38" s="74"/>
      <x:c r="I38" s="74"/>
      <x:c r="J38" s="74"/>
      <x:c r="K38" s="74"/>
      <x:c r="L38" s="74"/>
      <x:c r="M38" s="74"/>
    </x:row>
    <x:row r="39">
      <x:c r="A39" s="35" t="n">
        <x:v>17</x:v>
      </x:c>
      <x:c r="B39" s="74" t="n">
        <x:f>IF(F38&lt;G38,D38,B38)</x:f>
        <x:v>84.15035564893229</x:v>
      </x:c>
      <x:c r="C39" s="74" t="n">
        <x:f>IF(F38&lt;G38,C38,E38)</x:f>
        <x:v>84.41144830313722</x:v>
      </x:c>
      <x:c r="D39" s="74" t="n">
        <x:f>B39+(C39-B39)/3</x:f>
        <x:v>84.23738653366726</x:v>
      </x:c>
      <x:c r="E39" s="74" t="n">
        <x:f>C39-(C39-B39)/3</x:f>
        <x:v>84.32441741840225</x:v>
      </x:c>
      <x:c r="F39" s="74" t="n">
        <x:f>$B$13+$B$14*SIN(RADIANS(D39+$B$15))+$B$9*SIN(RADIANS(D39+$B$15))*((1-EXP(-$B$10*(-LN(1-$B$10*($B$8/$B$12-$B$14*COS(RADIANS(D39+$B$15)))/($B$9*COS(RADIANS(D39+$B$15))))/$B$10)))/$B$10)-$B$11*(((-LN(1-$B$10*($B$8/$B$12-$B$14*COS(RADIANS(D39+$B$15)))/($B$9*COS(RADIANS(D39+$B$15))))/$B$10)-((1-EXP(-$B$10*(-LN(1-$B$10*($B$8/$B$12-$B$14*COS(RADIANS(D39+$B$15)))/($B$9*COS(RADIANS(D39+$B$15))))/$B$10)))/$B$10))/$B$10)</x:f>
        <x:v>2211.950730715067</x:v>
      </x:c>
      <x:c r="G39" s="74" t="n">
        <x:f>$B$13+$B$14*SIN(RADIANS(E39+$B$15))+$B$9*SIN(RADIANS(E39+$B$15))*((1-EXP(-$B$10*(-LN(1-$B$10*($B$8/$B$12-$B$14*COS(RADIANS(E39+$B$15)))/($B$9*COS(RADIANS(E39+$B$15))))/$B$10)))/$B$10)-$B$11*(((-LN(1-$B$10*($B$8/$B$12-$B$14*COS(RADIANS(E39+$B$15)))/($B$9*COS(RADIANS(E39+$B$15))))/$B$10)-((1-EXP(-$B$10*(-LN(1-$B$10*($B$8/$B$12-$B$14*COS(RADIANS(E39+$B$15)))/($B$9*COS(RADIANS(E39+$B$15))))/$B$10)))/$B$10))/$B$10)</x:f>
        <x:v>2209.0314845084313</x:v>
      </x:c>
      <x:c r="H39" s="74"/>
      <x:c r="I39" s="74"/>
      <x:c r="J39" s="74"/>
      <x:c r="K39" s="74"/>
      <x:c r="L39" s="74"/>
      <x:c r="M39" s="74"/>
    </x:row>
    <x:row r="40">
      <x:c r="A40" s="35" t="n">
        <x:v>18</x:v>
      </x:c>
      <x:c r="B40" s="74" t="n">
        <x:f>IF(F39&lt;G39,D39,B39)</x:f>
        <x:v>84.15035564893229</x:v>
      </x:c>
      <x:c r="C40" s="74" t="n">
        <x:f>IF(F39&lt;G39,C39,E39)</x:f>
        <x:v>84.32441741840225</x:v>
      </x:c>
      <x:c r="D40" s="74" t="n">
        <x:f>B40+(C40-B40)/3</x:f>
        <x:v>84.2083762387556</x:v>
      </x:c>
      <x:c r="E40" s="74" t="n">
        <x:f>C40-(C40-B40)/3</x:f>
        <x:v>84.26639682857893</x:v>
      </x:c>
      <x:c r="F40" s="74" t="n">
        <x:f>$B$13+$B$14*SIN(RADIANS(D40+$B$15))+$B$9*SIN(RADIANS(D40+$B$15))*((1-EXP(-$B$10*(-LN(1-$B$10*($B$8/$B$12-$B$14*COS(RADIANS(D40+$B$15)))/($B$9*COS(RADIANS(D40+$B$15))))/$B$10)))/$B$10)-$B$11*(((-LN(1-$B$10*($B$8/$B$12-$B$14*COS(RADIANS(D40+$B$15)))/($B$9*COS(RADIANS(D40+$B$15))))/$B$10)-((1-EXP(-$B$10*(-LN(1-$B$10*($B$8/$B$12-$B$14*COS(RADIANS(D40+$B$15)))/($B$9*COS(RADIANS(D40+$B$15))))/$B$10)))/$B$10))/$B$10)</x:f>
        <x:v>2211.931319503842</x:v>
      </x:c>
      <x:c r="G40" s="74" t="n">
        <x:f>$B$13+$B$14*SIN(RADIANS(E40+$B$15))+$B$9*SIN(RADIANS(E40+$B$15))*((1-EXP(-$B$10*(-LN(1-$B$10*($B$8/$B$12-$B$14*COS(RADIANS(E40+$B$15)))/($B$9*COS(RADIANS(E40+$B$15))))/$B$10)))/$B$10)-$B$11*(((-LN(1-$B$10*($B$8/$B$12-$B$14*COS(RADIANS(E40+$B$15)))/($B$9*COS(RADIANS(E40+$B$15))))/$B$10)-((1-EXP(-$B$10*(-LN(1-$B$10*($B$8/$B$12-$B$14*COS(RADIANS(E40+$B$15)))/($B$9*COS(RADIANS(E40+$B$15))))/$B$10)))/$B$10))/$B$10)</x:f>
        <x:v>2211.5000947653043</x:v>
      </x:c>
      <x:c r="H40" s="74"/>
      <x:c r="I40" s="74"/>
      <x:c r="J40" s="74"/>
      <x:c r="K40" s="74"/>
      <x:c r="L40" s="74"/>
      <x:c r="M40" s="74"/>
    </x:row>
    <x:row r="41">
      <x:c r="A41" s="35" t="n">
        <x:v>19</x:v>
      </x:c>
      <x:c r="B41" s="74" t="n">
        <x:f>IF(F40&lt;G40,D40,B40)</x:f>
        <x:v>84.15035564893229</x:v>
      </x:c>
      <x:c r="C41" s="74" t="n">
        <x:f>IF(F40&lt;G40,C40,E40)</x:f>
        <x:v>84.26639682857893</x:v>
      </x:c>
      <x:c r="D41" s="74" t="n">
        <x:f>B41+(C41-B41)/3</x:f>
        <x:v>84.18903604214783</x:v>
      </x:c>
      <x:c r="E41" s="74" t="n">
        <x:f>C41-(C41-B41)/3</x:f>
        <x:v>84.22771643536339</x:v>
      </x:c>
      <x:c r="F41" s="74" t="n">
        <x:f>$B$13+$B$14*SIN(RADIANS(D41+$B$15))+$B$9*SIN(RADIANS(D41+$B$15))*((1-EXP(-$B$10*(-LN(1-$B$10*($B$8/$B$12-$B$14*COS(RADIANS(D41+$B$15)))/($B$9*COS(RADIANS(D41+$B$15))))/$B$10)))/$B$10)-$B$11*(((-LN(1-$B$10*($B$8/$B$12-$B$14*COS(RADIANS(D41+$B$15)))/($B$9*COS(RADIANS(D41+$B$15))))/$B$10)-((1-EXP(-$B$10*(-LN(1-$B$10*($B$8/$B$12-$B$14*COS(RADIANS(D41+$B$15)))/($B$9*COS(RADIANS(D41+$B$15))))/$B$10)))/$B$10))/$B$10)</x:f>
        <x:v>2211.6746567705095</x:v>
      </x:c>
      <x:c r="G41" s="74" t="n">
        <x:f>$B$13+$B$14*SIN(RADIANS(E41+$B$15))+$B$9*SIN(RADIANS(E41+$B$15))*((1-EXP(-$B$10*(-LN(1-$B$10*($B$8/$B$12-$B$14*COS(RADIANS(E41+$B$15)))/($B$9*COS(RADIANS(E41+$B$15))))/$B$10)))/$B$10)-$B$11*(((-LN(1-$B$10*($B$8/$B$12-$B$14*COS(RADIANS(E41+$B$15)))/($B$9*COS(RADIANS(E41+$B$15))))/$B$10)-((1-EXP(-$B$10*(-LN(1-$B$10*($B$8/$B$12-$B$14*COS(RADIANS(E41+$B$15)))/($B$9*COS(RADIANS(E41+$B$15))))/$B$10)))/$B$10))/$B$10)</x:f>
        <x:v>2211.994693655674</x:v>
      </x:c>
      <x:c r="H41" s="74"/>
      <x:c r="I41" s="74"/>
      <x:c r="J41" s="74"/>
      <x:c r="K41" s="74"/>
      <x:c r="L41" s="74"/>
      <x:c r="M41" s="74"/>
    </x:row>
    <x:row r="42">
      <x:c r="A42" s="35" t="n">
        <x:v>20</x:v>
      </x:c>
      <x:c r="B42" s="74" t="n">
        <x:f>IF(F41&lt;G41,D41,B41)</x:f>
        <x:v>84.18903604214783</x:v>
      </x:c>
      <x:c r="C42" s="74" t="n">
        <x:f>IF(F41&lt;G41,C41,E41)</x:f>
        <x:v>84.26639682857893</x:v>
      </x:c>
      <x:c r="D42" s="74" t="n">
        <x:f>B42+(C42-B42)/3</x:f>
        <x:v>84.2148229709582</x:v>
      </x:c>
      <x:c r="E42" s="74" t="n">
        <x:f>C42-(C42-B42)/3</x:f>
        <x:v>84.24060989976857</x:v>
      </x:c>
      <x:c r="F42" s="74" t="n">
        <x:f>$B$13+$B$14*SIN(RADIANS(D42+$B$15))+$B$9*SIN(RADIANS(D42+$B$15))*((1-EXP(-$B$10*(-LN(1-$B$10*($B$8/$B$12-$B$14*COS(RADIANS(D42+$B$15)))/($B$9*COS(RADIANS(D42+$B$15))))/$B$10)))/$B$10)-$B$11*(((-LN(1-$B$10*($B$8/$B$12-$B$14*COS(RADIANS(D42+$B$15)))/($B$9*COS(RADIANS(D42+$B$15))))/$B$10)-((1-EXP(-$B$10*(-LN(1-$B$10*($B$8/$B$12-$B$14*COS(RADIANS(D42+$B$15)))/($B$9*COS(RADIANS(D42+$B$15))))/$B$10)))/$B$10))/$B$10)</x:f>
        <x:v>2211.9744124385034</x:v>
      </x:c>
      <x:c r="G42" s="74" t="n">
        <x:f>$B$13+$B$14*SIN(RADIANS(E42+$B$15))+$B$9*SIN(RADIANS(E42+$B$15))*((1-EXP(-$B$10*(-LN(1-$B$10*($B$8/$B$12-$B$14*COS(RADIANS(E42+$B$15)))/($B$9*COS(RADIANS(E42+$B$15))))/$B$10)))/$B$10)-$B$11*(((-LN(1-$B$10*($B$8/$B$12-$B$14*COS(RADIANS(E42+$B$15)))/($B$9*COS(RADIANS(E42+$B$15))))/$B$10)-((1-EXP(-$B$10*(-LN(1-$B$10*($B$8/$B$12-$B$14*COS(RADIANS(E42+$B$15)))/($B$9*COS(RADIANS(E42+$B$15))))/$B$10)))/$B$10))/$B$10)</x:f>
        <x:v>2211.9245435041794</x:v>
      </x:c>
      <x:c r="H42" s="74"/>
      <x:c r="I42" s="74"/>
      <x:c r="J42" s="74"/>
      <x:c r="K42" s="74"/>
      <x:c r="L42" s="74"/>
      <x:c r="M42" s="74"/>
    </x:row>
    <x:row r="43">
      <x:c r="A43" s="35" t="n">
        <x:v>21</x:v>
      </x:c>
      <x:c r="B43" s="74" t="n">
        <x:f>IF(F42&lt;G42,D42,B42)</x:f>
        <x:v>84.18903604214783</x:v>
      </x:c>
      <x:c r="C43" s="74" t="n">
        <x:f>IF(F42&lt;G42,C42,E42)</x:f>
        <x:v>84.24060989976857</x:v>
      </x:c>
      <x:c r="D43" s="74" t="n">
        <x:f>B43+(C43-B43)/3</x:f>
        <x:v>84.20622732802141</x:v>
      </x:c>
      <x:c r="E43" s="74" t="n">
        <x:f>C43-(C43-B43)/3</x:f>
        <x:v>84.22341861389499</x:v>
      </x:c>
      <x:c r="F43" s="74" t="n">
        <x:f>$B$13+$B$14*SIN(RADIANS(D43+$B$15))+$B$9*SIN(RADIANS(D43+$B$15))*((1-EXP(-$B$10*(-LN(1-$B$10*($B$8/$B$12-$B$14*COS(RADIANS(D43+$B$15)))/($B$9*COS(RADIANS(D43+$B$15))))/$B$10)))/$B$10)-$B$11*(((-LN(1-$B$10*($B$8/$B$12-$B$14*COS(RADIANS(D43+$B$15)))/($B$9*COS(RADIANS(D43+$B$15))))/$B$10)-((1-EXP(-$B$10*(-LN(1-$B$10*($B$8/$B$12-$B$14*COS(RADIANS(D43+$B$15)))/($B$9*COS(RADIANS(D43+$B$15))))/$B$10)))/$B$10))/$B$10)</x:f>
        <x:v>2211.9121656246693</x:v>
      </x:c>
      <x:c r="G43" s="74" t="n">
        <x:f>$B$13+$B$14*SIN(RADIANS(E43+$B$15))+$B$9*SIN(RADIANS(E43+$B$15))*((1-EXP(-$B$10*(-LN(1-$B$10*($B$8/$B$12-$B$14*COS(RADIANS(E43+$B$15)))/($B$9*COS(RADIANS(E43+$B$15))))/$B$10)))/$B$10)-$B$11*(((-LN(1-$B$10*($B$8/$B$12-$B$14*COS(RADIANS(E43+$B$15)))/($B$9*COS(RADIANS(E43+$B$15))))/$B$10)-((1-EXP(-$B$10*(-LN(1-$B$10*($B$8/$B$12-$B$14*COS(RADIANS(E43+$B$15)))/($B$9*COS(RADIANS(E43+$B$15))))/$B$10)))/$B$10))/$B$10)</x:f>
        <x:v>2211.9978277910027</x:v>
      </x:c>
      <x:c r="H43" s="74"/>
      <x:c r="I43" s="74"/>
      <x:c r="J43" s="74"/>
      <x:c r="K43" s="74"/>
      <x:c r="L43" s="74"/>
      <x:c r="M43" s="74"/>
    </x:row>
    <x:row r="44">
      <x:c r="A44" s="35" t="n">
        <x:v>22</x:v>
      </x:c>
      <x:c r="B44" s="74" t="n">
        <x:f>IF(F43&lt;G43,D43,B43)</x:f>
        <x:v>84.20622732802141</x:v>
      </x:c>
      <x:c r="C44" s="74" t="n">
        <x:f>IF(F43&lt;G43,C43,E43)</x:f>
        <x:v>84.24060989976857</x:v>
      </x:c>
      <x:c r="D44" s="74" t="n">
        <x:f>B44+(C44-B44)/3</x:f>
        <x:v>84.21768818527046</x:v>
      </x:c>
      <x:c r="E44" s="74" t="n">
        <x:f>C44-(C44-B44)/3</x:f>
        <x:v>84.22914904251952</x:v>
      </x:c>
      <x:c r="F44" s="74" t="n">
        <x:f>$B$13+$B$14*SIN(RADIANS(D44+$B$15))+$B$9*SIN(RADIANS(D44+$B$15))*((1-EXP(-$B$10*(-LN(1-$B$10*($B$8/$B$12-$B$14*COS(RADIANS(D44+$B$15)))/($B$9*COS(RADIANS(D44+$B$15))))/$B$10)))/$B$10)-$B$11*(((-LN(1-$B$10*($B$8/$B$12-$B$14*COS(RADIANS(D44+$B$15)))/($B$9*COS(RADIANS(D44+$B$15))))/$B$10)-((1-EXP(-$B$10*(-LN(1-$B$10*($B$8/$B$12-$B$14*COS(RADIANS(D44+$B$15)))/($B$9*COS(RADIANS(D44+$B$15))))/$B$10)))/$B$10))/$B$10)</x:f>
        <x:v>2211.986576068267</x:v>
      </x:c>
      <x:c r="G44" s="74" t="n">
        <x:f>$B$13+$B$14*SIN(RADIANS(E44+$B$15))+$B$9*SIN(RADIANS(E44+$B$15))*((1-EXP(-$B$10*(-LN(1-$B$10*($B$8/$B$12-$B$14*COS(RADIANS(E44+$B$15)))/($B$9*COS(RADIANS(E44+$B$15))))/$B$10)))/$B$10)-$B$11*(((-LN(1-$B$10*($B$8/$B$12-$B$14*COS(RADIANS(E44+$B$15)))/($B$9*COS(RADIANS(E44+$B$15))))/$B$10)-((1-EXP(-$B$10*(-LN(1-$B$10*($B$8/$B$12-$B$14*COS(RADIANS(E44+$B$15)))/($B$9*COS(RADIANS(E44+$B$15))))/$B$10)))/$B$10))/$B$10)</x:f>
        <x:v>2211.991422006049</x:v>
      </x:c>
      <x:c r="H44" s="74"/>
      <x:c r="I44" s="74"/>
      <x:c r="J44" s="74"/>
      <x:c r="K44" s="74"/>
      <x:c r="L44" s="74"/>
      <x:c r="M44" s="74"/>
    </x:row>
    <x:row r="45">
      <x:c r="A45" s="35" t="n">
        <x:v>23</x:v>
      </x:c>
      <x:c r="B45" s="74" t="n">
        <x:f>IF(F44&lt;G44,D44,B44)</x:f>
        <x:v>84.21768818527046</x:v>
      </x:c>
      <x:c r="C45" s="74" t="n">
        <x:f>IF(F44&lt;G44,C44,E44)</x:f>
        <x:v>84.24060989976857</x:v>
      </x:c>
      <x:c r="D45" s="74" t="n">
        <x:f>B45+(C45-B45)/3</x:f>
        <x:v>84.22532875676983</x:v>
      </x:c>
      <x:c r="E45" s="74" t="n">
        <x:f>C45-(C45-B45)/3</x:f>
        <x:v>84.2329693282692</x:v>
      </x:c>
      <x:c r="F45" s="74" t="n">
        <x:f>$B$13+$B$14*SIN(RADIANS(D45+$B$15))+$B$9*SIN(RADIANS(D45+$B$15))*((1-EXP(-$B$10*(-LN(1-$B$10*($B$8/$B$12-$B$14*COS(RADIANS(D45+$B$15)))/($B$9*COS(RADIANS(D45+$B$15))))/$B$10)))/$B$10)-$B$11*(((-LN(1-$B$10*($B$8/$B$12-$B$14*COS(RADIANS(D45+$B$15)))/($B$9*COS(RADIANS(D45+$B$15))))/$B$10)-((1-EXP(-$B$10*(-LN(1-$B$10*($B$8/$B$12-$B$14*COS(RADIANS(D45+$B$15)))/($B$9*COS(RADIANS(D45+$B$15))))/$B$10)))/$B$10))/$B$10)</x:f>
        <x:v>2211.9976678250177</x:v>
      </x:c>
      <x:c r="G45" s="74" t="n">
        <x:f>$B$13+$B$14*SIN(RADIANS(E45+$B$15))+$B$9*SIN(RADIANS(E45+$B$15))*((1-EXP(-$B$10*(-LN(1-$B$10*($B$8/$B$12-$B$14*COS(RADIANS(E45+$B$15)))/($B$9*COS(RADIANS(E45+$B$15))))/$B$10)))/$B$10)-$B$11*(((-LN(1-$B$10*($B$8/$B$12-$B$14*COS(RADIANS(E45+$B$15)))/($B$9*COS(RADIANS(E45+$B$15))))/$B$10)-((1-EXP(-$B$10*(-LN(1-$B$10*($B$8/$B$12-$B$14*COS(RADIANS(E45+$B$15)))/($B$9*COS(RADIANS(E45+$B$15))))/$B$10)))/$B$10))/$B$10)</x:f>
        <x:v>2211.9772074531543</x:v>
      </x:c>
      <x:c r="H45" s="74"/>
      <x:c r="I45" s="74"/>
      <x:c r="J45" s="74"/>
      <x:c r="K45" s="74"/>
      <x:c r="L45" s="74"/>
      <x:c r="M45" s="74"/>
    </x:row>
    <x:row r="46">
      <x:c r="A46" s="35" t="n">
        <x:v>24</x:v>
      </x:c>
      <x:c r="B46" s="74" t="n">
        <x:f>IF(F45&lt;G45,D45,B45)</x:f>
        <x:v>84.21768818527046</x:v>
      </x:c>
      <x:c r="C46" s="74" t="n">
        <x:f>IF(F45&lt;G45,C45,E45)</x:f>
        <x:v>84.2329693282692</x:v>
      </x:c>
      <x:c r="D46" s="74" t="n">
        <x:f>B46+(C46-B46)/3</x:f>
        <x:v>84.22278189960338</x:v>
      </x:c>
      <x:c r="E46" s="74" t="n">
        <x:f>C46-(C46-B46)/3</x:f>
        <x:v>84.22787561393629</x:v>
      </x:c>
      <x:c r="F46" s="74" t="n">
        <x:f>$B$13+$B$14*SIN(RADIANS(D46+$B$15))+$B$9*SIN(RADIANS(D46+$B$15))*((1-EXP(-$B$10*(-LN(1-$B$10*($B$8/$B$12-$B$14*COS(RADIANS(D46+$B$15)))/($B$9*COS(RADIANS(D46+$B$15))))/$B$10)))/$B$10)-$B$11*(((-LN(1-$B$10*($B$8/$B$12-$B$14*COS(RADIANS(D46+$B$15)))/($B$9*COS(RADIANS(D46+$B$15))))/$B$10)-((1-EXP(-$B$10*(-LN(1-$B$10*($B$8/$B$12-$B$14*COS(RADIANS(D46+$B$15)))/($B$9*COS(RADIANS(D46+$B$15))))/$B$10)))/$B$10))/$B$10)</x:f>
        <x:v>2211.9974446404867</x:v>
      </x:c>
      <x:c r="G46" s="74" t="n">
        <x:f>$B$13+$B$14*SIN(RADIANS(E46+$B$15))+$B$9*SIN(RADIANS(E46+$B$15))*((1-EXP(-$B$10*(-LN(1-$B$10*($B$8/$B$12-$B$14*COS(RADIANS(E46+$B$15)))/($B$9*COS(RADIANS(E46+$B$15))))/$B$10)))/$B$10)-$B$11*(((-LN(1-$B$10*($B$8/$B$12-$B$14*COS(RADIANS(E46+$B$15)))/($B$9*COS(RADIANS(E46+$B$15))))/$B$10)-((1-EXP(-$B$10*(-LN(1-$B$10*($B$8/$B$12-$B$14*COS(RADIANS(E46+$B$15)))/($B$9*COS(RADIANS(E46+$B$15))))/$B$10)))/$B$10))/$B$10)</x:f>
        <x:v>2211.9943853436207</x:v>
      </x:c>
      <x:c r="H46" s="74"/>
      <x:c r="I46" s="74"/>
      <x:c r="J46" s="74"/>
      <x:c r="K46" s="74"/>
      <x:c r="L46" s="74"/>
      <x:c r="M46" s="74"/>
    </x:row>
    <x:row r="47">
      <x:c r="A47" s="35" t="n">
        <x:v>25</x:v>
      </x:c>
      <x:c r="B47" s="74" t="n">
        <x:f>IF(F46&lt;G46,D46,B46)</x:f>
        <x:v>84.21768818527046</x:v>
      </x:c>
      <x:c r="C47" s="74" t="n">
        <x:f>IF(F46&lt;G46,C46,E46)</x:f>
        <x:v>84.22787561393629</x:v>
      </x:c>
      <x:c r="D47" s="74" t="n">
        <x:f>B47+(C47-B47)/3</x:f>
        <x:v>84.22108399482573</x:v>
      </x:c>
      <x:c r="E47" s="74" t="n">
        <x:f>C47-(C47-B47)/3</x:f>
        <x:v>84.22447980438102</x:v>
      </x:c>
      <x:c r="F47" s="74" t="n">
        <x:f>$B$13+$B$14*SIN(RADIANS(D47+$B$15))+$B$9*SIN(RADIANS(D47+$B$15))*((1-EXP(-$B$10*(-LN(1-$B$10*($B$8/$B$12-$B$14*COS(RADIANS(D47+$B$15)))/($B$9*COS(RADIANS(D47+$B$15))))/$B$10)))/$B$10)-$B$11*(((-LN(1-$B$10*($B$8/$B$12-$B$14*COS(RADIANS(D47+$B$15)))/($B$9*COS(RADIANS(D47+$B$15))))/$B$10)-((1-EXP(-$B$10*(-LN(1-$B$10*($B$8/$B$12-$B$14*COS(RADIANS(D47+$B$15)))/($B$9*COS(RADIANS(D47+$B$15))))/$B$10)))/$B$10))/$B$10)</x:f>
        <x:v>2211.995359992515</x:v>
      </x:c>
      <x:c r="G47" s="74" t="n">
        <x:f>$B$13+$B$14*SIN(RADIANS(E47+$B$15))+$B$9*SIN(RADIANS(E47+$B$15))*((1-EXP(-$B$10*(-LN(1-$B$10*($B$8/$B$12-$B$14*COS(RADIANS(E47+$B$15)))/($B$9*COS(RADIANS(E47+$B$15))))/$B$10)))/$B$10)-$B$11*(((-LN(1-$B$10*($B$8/$B$12-$B$14*COS(RADIANS(E47+$B$15)))/($B$9*COS(RADIANS(E47+$B$15))))/$B$10)-((1-EXP(-$B$10*(-LN(1-$B$10*($B$8/$B$12-$B$14*COS(RADIANS(E47+$B$15)))/($B$9*COS(RADIANS(E47+$B$15))))/$B$10)))/$B$10))/$B$10)</x:f>
        <x:v>2211.9979817721187</x:v>
      </x:c>
      <x:c r="H47" s="74"/>
      <x:c r="I47" s="74"/>
      <x:c r="J47" s="74"/>
      <x:c r="K47" s="74"/>
      <x:c r="L47" s="74"/>
      <x:c r="M47" s="74"/>
    </x:row>
    <x:row r="48">
      <x:c r="A48" s="35" t="n">
        <x:v>26</x:v>
      </x:c>
      <x:c r="B48" s="74" t="n">
        <x:f>IF(F47&lt;G47,D47,B47)</x:f>
        <x:v>84.22108399482573</x:v>
      </x:c>
      <x:c r="C48" s="74" t="n">
        <x:f>IF(F47&lt;G47,C47,E47)</x:f>
        <x:v>84.22787561393629</x:v>
      </x:c>
      <x:c r="D48" s="74" t="n">
        <x:f>B48+(C48-B48)/3</x:f>
        <x:v>84.22334786786259</x:v>
      </x:c>
      <x:c r="E48" s="74" t="n">
        <x:f>C48-(C48-B48)/3</x:f>
        <x:v>84.22561174089944</x:v>
      </x:c>
      <x:c r="F48" s="74" t="n">
        <x:f>$B$13+$B$14*SIN(RADIANS(D48+$B$15))+$B$9*SIN(RADIANS(D48+$B$15))*((1-EXP(-$B$10*(-LN(1-$B$10*($B$8/$B$12-$B$14*COS(RADIANS(D48+$B$15)))/($B$9*COS(RADIANS(D48+$B$15))))/$B$10)))/$B$10)-$B$11*(((-LN(1-$B$10*($B$8/$B$12-$B$14*COS(RADIANS(D48+$B$15)))/($B$9*COS(RADIANS(D48+$B$15))))/$B$10)-((1-EXP(-$B$10*(-LN(1-$B$10*($B$8/$B$12-$B$14*COS(RADIANS(D48+$B$15)))/($B$9*COS(RADIANS(D48+$B$15))))/$B$10)))/$B$10))/$B$10)</x:f>
        <x:v>2211.9977959768416</x:v>
      </x:c>
      <x:c r="G48" s="74" t="n">
        <x:f>$B$13+$B$14*SIN(RADIANS(E48+$B$15))+$B$9*SIN(RADIANS(E48+$B$15))*((1-EXP(-$B$10*(-LN(1-$B$10*($B$8/$B$12-$B$14*COS(RADIANS(E48+$B$15)))/($B$9*COS(RADIANS(E48+$B$15))))/$B$10)))/$B$10)-$B$11*(((-LN(1-$B$10*($B$8/$B$12-$B$14*COS(RADIANS(E48+$B$15)))/($B$9*COS(RADIANS(E48+$B$15))))/$B$10)-((1-EXP(-$B$10*(-LN(1-$B$10*($B$8/$B$12-$B$14*COS(RADIANS(E48+$B$15)))/($B$9*COS(RADIANS(E48+$B$15))))/$B$10)))/$B$10))/$B$10)</x:f>
        <x:v>2211.9974766602895</x:v>
      </x:c>
      <x:c r="H48" s="74"/>
      <x:c r="I48" s="74"/>
      <x:c r="J48" s="74"/>
      <x:c r="K48" s="74"/>
      <x:c r="L48" s="74"/>
      <x:c r="M48" s="74"/>
    </x:row>
    <x:row r="49">
      <x:c r="A49" s="35" t="n">
        <x:v>27</x:v>
      </x:c>
      <x:c r="B49" s="74" t="n">
        <x:f>IF(F48&lt;G48,D48,B48)</x:f>
        <x:v>84.22108399482573</x:v>
      </x:c>
      <x:c r="C49" s="74" t="n">
        <x:f>IF(F48&lt;G48,C48,E48)</x:f>
        <x:v>84.22561174089944</x:v>
      </x:c>
      <x:c r="D49" s="74" t="n">
        <x:f>B49+(C49-B49)/3</x:f>
        <x:v>84.22259324351697</x:v>
      </x:c>
      <x:c r="E49" s="74" t="n">
        <x:f>C49-(C49-B49)/3</x:f>
        <x:v>84.2241024922082</x:v>
      </x:c>
      <x:c r="F49" s="74" t="n">
        <x:f>$B$13+$B$14*SIN(RADIANS(D49+$B$15))+$B$9*SIN(RADIANS(D49+$B$15))*((1-EXP(-$B$10*(-LN(1-$B$10*($B$8/$B$12-$B$14*COS(RADIANS(D49+$B$15)))/($B$9*COS(RADIANS(D49+$B$15))))/$B$10)))/$B$10)-$B$11*(((-LN(1-$B$10*($B$8/$B$12-$B$14*COS(RADIANS(D49+$B$15)))/($B$9*COS(RADIANS(D49+$B$15))))/$B$10)-((1-EXP(-$B$10*(-LN(1-$B$10*($B$8/$B$12-$B$14*COS(RADIANS(D49+$B$15)))/($B$9*COS(RADIANS(D49+$B$15))))/$B$10)))/$B$10))/$B$10)</x:f>
        <x:v>2211.997289305341</x:v>
      </x:c>
      <x:c r="G49" s="74" t="n">
        <x:f>$B$13+$B$14*SIN(RADIANS(E49+$B$15))+$B$9*SIN(RADIANS(E49+$B$15))*((1-EXP(-$B$10*(-LN(1-$B$10*($B$8/$B$12-$B$14*COS(RADIANS(E49+$B$15)))/($B$9*COS(RADIANS(E49+$B$15))))/$B$10)))/$B$10)-$B$11*(((-LN(1-$B$10*($B$8/$B$12-$B$14*COS(RADIANS(E49+$B$15)))/($B$9*COS(RADIANS(E49+$B$15))))/$B$10)-((1-EXP(-$B$10*(-LN(1-$B$10*($B$8/$B$12-$B$14*COS(RADIANS(E49+$B$15)))/($B$9*COS(RADIANS(E49+$B$15))))/$B$10)))/$B$10))/$B$10)</x:f>
        <x:v>2211.997996504765</x:v>
      </x:c>
      <x:c r="H49" s="74"/>
      <x:c r="I49" s="74"/>
      <x:c r="J49" s="74"/>
      <x:c r="K49" s="74"/>
      <x:c r="L49" s="74"/>
      <x:c r="M49" s="74"/>
    </x:row>
    <x:row r="50">
      <x:c r="A50" s="35" t="n">
        <x:v>28</x:v>
      </x:c>
      <x:c r="B50" s="74" t="n">
        <x:f>IF(F49&lt;G49,D49,B49)</x:f>
        <x:v>84.22259324351697</x:v>
      </x:c>
      <x:c r="C50" s="74" t="n">
        <x:f>IF(F49&lt;G49,C49,E49)</x:f>
        <x:v>84.22561174089944</x:v>
      </x:c>
      <x:c r="D50" s="74" t="n">
        <x:f>B50+(C50-B50)/3</x:f>
        <x:v>84.22359940931112</x:v>
      </x:c>
      <x:c r="E50" s="74" t="n">
        <x:f>C50-(C50-B50)/3</x:f>
        <x:v>84.22460557510529</x:v>
      </x:c>
      <x:c r="F50" s="74" t="n">
        <x:f>$B$13+$B$14*SIN(RADIANS(D50+$B$15))+$B$9*SIN(RADIANS(D50+$B$15))*((1-EXP(-$B$10*(-LN(1-$B$10*($B$8/$B$12-$B$14*COS(RADIANS(D50+$B$15)))/($B$9*COS(RADIANS(D50+$B$15))))/$B$10)))/$B$10)-$B$11*(((-LN(1-$B$10*($B$8/$B$12-$B$14*COS(RADIANS(D50+$B$15)))/($B$9*COS(RADIANS(D50+$B$15))))/$B$10)-((1-EXP(-$B$10*(-LN(1-$B$10*($B$8/$B$12-$B$14*COS(RADIANS(D50+$B$15)))/($B$9*COS(RADIANS(D50+$B$15))))/$B$10)))/$B$10))/$B$10)</x:f>
        <x:v>2211.997896865877</x:v>
      </x:c>
      <x:c r="G50" s="74" t="n">
        <x:f>$B$13+$B$14*SIN(RADIANS(E50+$B$15))+$B$9*SIN(RADIANS(E50+$B$15))*((1-EXP(-$B$10*(-LN(1-$B$10*($B$8/$B$12-$B$14*COS(RADIANS(E50+$B$15)))/($B$9*COS(RADIANS(E50+$B$15))))/$B$10)))/$B$10)-$B$11*(((-LN(1-$B$10*($B$8/$B$12-$B$14*COS(RADIANS(E50+$B$15)))/($B$9*COS(RADIANS(E50+$B$15))))/$B$10)-((1-EXP(-$B$10*(-LN(1-$B$10*($B$8/$B$12-$B$14*COS(RADIANS(E50+$B$15)))/($B$9*COS(RADIANS(E50+$B$15))))/$B$10)))/$B$10))/$B$10)</x:f>
        <x:v>2211.997959805633</x:v>
      </x:c>
      <x:c r="H50" s="74"/>
      <x:c r="I50" s="74"/>
      <x:c r="J50" s="74"/>
      <x:c r="K50" s="74"/>
      <x:c r="L50" s="74"/>
      <x:c r="M50" s="74"/>
    </x:row>
    <x:row r="51">
      <x:c r="A51" s="35" t="n">
        <x:v>29</x:v>
      </x:c>
      <x:c r="B51" s="74" t="n">
        <x:f>IF(F50&lt;G50,D50,B50)</x:f>
        <x:v>84.22359940931112</x:v>
      </x:c>
      <x:c r="C51" s="74" t="n">
        <x:f>IF(F50&lt;G50,C50,E50)</x:f>
        <x:v>84.22561174089944</x:v>
      </x:c>
      <x:c r="D51" s="74" t="n">
        <x:f>B51+(C51-B51)/3</x:f>
        <x:v>84.22427018650723</x:v>
      </x:c>
      <x:c r="E51" s="74" t="n">
        <x:f>C51-(C51-B51)/3</x:f>
        <x:v>84.22494096370333</x:v>
      </x:c>
      <x:c r="F51" s="74" t="n">
        <x:f>$B$13+$B$14*SIN(RADIANS(D51+$B$15))+$B$9*SIN(RADIANS(D51+$B$15))*((1-EXP(-$B$10*(-LN(1-$B$10*($B$8/$B$12-$B$14*COS(RADIANS(D51+$B$15)))/($B$9*COS(RADIANS(D51+$B$15))))/$B$10)))/$B$10)-$B$11*(((-LN(1-$B$10*($B$8/$B$12-$B$14*COS(RADIANS(D51+$B$15)))/($B$9*COS(RADIANS(D51+$B$15))))/$B$10)-((1-EXP(-$B$10*(-LN(1-$B$10*($B$8/$B$12-$B$14*COS(RADIANS(D51+$B$15)))/($B$9*COS(RADIANS(D51+$B$15))))/$B$10)))/$B$10))/$B$10)</x:f>
        <x:v>2211.997999429431</x:v>
      </x:c>
      <x:c r="G51" s="74" t="n">
        <x:f>$B$13+$B$14*SIN(RADIANS(E51+$B$15))+$B$9*SIN(RADIANS(E51+$B$15))*((1-EXP(-$B$10*(-LN(1-$B$10*($B$8/$B$12-$B$14*COS(RADIANS(E51+$B$15)))/($B$9*COS(RADIANS(E51+$B$15))))/$B$10)))/$B$10)-$B$11*(((-LN(1-$B$10*($B$8/$B$12-$B$14*COS(RADIANS(E51+$B$15)))/($B$9*COS(RADIANS(E51+$B$15))))/$B$10)-((1-EXP(-$B$10*(-LN(1-$B$10*($B$8/$B$12-$B$14*COS(RADIANS(E51+$B$15)))/($B$9*COS(RADIANS(E51+$B$15))))/$B$10)))/$B$10))/$B$10)</x:f>
        <x:v>2211.997859505751</x:v>
      </x:c>
      <x:c r="H51" s="74"/>
      <x:c r="I51" s="74"/>
      <x:c r="J51" s="74"/>
      <x:c r="K51" s="74"/>
      <x:c r="L51" s="74"/>
      <x:c r="M51" s="74"/>
    </x:row>
    <x:row r="52">
      <x:c r="A52" s="35" t="n">
        <x:v>30</x:v>
      </x:c>
      <x:c r="B52" s="74" t="n">
        <x:f>IF(F51&lt;G51,D51,B51)</x:f>
        <x:v>84.22359940931112</x:v>
      </x:c>
      <x:c r="C52" s="74" t="n">
        <x:f>IF(F51&lt;G51,C51,E51)</x:f>
        <x:v>84.22494096370333</x:v>
      </x:c>
      <x:c r="D52" s="74" t="n">
        <x:f>B52+(C52-B52)/3</x:f>
        <x:v>84.22404659410853</x:v>
      </x:c>
      <x:c r="E52" s="74" t="n">
        <x:f>C52-(C52-B52)/3</x:f>
        <x:v>84.22449377890592</x:v>
      </x:c>
      <x:c r="F52" s="74" t="n">
        <x:f>$B$13+$B$14*SIN(RADIANS(D52+$B$15))+$B$9*SIN(RADIANS(D52+$B$15))*((1-EXP(-$B$10*(-LN(1-$B$10*($B$8/$B$12-$B$14*COS(RADIANS(D52+$B$15)))/($B$9*COS(RADIANS(D52+$B$15))))/$B$10)))/$B$10)-$B$11*(((-LN(1-$B$10*($B$8/$B$12-$B$14*COS(RADIANS(D52+$B$15)))/($B$9*COS(RADIANS(D52+$B$15))))/$B$10)-((1-EXP(-$B$10*(-LN(1-$B$10*($B$8/$B$12-$B$14*COS(RADIANS(D52+$B$15)))/($B$9*COS(RADIANS(D52+$B$15))))/$B$10)))/$B$10))/$B$10)</x:f>
        <x:v>2211.997992163171</x:v>
      </x:c>
      <x:c r="G52" s="74" t="n">
        <x:f>$B$13+$B$14*SIN(RADIANS(E52+$B$15))+$B$9*SIN(RADIANS(E52+$B$15))*((1-EXP(-$B$10*(-LN(1-$B$10*($B$8/$B$12-$B$14*COS(RADIANS(E52+$B$15)))/($B$9*COS(RADIANS(E52+$B$15))))/$B$10)))/$B$10)-$B$11*(((-LN(1-$B$10*($B$8/$B$12-$B$14*COS(RADIANS(E52+$B$15)))/($B$9*COS(RADIANS(E52+$B$15))))/$B$10)-((1-EXP(-$B$10*(-LN(1-$B$10*($B$8/$B$12-$B$14*COS(RADIANS(E52+$B$15)))/($B$9*COS(RADIANS(E52+$B$15))))/$B$10)))/$B$10))/$B$10)</x:f>
        <x:v>2211.9979797526707</x:v>
      </x:c>
      <x:c r="H52" s="74"/>
      <x:c r="I52" s="74"/>
      <x:c r="J52" s="74"/>
      <x:c r="K52" s="74"/>
      <x:c r="L52" s="74"/>
      <x:c r="M52" s="74"/>
    </x:row>
    <x:row r="53">
      <x:c r="A53" s="35" t="n">
        <x:v>31</x:v>
      </x:c>
      <x:c r="B53" s="74" t="n">
        <x:f>IF(F52&lt;G52,D52,B52)</x:f>
        <x:v>84.22359940931112</x:v>
      </x:c>
      <x:c r="C53" s="74" t="n">
        <x:f>IF(F52&lt;G52,C52,E52)</x:f>
        <x:v>84.22449377890592</x:v>
      </x:c>
      <x:c r="D53" s="74" t="n">
        <x:f>B53+(C53-B53)/3</x:f>
        <x:v>84.22389753250938</x:v>
      </x:c>
      <x:c r="E53" s="74" t="n">
        <x:f>C53-(C53-B53)/3</x:f>
        <x:v>84.22419565570766</x:v>
      </x:c>
      <x:c r="F53" s="74" t="n">
        <x:f>$B$13+$B$14*SIN(RADIANS(D53+$B$15))+$B$9*SIN(RADIANS(D53+$B$15))*((1-EXP(-$B$10*(-LN(1-$B$10*($B$8/$B$12-$B$14*COS(RADIANS(D53+$B$15)))/($B$9*COS(RADIANS(D53+$B$15))))/$B$10)))/$B$10)-$B$11*(((-LN(1-$B$10*($B$8/$B$12-$B$14*COS(RADIANS(D53+$B$15)))/($B$9*COS(RADIANS(D53+$B$15))))/$B$10)-((1-EXP(-$B$10*(-LN(1-$B$10*($B$8/$B$12-$B$14*COS(RADIANS(D53+$B$15)))/($B$9*COS(RADIANS(D53+$B$15))))/$B$10)))/$B$10))/$B$10)</x:f>
        <x:v>2211.997972358593</x:v>
      </x:c>
      <x:c r="G53" s="74" t="n">
        <x:f>$B$13+$B$14*SIN(RADIANS(E53+$B$15))+$B$9*SIN(RADIANS(E53+$B$15))*((1-EXP(-$B$10*(-LN(1-$B$10*($B$8/$B$12-$B$14*COS(RADIANS(E53+$B$15)))/($B$9*COS(RADIANS(E53+$B$15))))/$B$10)))/$B$10)-$B$11*(((-LN(1-$B$10*($B$8/$B$12-$B$14*COS(RADIANS(E53+$B$15)))/($B$9*COS(RADIANS(E53+$B$15))))/$B$10)-((1-EXP(-$B$10*(-LN(1-$B$10*($B$8/$B$12-$B$14*COS(RADIANS(E53+$B$15)))/($B$9*COS(RADIANS(E53+$B$15))))/$B$10)))/$B$10))/$B$10)</x:f>
        <x:v>2211.9980000002183</x:v>
      </x:c>
      <x:c r="H53" s="74"/>
      <x:c r="I53" s="74"/>
      <x:c r="J53" s="74"/>
      <x:c r="K53" s="74"/>
      <x:c r="L53" s="74"/>
      <x:c r="M53" s="74"/>
    </x:row>
    <x:row r="54">
      <x:c r="A54" s="35" t="n">
        <x:v>32</x:v>
      </x:c>
      <x:c r="B54" s="74" t="n">
        <x:f>IF(F53&lt;G53,D53,B53)</x:f>
        <x:v>84.22389753250938</x:v>
      </x:c>
      <x:c r="C54" s="74" t="n">
        <x:f>IF(F53&lt;G53,C53,E53)</x:f>
        <x:v>84.22449377890592</x:v>
      </x:c>
      <x:c r="D54" s="74" t="n">
        <x:f>B54+(C54-B54)/3</x:f>
        <x:v>84.22409628130823</x:v>
      </x:c>
      <x:c r="E54" s="74" t="n">
        <x:f>C54-(C54-B54)/3</x:f>
        <x:v>84.22429503010707</x:v>
      </x:c>
      <x:c r="F54" s="74" t="n">
        <x:f>$B$13+$B$14*SIN(RADIANS(D54+$B$15))+$B$9*SIN(RADIANS(D54+$B$15))*((1-EXP(-$B$10*(-LN(1-$B$10*($B$8/$B$12-$B$14*COS(RADIANS(D54+$B$15)))/($B$9*COS(RADIANS(D54+$B$15))))/$B$10)))/$B$10)-$B$11*(((-LN(1-$B$10*($B$8/$B$12-$B$14*COS(RADIANS(D54+$B$15)))/($B$9*COS(RADIANS(D54+$B$15))))/$B$10)-((1-EXP(-$B$10*(-LN(1-$B$10*($B$8/$B$12-$B$14*COS(RADIANS(D54+$B$15)))/($B$9*COS(RADIANS(D54+$B$15))))/$B$10)))/$B$10))/$B$10)</x:f>
        <x:v>2211.9979961054805</x:v>
      </x:c>
      <x:c r="G54" s="74" t="n">
        <x:f>$B$13+$B$14*SIN(RADIANS(E54+$B$15))+$B$9*SIN(RADIANS(E54+$B$15))*((1-EXP(-$B$10*(-LN(1-$B$10*($B$8/$B$12-$B$14*COS(RADIANS(E54+$B$15)))/($B$9*COS(RADIANS(E54+$B$15))))/$B$10)))/$B$10)-$B$11*(((-LN(1-$B$10*($B$8/$B$12-$B$14*COS(RADIANS(E54+$B$15)))/($B$9*COS(RADIANS(E54+$B$15))))/$B$10)-((1-EXP(-$B$10*(-LN(1-$B$10*($B$8/$B$12-$B$14*COS(RADIANS(E54+$B$15)))/($B$9*COS(RADIANS(E54+$B$15))))/$B$10)))/$B$10))/$B$10)</x:f>
        <x:v>2211.9979985739374</x:v>
      </x:c>
      <x:c r="H54" s="74"/>
      <x:c r="I54" s="74"/>
      <x:c r="J54" s="74"/>
      <x:c r="K54" s="74"/>
      <x:c r="L54" s="74"/>
      <x:c r="M54" s="74"/>
    </x:row>
    <x:row r="55">
      <x:c r="A55" s="35" t="n">
        <x:v>33</x:v>
      </x:c>
      <x:c r="B55" s="74" t="n">
        <x:f>IF(F54&lt;G54,D54,B54)</x:f>
        <x:v>84.22409628130823</x:v>
      </x:c>
      <x:c r="C55" s="74" t="n">
        <x:f>IF(F54&lt;G54,C54,E54)</x:f>
        <x:v>84.22449377890592</x:v>
      </x:c>
      <x:c r="D55" s="74" t="n">
        <x:f>B55+(C55-B55)/3</x:f>
        <x:v>84.22422878050746</x:v>
      </x:c>
      <x:c r="E55" s="74" t="n">
        <x:f>C55-(C55-B55)/3</x:f>
        <x:v>84.2243612797067</x:v>
      </x:c>
      <x:c r="F55" s="74" t="n">
        <x:f>$B$13+$B$14*SIN(RADIANS(D55+$B$15))+$B$9*SIN(RADIANS(D55+$B$15))*((1-EXP(-$B$10*(-LN(1-$B$10*($B$8/$B$12-$B$14*COS(RADIANS(D55+$B$15)))/($B$9*COS(RADIANS(D55+$B$15))))/$B$10)))/$B$10)-$B$11*(((-LN(1-$B$10*($B$8/$B$12-$B$14*COS(RADIANS(D55+$B$15)))/($B$9*COS(RADIANS(D55+$B$15))))/$B$10)-((1-EXP(-$B$10*(-LN(1-$B$10*($B$8/$B$12-$B$14*COS(RADIANS(D55+$B$15)))/($B$9*COS(RADIANS(D55+$B$15))))/$B$10)))/$B$10))/$B$10)</x:f>
        <x:v>2211.998000116085</x:v>
      </x:c>
      <x:c r="G55" s="74" t="n">
        <x:f>$B$13+$B$14*SIN(RADIANS(E55+$B$15))+$B$9*SIN(RADIANS(E55+$B$15))*((1-EXP(-$B$10*(-LN(1-$B$10*($B$8/$B$12-$B$14*COS(RADIANS(E55+$B$15)))/($B$9*COS(RADIANS(E55+$B$15))))/$B$10)))/$B$10)-$B$11*(((-LN(1-$B$10*($B$8/$B$12-$B$14*COS(RADIANS(E55+$B$15)))/($B$9*COS(RADIANS(E55+$B$15))))/$B$10)-((1-EXP(-$B$10*(-LN(1-$B$10*($B$8/$B$12-$B$14*COS(RADIANS(E55+$B$15)))/($B$9*COS(RADIANS(E55+$B$15))))/$B$10)))/$B$10))/$B$10)</x:f>
        <x:v>2211.9979946662643</x:v>
      </x:c>
      <x:c r="H55" s="74"/>
      <x:c r="I55" s="74"/>
      <x:c r="J55" s="74"/>
      <x:c r="K55" s="74"/>
      <x:c r="L55" s="74"/>
      <x:c r="M55" s="74"/>
    </x:row>
    <x:row r="56">
      <x:c r="A56" s="35" t="n">
        <x:v>34</x:v>
      </x:c>
      <x:c r="B56" s="74" t="n">
        <x:f>IF(F55&lt;G55,D55,B55)</x:f>
        <x:v>84.22409628130823</x:v>
      </x:c>
      <x:c r="C56" s="74" t="n">
        <x:f>IF(F55&lt;G55,C55,E55)</x:f>
        <x:v>84.2243612797067</x:v>
      </x:c>
      <x:c r="D56" s="74" t="n">
        <x:f>B56+(C56-B56)/3</x:f>
        <x:v>84.22418461410773</x:v>
      </x:c>
      <x:c r="E56" s="74" t="n">
        <x:f>C56-(C56-B56)/3</x:f>
        <x:v>84.2242729469072</x:v>
      </x:c>
      <x:c r="F56" s="74" t="n">
        <x:f>$B$13+$B$14*SIN(RADIANS(D56+$B$15))+$B$9*SIN(RADIANS(D56+$B$15))*((1-EXP(-$B$10*(-LN(1-$B$10*($B$8/$B$12-$B$14*COS(RADIANS(D56+$B$15)))/($B$9*COS(RADIANS(D56+$B$15))))/$B$10)))/$B$10)-$B$11*(((-LN(1-$B$10*($B$8/$B$12-$B$14*COS(RADIANS(D56+$B$15)))/($B$9*COS(RADIANS(D56+$B$15))))/$B$10)-((1-EXP(-$B$10*(-LN(1-$B$10*($B$8/$B$12-$B$14*COS(RADIANS(D56+$B$15)))/($B$9*COS(RADIANS(D56+$B$15))))/$B$10)))/$B$10))/$B$10)</x:f>
        <x:v>2211.9979998302106</x:v>
      </x:c>
      <x:c r="G56" s="74" t="n">
        <x:f>$B$13+$B$14*SIN(RADIANS(E56+$B$15))+$B$9*SIN(RADIANS(E56+$B$15))*((1-EXP(-$B$10*(-LN(1-$B$10*($B$8/$B$12-$B$14*COS(RADIANS(E56+$B$15)))/($B$9*COS(RADIANS(E56+$B$15))))/$B$10)))/$B$10)-$B$11*(((-LN(1-$B$10*($B$8/$B$12-$B$14*COS(RADIANS(E56+$B$15)))/($B$9*COS(RADIANS(E56+$B$15))))/$B$10)-((1-EXP(-$B$10*(-LN(1-$B$10*($B$8/$B$12-$B$14*COS(RADIANS(E56+$B$15)))/($B$9*COS(RADIANS(E56+$B$15))))/$B$10)))/$B$10))/$B$10)</x:f>
        <x:v>2211.9979993508014</x:v>
      </x:c>
      <x:c r="H56" s="74"/>
      <x:c r="I56" s="74"/>
      <x:c r="J56" s="74"/>
      <x:c r="K56" s="74"/>
      <x:c r="L56" s="74"/>
      <x:c r="M56" s="74"/>
    </x:row>
    <x:row r="57">
      <x:c r="A57" s="35" t="n">
        <x:v>35</x:v>
      </x:c>
      <x:c r="B57" s="74" t="n">
        <x:f>IF(F56&lt;G56,D56,B56)</x:f>
        <x:v>84.22409628130823</x:v>
      </x:c>
      <x:c r="C57" s="74" t="n">
        <x:f>IF(F56&lt;G56,C56,E56)</x:f>
        <x:v>84.2242729469072</x:v>
      </x:c>
      <x:c r="D57" s="74" t="n">
        <x:f>B57+(C57-B57)/3</x:f>
        <x:v>84.22415516984123</x:v>
      </x:c>
      <x:c r="E57" s="74" t="n">
        <x:f>C57-(C57-B57)/3</x:f>
        <x:v>84.22421405837422</x:v>
      </x:c>
      <x:c r="F57" s="74" t="n">
        <x:f>$B$13+$B$14*SIN(RADIANS(D57+$B$15))+$B$9*SIN(RADIANS(D57+$B$15))*((1-EXP(-$B$10*(-LN(1-$B$10*($B$8/$B$12-$B$14*COS(RADIANS(D57+$B$15)))/($B$9*COS(RADIANS(D57+$B$15))))/$B$10)))/$B$10)-$B$11*(((-LN(1-$B$10*($B$8/$B$12-$B$14*COS(RADIANS(D57+$B$15)))/($B$9*COS(RADIANS(D57+$B$15))))/$B$10)-((1-EXP(-$B$10*(-LN(1-$B$10*($B$8/$B$12-$B$14*COS(RADIANS(D57+$B$15)))/($B$9*COS(RADIANS(D57+$B$15))))/$B$10)))/$B$10))/$B$10)</x:f>
        <x:v>2211.9979990557113</x:v>
      </x:c>
      <x:c r="G57" s="74" t="n">
        <x:f>$B$13+$B$14*SIN(RADIANS(E57+$B$15))+$B$9*SIN(RADIANS(E57+$B$15))*((1-EXP(-$B$10*(-LN(1-$B$10*($B$8/$B$12-$B$14*COS(RADIANS(E57+$B$15)))/($B$9*COS(RADIANS(E57+$B$15))))/$B$10)))/$B$10)-$B$11*(((-LN(1-$B$10*($B$8/$B$12-$B$14*COS(RADIANS(E57+$B$15)))/($B$9*COS(RADIANS(E57+$B$15))))/$B$10)-((1-EXP(-$B$10*(-LN(1-$B$10*($B$8/$B$12-$B$14*COS(RADIANS(E57+$B$15)))/($B$9*COS(RADIANS(E57+$B$15))))/$B$10)))/$B$10))/$B$10)</x:f>
        <x:v>2211.998000137583</x:v>
      </x:c>
      <x:c r="H57" s="74"/>
      <x:c r="I57" s="74"/>
      <x:c r="J57" s="74"/>
      <x:c r="K57" s="74"/>
      <x:c r="L57" s="74"/>
      <x:c r="M57" s="74"/>
    </x:row>
    <x:row r="58">
      <x:c r="A58" s="35" t="n">
        <x:v>36</x:v>
      </x:c>
      <x:c r="B58" s="74" t="n">
        <x:f>IF(F57&lt;G57,D57,B57)</x:f>
        <x:v>84.22415516984123</x:v>
      </x:c>
      <x:c r="C58" s="74" t="n">
        <x:f>IF(F57&lt;G57,C57,E57)</x:f>
        <x:v>84.2242729469072</x:v>
      </x:c>
      <x:c r="D58" s="74" t="n">
        <x:f>B58+(C58-B58)/3</x:f>
        <x:v>84.22419442886321</x:v>
      </x:c>
      <x:c r="E58" s="74" t="n">
        <x:f>C58-(C58-B58)/3</x:f>
        <x:v>84.22423368788522</x:v>
      </x:c>
      <x:c r="F58" s="74" t="n">
        <x:f>$B$13+$B$14*SIN(RADIANS(D58+$B$15))+$B$9*SIN(RADIANS(D58+$B$15))*((1-EXP(-$B$10*(-LN(1-$B$10*($B$8/$B$12-$B$14*COS(RADIANS(D58+$B$15)))/($B$9*COS(RADIANS(D58+$B$15))))/$B$10)))/$B$10)-$B$11*(((-LN(1-$B$10*($B$8/$B$12-$B$14*COS(RADIANS(D58+$B$15)))/($B$9*COS(RADIANS(D58+$B$15))))/$B$10)-((1-EXP(-$B$10*(-LN(1-$B$10*($B$8/$B$12-$B$14*COS(RADIANS(D58+$B$15)))/($B$9*COS(RADIANS(D58+$B$15))))/$B$10)))/$B$10))/$B$10)</x:f>
        <x:v>2211.9979999845737</x:v>
      </x:c>
      <x:c r="G58" s="74" t="n">
        <x:f>$B$13+$B$14*SIN(RADIANS(E58+$B$15))+$B$9*SIN(RADIANS(E58+$B$15))*((1-EXP(-$B$10*(-LN(1-$B$10*($B$8/$B$12-$B$14*COS(RADIANS(E58+$B$15)))/($B$9*COS(RADIANS(E58+$B$15))))/$B$10)))/$B$10)-$B$11*(((-LN(1-$B$10*($B$8/$B$12-$B$14*COS(RADIANS(E58+$B$15)))/($B$9*COS(RADIANS(E58+$B$15))))/$B$10)-((1-EXP(-$B$10*(-LN(1-$B$10*($B$8/$B$12-$B$14*COS(RADIANS(E58+$B$15)))/($B$9*COS(RADIANS(E58+$B$15))))/$B$10)))/$B$10))/$B$10)</x:f>
        <x:v>2211.9980000829646</x:v>
      </x:c>
      <x:c r="H58" s="74"/>
      <x:c r="I58" s="74"/>
      <x:c r="J58" s="74"/>
      <x:c r="K58" s="74"/>
      <x:c r="L58" s="74"/>
      <x:c r="M58" s="74"/>
    </x:row>
    <x:row r="59">
      <x:c r="A59" s="35" t="n">
        <x:v>37</x:v>
      </x:c>
      <x:c r="B59" s="74" t="n">
        <x:f>IF(F58&lt;G58,D58,B58)</x:f>
        <x:v>84.22419442886321</x:v>
      </x:c>
      <x:c r="C59" s="74" t="n">
        <x:f>IF(F58&lt;G58,C58,E58)</x:f>
        <x:v>84.2242729469072</x:v>
      </x:c>
      <x:c r="D59" s="74" t="n">
        <x:f>B59+(C59-B59)/3</x:f>
        <x:v>84.22422060154454</x:v>
      </x:c>
      <x:c r="E59" s="74" t="n">
        <x:f>C59-(C59-B59)/3</x:f>
        <x:v>84.22424677422588</x:v>
      </x:c>
      <x:c r="F59" s="74" t="n">
        <x:f>$B$13+$B$14*SIN(RADIANS(D59+$B$15))+$B$9*SIN(RADIANS(D59+$B$15))*((1-EXP(-$B$10*(-LN(1-$B$10*($B$8/$B$12-$B$14*COS(RADIANS(D59+$B$15)))/($B$9*COS(RADIANS(D59+$B$15))))/$B$10)))/$B$10)-$B$11*(((-LN(1-$B$10*($B$8/$B$12-$B$14*COS(RADIANS(D59+$B$15)))/($B$9*COS(RADIANS(D59+$B$15))))/$B$10)-((1-EXP(-$B$10*(-LN(1-$B$10*($B$8/$B$12-$B$14*COS(RADIANS(D59+$B$15)))/($B$9*COS(RADIANS(D59+$B$15))))/$B$10)))/$B$10))/$B$10)</x:f>
        <x:v>2211.9980001424483</x:v>
      </x:c>
      <x:c r="G59" s="74" t="n">
        <x:f>$B$13+$B$14*SIN(RADIANS(E59+$B$15))+$B$9*SIN(RADIANS(E59+$B$15))*((1-EXP(-$B$10*(-LN(1-$B$10*($B$8/$B$12-$B$14*COS(RADIANS(E59+$B$15)))/($B$9*COS(RADIANS(E59+$B$15))))/$B$10)))/$B$10)-$B$11*(((-LN(1-$B$10*($B$8/$B$12-$B$14*COS(RADIANS(E59+$B$15)))/($B$9*COS(RADIANS(E59+$B$15))))/$B$10)-((1-EXP(-$B$10*(-LN(1-$B$10*($B$8/$B$12-$B$14*COS(RADIANS(E59+$B$15)))/($B$9*COS(RADIANS(E59+$B$15))))/$B$10)))/$B$10))/$B$10)</x:f>
        <x:v>2211.997999931199</x:v>
      </x:c>
      <x:c r="H59" s="74"/>
      <x:c r="I59" s="74"/>
      <x:c r="J59" s="74"/>
      <x:c r="K59" s="74"/>
      <x:c r="L59" s="74"/>
      <x:c r="M59" s="74"/>
    </x:row>
    <x:row r="60">
      <x:c r="A60" s="35" t="n">
        <x:v>38</x:v>
      </x:c>
      <x:c r="B60" s="74" t="n">
        <x:f>IF(F59&lt;G59,D59,B59)</x:f>
        <x:v>84.22419442886321</x:v>
      </x:c>
      <x:c r="C60" s="74" t="n">
        <x:f>IF(F59&lt;G59,C59,E59)</x:f>
        <x:v>84.22424677422588</x:v>
      </x:c>
      <x:c r="D60" s="74" t="n">
        <x:f>B60+(C60-B60)/3</x:f>
        <x:v>84.22421187731743</x:v>
      </x:c>
      <x:c r="E60" s="74" t="n">
        <x:f>C60-(C60-B60)/3</x:f>
        <x:v>84.22422932577166</x:v>
      </x:c>
      <x:c r="F60" s="74" t="n">
        <x:f>$B$13+$B$14*SIN(RADIANS(D60+$B$15))+$B$9*SIN(RADIANS(D60+$B$15))*((1-EXP(-$B$10*(-LN(1-$B$10*($B$8/$B$12-$B$14*COS(RADIANS(D60+$B$15)))/($B$9*COS(RADIANS(D60+$B$15))))/$B$10)))/$B$10)-$B$11*(((-LN(1-$B$10*($B$8/$B$12-$B$14*COS(RADIANS(D60+$B$15)))/($B$9*COS(RADIANS(D60+$B$15))))/$B$10)-((1-EXP(-$B$10*(-LN(1-$B$10*($B$8/$B$12-$B$14*COS(RADIANS(D60+$B$15)))/($B$9*COS(RADIANS(D60+$B$15))))/$B$10)))/$B$10))/$B$10)</x:f>
        <x:v>2211.9980001308354</x:v>
      </x:c>
      <x:c r="G60" s="74" t="n">
        <x:f>$B$13+$B$14*SIN(RADIANS(E60+$B$15))+$B$9*SIN(RADIANS(E60+$B$15))*((1-EXP(-$B$10*(-LN(1-$B$10*($B$8/$B$12-$B$14*COS(RADIANS(E60+$B$15)))/($B$9*COS(RADIANS(E60+$B$15))))/$B$10)))/$B$10)-$B$11*(((-LN(1-$B$10*($B$8/$B$12-$B$14*COS(RADIANS(E60+$B$15)))/($B$9*COS(RADIANS(E60+$B$15))))/$B$10)-((1-EXP(-$B$10*(-LN(1-$B$10*($B$8/$B$12-$B$14*COS(RADIANS(E60+$B$15)))/($B$9*COS(RADIANS(E60+$B$15))))/$B$10)))/$B$10))/$B$10)</x:f>
        <x:v>2211.9980001130466</x:v>
      </x:c>
      <x:c r="H60" s="74"/>
      <x:c r="I60" s="74"/>
      <x:c r="J60" s="74"/>
      <x:c r="K60" s="74"/>
      <x:c r="L60" s="74"/>
      <x:c r="M60" s="74"/>
    </x:row>
    <x:row r="61">
      <x:c r="A61" s="35" t="n">
        <x:v>39</x:v>
      </x:c>
      <x:c r="B61" s="74" t="n">
        <x:f>IF(F60&lt;G60,D60,B60)</x:f>
        <x:v>84.22419442886321</x:v>
      </x:c>
      <x:c r="C61" s="74" t="n">
        <x:f>IF(F60&lt;G60,C60,E60)</x:f>
        <x:v>84.22422932577166</x:v>
      </x:c>
      <x:c r="D61" s="74" t="n">
        <x:f>B61+(C61-B61)/3</x:f>
        <x:v>84.22420606116603</x:v>
      </x:c>
      <x:c r="E61" s="74" t="n">
        <x:f>C61-(C61-B61)/3</x:f>
        <x:v>84.22421769346884</x:v>
      </x:c>
      <x:c r="F61" s="74" t="n">
        <x:f>$B$13+$B$14*SIN(RADIANS(D61+$B$15))+$B$9*SIN(RADIANS(D61+$B$15))*((1-EXP(-$B$10*(-LN(1-$B$10*($B$8/$B$12-$B$14*COS(RADIANS(D61+$B$15)))/($B$9*COS(RADIANS(D61+$B$15))))/$B$10)))/$B$10)-$B$11*(((-LN(1-$B$10*($B$8/$B$12-$B$14*COS(RADIANS(D61+$B$15)))/($B$9*COS(RADIANS(D61+$B$15))))/$B$10)-((1-EXP(-$B$10*(-LN(1-$B$10*($B$8/$B$12-$B$14*COS(RADIANS(D61+$B$15)))/($B$9*COS(RADIANS(D61+$B$15))))/$B$10)))/$B$10))/$B$10)</x:f>
        <x:v>2211.9980001003087</x:v>
      </x:c>
      <x:c r="G61" s="74" t="n">
        <x:f>$B$13+$B$14*SIN(RADIANS(E61+$B$15))+$B$9*SIN(RADIANS(E61+$B$15))*((1-EXP(-$B$10*(-LN(1-$B$10*($B$8/$B$12-$B$14*COS(RADIANS(E61+$B$15)))/($B$9*COS(RADIANS(E61+$B$15))))/$B$10)))/$B$10)-$B$11*(((-LN(1-$B$10*($B$8/$B$12-$B$14*COS(RADIANS(E61+$B$15)))/($B$9*COS(RADIANS(E61+$B$15))))/$B$10)-((1-EXP(-$B$10*(-LN(1-$B$10*($B$8/$B$12-$B$14*COS(RADIANS(E61+$B$15)))/($B$9*COS(RADIANS(E61+$B$15))))/$B$10)))/$B$10))/$B$10)</x:f>
        <x:v>2211.998000143133</x:v>
      </x:c>
      <x:c r="H61" s="74"/>
      <x:c r="I61" s="74"/>
      <x:c r="J61" s="74"/>
      <x:c r="K61" s="74"/>
      <x:c r="L61" s="74"/>
      <x:c r="M61" s="74"/>
    </x:row>
    <x:row r="62">
      <x:c r="A62" s="35" t="n">
        <x:v>40</x:v>
      </x:c>
      <x:c r="B62" s="74" t="n">
        <x:f>IF(F61&lt;G61,D61,B61)</x:f>
        <x:v>84.22420606116603</x:v>
      </x:c>
      <x:c r="C62" s="74" t="n">
        <x:f>IF(F61&lt;G61,C61,E61)</x:f>
        <x:v>84.22422932577166</x:v>
      </x:c>
      <x:c r="D62" s="74" t="n">
        <x:f>B62+(C62-B62)/3</x:f>
        <x:v>84.22421381603458</x:v>
      </x:c>
      <x:c r="E62" s="74" t="n">
        <x:f>C62-(C62-B62)/3</x:f>
        <x:v>84.22422157090311</x:v>
      </x:c>
      <x:c r="F62" s="74" t="n">
        <x:f>$B$13+$B$14*SIN(RADIANS(D62+$B$15))+$B$9*SIN(RADIANS(D62+$B$15))*((1-EXP(-$B$10*(-LN(1-$B$10*($B$8/$B$12-$B$14*COS(RADIANS(D62+$B$15)))/($B$9*COS(RADIANS(D62+$B$15))))/$B$10)))/$B$10)-$B$11*(((-LN(1-$B$10*($B$8/$B$12-$B$14*COS(RADIANS(D62+$B$15)))/($B$9*COS(RADIANS(D62+$B$15))))/$B$10)-((1-EXP(-$B$10*(-LN(1-$B$10*($B$8/$B$12-$B$14*COS(RADIANS(D62+$B$15)))/($B$9*COS(RADIANS(D62+$B$15))))/$B$10)))/$B$10))/$B$10)</x:f>
        <x:v>2211.9980001369595</x:v>
      </x:c>
      <x:c r="G62" s="74" t="n">
        <x:f>$B$13+$B$14*SIN(RADIANS(E62+$B$15))+$B$9*SIN(RADIANS(E62+$B$15))*((1-EXP(-$B$10*(-LN(1-$B$10*($B$8/$B$12-$B$14*COS(RADIANS(E62+$B$15)))/($B$9*COS(RADIANS(E62+$B$15))))/$B$10)))/$B$10)-$B$11*(((-LN(1-$B$10*($B$8/$B$12-$B$14*COS(RADIANS(E62+$B$15)))/($B$9*COS(RADIANS(E62+$B$15))))/$B$10)-((1-EXP(-$B$10*(-LN(1-$B$10*($B$8/$B$12-$B$14*COS(RADIANS(E62+$B$15)))/($B$9*COS(RADIANS(E62+$B$15))))/$B$10)))/$B$10))/$B$10)</x:f>
        <x:v>2211.998000141206</x:v>
      </x:c>
      <x:c r="H62" s="74"/>
      <x:c r="I62" s="74"/>
      <x:c r="J62" s="74"/>
      <x:c r="K62" s="74"/>
      <x:c r="L62" s="74"/>
      <x:c r="M62" s="74"/>
    </x:row>
    <x:row r="63">
      <x:c r="A63" s="35" t="n">
        <x:v>41</x:v>
      </x:c>
      <x:c r="B63" s="74" t="n">
        <x:f>IF(F62&lt;G62,D62,B62)</x:f>
        <x:v>84.22421381603458</x:v>
      </x:c>
      <x:c r="C63" s="74" t="n">
        <x:f>IF(F62&lt;G62,C62,E62)</x:f>
        <x:v>84.22422932577166</x:v>
      </x:c>
      <x:c r="D63" s="74" t="n">
        <x:f>B63+(C63-B63)/3</x:f>
        <x:v>84.22421898594693</x:v>
      </x:c>
      <x:c r="E63" s="74" t="n">
        <x:f>C63-(C63-B63)/3</x:f>
        <x:v>84.2242241558593</x:v>
      </x:c>
      <x:c r="F63" s="74" t="n">
        <x:f>$B$13+$B$14*SIN(RADIANS(D63+$B$15))+$B$9*SIN(RADIANS(D63+$B$15))*((1-EXP(-$B$10*(-LN(1-$B$10*($B$8/$B$12-$B$14*COS(RADIANS(D63+$B$15)))/($B$9*COS(RADIANS(D63+$B$15))))/$B$10)))/$B$10)-$B$11*(((-LN(1-$B$10*($B$8/$B$12-$B$14*COS(RADIANS(D63+$B$15)))/($B$9*COS(RADIANS(D63+$B$15))))/$B$10)-((1-EXP(-$B$10*(-LN(1-$B$10*($B$8/$B$12-$B$14*COS(RADIANS(D63+$B$15)))/($B$9*COS(RADIANS(D63+$B$15))))/$B$10)))/$B$10))/$B$10)</x:f>
        <x:v>2211.998000143391</x:v>
      </x:c>
      <x:c r="G63" s="74" t="n">
        <x:f>$B$13+$B$14*SIN(RADIANS(E63+$B$15))+$B$9*SIN(RADIANS(E63+$B$15))*((1-EXP(-$B$10*(-LN(1-$B$10*($B$8/$B$12-$B$14*COS(RADIANS(E63+$B$15)))/($B$9*COS(RADIANS(E63+$B$15))))/$B$10)))/$B$10)-$B$11*(((-LN(1-$B$10*($B$8/$B$12-$B$14*COS(RADIANS(E63+$B$15)))/($B$9*COS(RADIANS(E63+$B$15))))/$B$10)-((1-EXP(-$B$10*(-LN(1-$B$10*($B$8/$B$12-$B$14*COS(RADIANS(E63+$B$15)))/($B$9*COS(RADIANS(E63+$B$15))))/$B$10)))/$B$10))/$B$10)</x:f>
        <x:v>2211.99800013542</x:v>
      </x:c>
      <x:c r="H63" s="74"/>
      <x:c r="I63" s="74"/>
      <x:c r="J63" s="74"/>
      <x:c r="K63" s="74"/>
      <x:c r="L63" s="74"/>
      <x:c r="M63" s="74"/>
    </x:row>
    <x:row r="64">
      <x:c r="A64" s="35" t="n">
        <x:v>42</x:v>
      </x:c>
      <x:c r="B64" s="74" t="n">
        <x:f>IF(F63&lt;G63,D63,B63)</x:f>
        <x:v>84.22421381603458</x:v>
      </x:c>
      <x:c r="C64" s="74" t="n">
        <x:f>IF(F63&lt;G63,C63,E63)</x:f>
        <x:v>84.2242241558593</x:v>
      </x:c>
      <x:c r="D64" s="74" t="n">
        <x:f>B64+(C64-B64)/3</x:f>
        <x:v>84.22421726264282</x:v>
      </x:c>
      <x:c r="E64" s="74" t="n">
        <x:f>C64-(C64-B64)/3</x:f>
        <x:v>84.22422070925106</x:v>
      </x:c>
      <x:c r="F64" s="74" t="n">
        <x:f>$B$13+$B$14*SIN(RADIANS(D64+$B$15))+$B$9*SIN(RADIANS(D64+$B$15))*((1-EXP(-$B$10*(-LN(1-$B$10*($B$8/$B$12-$B$14*COS(RADIANS(D64+$B$15)))/($B$9*COS(RADIANS(D64+$B$15))))/$B$10)))/$B$10)-$B$11*(((-LN(1-$B$10*($B$8/$B$12-$B$14*COS(RADIANS(D64+$B$15)))/($B$9*COS(RADIANS(D64+$B$15))))/$B$10)-((1-EXP(-$B$10*(-LN(1-$B$10*($B$8/$B$12-$B$14*COS(RADIANS(D64+$B$15)))/($B$9*COS(RADIANS(D64+$B$15))))/$B$10)))/$B$10))/$B$10)</x:f>
        <x:v>2211.998000142848</x:v>
      </x:c>
      <x:c r="G64" s="74" t="n">
        <x:f>$B$13+$B$14*SIN(RADIANS(E64+$B$15))+$B$9*SIN(RADIANS(E64+$B$15))*((1-EXP(-$B$10*(-LN(1-$B$10*($B$8/$B$12-$B$14*COS(RADIANS(E64+$B$15)))/($B$9*COS(RADIANS(E64+$B$15))))/$B$10)))/$B$10)-$B$11*(((-LN(1-$B$10*($B$8/$B$12-$B$14*COS(RADIANS(E64+$B$15)))/($B$9*COS(RADIANS(E64+$B$15))))/$B$10)-((1-EXP(-$B$10*(-LN(1-$B$10*($B$8/$B$12-$B$14*COS(RADIANS(E64+$B$15)))/($B$9*COS(RADIANS(E64+$B$15))))/$B$10)))/$B$10))/$B$10)</x:f>
        <x:v>2211.998000142334</x:v>
      </x:c>
      <x:c r="H64" s="74"/>
      <x:c r="I64" s="74"/>
      <x:c r="J64" s="74"/>
      <x:c r="K64" s="74"/>
      <x:c r="L64" s="74"/>
      <x:c r="M64" s="74"/>
    </x:row>
    <x:row r="65">
      <x:c r="A65" s="35" t="n">
        <x:v>43</x:v>
      </x:c>
      <x:c r="B65" s="74" t="n">
        <x:f>IF(F64&lt;G64,D64,B64)</x:f>
        <x:v>84.22421381603458</x:v>
      </x:c>
      <x:c r="C65" s="74" t="n">
        <x:f>IF(F64&lt;G64,C64,E64)</x:f>
        <x:v>84.22422070925106</x:v>
      </x:c>
      <x:c r="D65" s="74" t="n">
        <x:f>B65+(C65-B65)/3</x:f>
        <x:v>84.22421611377341</x:v>
      </x:c>
      <x:c r="E65" s="74" t="n">
        <x:f>C65-(C65-B65)/3</x:f>
        <x:v>84.22421841151223</x:v>
      </x:c>
      <x:c r="F65" s="74" t="n">
        <x:f>$B$13+$B$14*SIN(RADIANS(D65+$B$15))+$B$9*SIN(RADIANS(D65+$B$15))*((1-EXP(-$B$10*(-LN(1-$B$10*($B$8/$B$12-$B$14*COS(RADIANS(D65+$B$15)))/($B$9*COS(RADIANS(D65+$B$15))))/$B$10)))/$B$10)-$B$11*(((-LN(1-$B$10*($B$8/$B$12-$B$14*COS(RADIANS(D65+$B$15)))/($B$9*COS(RADIANS(D65+$B$15))))/$B$10)-((1-EXP(-$B$10*(-LN(1-$B$10*($B$8/$B$12-$B$14*COS(RADIANS(D65+$B$15)))/($B$9*COS(RADIANS(D65+$B$15))))/$B$10)))/$B$10))/$B$10)</x:f>
        <x:v>2211.998000141596</x:v>
      </x:c>
      <x:c r="G65" s="74" t="n">
        <x:f>$B$13+$B$14*SIN(RADIANS(E65+$B$15))+$B$9*SIN(RADIANS(E65+$B$15))*((1-EXP(-$B$10*(-LN(1-$B$10*($B$8/$B$12-$B$14*COS(RADIANS(E65+$B$15)))/($B$9*COS(RADIANS(E65+$B$15))))/$B$10)))/$B$10)-$B$11*(((-LN(1-$B$10*($B$8/$B$12-$B$14*COS(RADIANS(E65+$B$15)))/($B$9*COS(RADIANS(E65+$B$15))))/$B$10)-((1-EXP(-$B$10*(-LN(1-$B$10*($B$8/$B$12-$B$14*COS(RADIANS(E65+$B$15)))/($B$9*COS(RADIANS(E65+$B$15))))/$B$10)))/$B$10))/$B$10)</x:f>
        <x:v>2211.9980001433887</x:v>
      </x:c>
      <x:c r="H65" s="74"/>
      <x:c r="I65" s="74"/>
      <x:c r="J65" s="74"/>
      <x:c r="K65" s="74"/>
      <x:c r="L65" s="74"/>
      <x:c r="M65" s="74"/>
    </x:row>
    <x:row r="66">
      <x:c r="A66" s="35" t="n">
        <x:v>44</x:v>
      </x:c>
      <x:c r="B66" s="74" t="n">
        <x:f>IF(F65&lt;G65,D65,B65)</x:f>
        <x:v>84.22421611377341</x:v>
      </x:c>
      <x:c r="C66" s="74" t="n">
        <x:f>IF(F65&lt;G65,C65,E65)</x:f>
        <x:v>84.22422070925106</x:v>
      </x:c>
      <x:c r="D66" s="74" t="n">
        <x:f>B66+(C66-B66)/3</x:f>
        <x:v>84.2242176455993</x:v>
      </x:c>
      <x:c r="E66" s="74" t="n">
        <x:f>C66-(C66-B66)/3</x:f>
        <x:v>84.22421917742517</x:v>
      </x:c>
      <x:c r="F66" s="74" t="n">
        <x:f>$B$13+$B$14*SIN(RADIANS(D66+$B$15))+$B$9*SIN(RADIANS(D66+$B$15))*((1-EXP(-$B$10*(-LN(1-$B$10*($B$8/$B$12-$B$14*COS(RADIANS(D66+$B$15)))/($B$9*COS(RADIANS(D66+$B$15))))/$B$10)))/$B$10)-$B$11*(((-LN(1-$B$10*($B$8/$B$12-$B$14*COS(RADIANS(D66+$B$15)))/($B$9*COS(RADIANS(D66+$B$15))))/$B$10)-((1-EXP(-$B$10*(-LN(1-$B$10*($B$8/$B$12-$B$14*COS(RADIANS(D66+$B$15)))/($B$9*COS(RADIANS(D66+$B$15))))/$B$10)))/$B$10))/$B$10)</x:f>
        <x:v>2211.998000143107</x:v>
      </x:c>
      <x:c r="G66" s="74" t="n">
        <x:f>$B$13+$B$14*SIN(RADIANS(E66+$B$15))+$B$9*SIN(RADIANS(E66+$B$15))*((1-EXP(-$B$10*(-LN(1-$B$10*($B$8/$B$12-$B$14*COS(RADIANS(E66+$B$15)))/($B$9*COS(RADIANS(E66+$B$15))))/$B$10)))/$B$10)-$B$11*(((-LN(1-$B$10*($B$8/$B$12-$B$14*COS(RADIANS(E66+$B$15)))/($B$9*COS(RADIANS(E66+$B$15))))/$B$10)-((1-EXP(-$B$10*(-LN(1-$B$10*($B$8/$B$12-$B$14*COS(RADIANS(E66+$B$15)))/($B$9*COS(RADIANS(E66+$B$15))))/$B$10)))/$B$10))/$B$10)</x:f>
        <x:v>2211.998000143353</x:v>
      </x:c>
      <x:c r="H66" s="74"/>
      <x:c r="I66" s="74"/>
      <x:c r="J66" s="74"/>
      <x:c r="K66" s="74"/>
      <x:c r="L66" s="74"/>
      <x:c r="M66" s="74"/>
    </x:row>
    <x:row r="67">
      <x:c r="A67" s="35" t="n">
        <x:v>45</x:v>
      </x:c>
      <x:c r="B67" s="74" t="n">
        <x:f>IF(F66&lt;G66,D66,B66)</x:f>
        <x:v>84.2242176455993</x:v>
      </x:c>
      <x:c r="C67" s="74" t="n">
        <x:f>IF(F66&lt;G66,C66,E66)</x:f>
        <x:v>84.22422070925106</x:v>
      </x:c>
      <x:c r="D67" s="74" t="n">
        <x:f>B67+(C67-B67)/3</x:f>
        <x:v>84.22421866681655</x:v>
      </x:c>
      <x:c r="E67" s="74" t="n">
        <x:f>C67-(C67-B67)/3</x:f>
        <x:v>84.2242196880338</x:v>
      </x:c>
      <x:c r="F67" s="74" t="n">
        <x:f>$B$13+$B$14*SIN(RADIANS(D67+$B$15))+$B$9*SIN(RADIANS(D67+$B$15))*((1-EXP(-$B$10*(-LN(1-$B$10*($B$8/$B$12-$B$14*COS(RADIANS(D67+$B$15)))/($B$9*COS(RADIANS(D67+$B$15))))/$B$10)))/$B$10)-$B$11*(((-LN(1-$B$10*($B$8/$B$12-$B$14*COS(RADIANS(D67+$B$15)))/($B$9*COS(RADIANS(D67+$B$15))))/$B$10)-((1-EXP(-$B$10*(-LN(1-$B$10*($B$8/$B$12-$B$14*COS(RADIANS(D67+$B$15)))/($B$9*COS(RADIANS(D67+$B$15))))/$B$10)))/$B$10))/$B$10)</x:f>
        <x:v>2211.9980001434114</x:v>
      </x:c>
      <x:c r="G67" s="74" t="n">
        <x:f>$B$13+$B$14*SIN(RADIANS(E67+$B$15))+$B$9*SIN(RADIANS(E67+$B$15))*((1-EXP(-$B$10*(-LN(1-$B$10*($B$8/$B$12-$B$14*COS(RADIANS(E67+$B$15)))/($B$9*COS(RADIANS(E67+$B$15))))/$B$10)))/$B$10)-$B$11*(((-LN(1-$B$10*($B$8/$B$12-$B$14*COS(RADIANS(E67+$B$15)))/($B$9*COS(RADIANS(E67+$B$15))))/$B$10)-((1-EXP(-$B$10*(-LN(1-$B$10*($B$8/$B$12-$B$14*COS(RADIANS(E67+$B$15)))/($B$9*COS(RADIANS(E67+$B$15))))/$B$10)))/$B$10))/$B$10)</x:f>
        <x:v>2211.998000143154</x:v>
      </x:c>
      <x:c r="H67" s="74"/>
      <x:c r="I67" s="74"/>
      <x:c r="J67" s="74"/>
      <x:c r="K67" s="74"/>
      <x:c r="L67" s="74"/>
      <x:c r="M67" s="74"/>
    </x:row>
    <x:row r="68">
      <x:c r="A68" s="35" t="n">
        <x:v>46</x:v>
      </x:c>
      <x:c r="B68" s="74" t="n">
        <x:f>IF(F67&lt;G67,D67,B67)</x:f>
        <x:v>84.2242176455993</x:v>
      </x:c>
      <x:c r="C68" s="74" t="n">
        <x:f>IF(F67&lt;G67,C67,E67)</x:f>
        <x:v>84.2242196880338</x:v>
      </x:c>
      <x:c r="D68" s="74" t="n">
        <x:f>B68+(C68-B68)/3</x:f>
        <x:v>84.22421832641079</x:v>
      </x:c>
      <x:c r="E68" s="74" t="n">
        <x:f>C68-(C68-B68)/3</x:f>
        <x:v>84.2242190072223</x:v>
      </x:c>
      <x:c r="F68" s="74" t="n">
        <x:f>$B$13+$B$14*SIN(RADIANS(D68+$B$15))+$B$9*SIN(RADIANS(D68+$B$15))*((1-EXP(-$B$10*(-LN(1-$B$10*($B$8/$B$12-$B$14*COS(RADIANS(D68+$B$15)))/($B$9*COS(RADIANS(D68+$B$15))))/$B$10)))/$B$10)-$B$11*(((-LN(1-$B$10*($B$8/$B$12-$B$14*COS(RADIANS(D68+$B$15)))/($B$9*COS(RADIANS(D68+$B$15))))/$B$10)-((1-EXP(-$B$10*(-LN(1-$B$10*($B$8/$B$12-$B$14*COS(RADIANS(D68+$B$15)))/($B$9*COS(RADIANS(D68+$B$15))))/$B$10)))/$B$10))/$B$10)</x:f>
        <x:v>2211.998000143373</x:v>
      </x:c>
      <x:c r="G68" s="74" t="n">
        <x:f>$B$13+$B$14*SIN(RADIANS(E68+$B$15))+$B$9*SIN(RADIANS(E68+$B$15))*((1-EXP(-$B$10*(-LN(1-$B$10*($B$8/$B$12-$B$14*COS(RADIANS(E68+$B$15)))/($B$9*COS(RADIANS(E68+$B$15))))/$B$10)))/$B$10)-$B$11*(((-LN(1-$B$10*($B$8/$B$12-$B$14*COS(RADIANS(E68+$B$15)))/($B$9*COS(RADIANS(E68+$B$15))))/$B$10)-((1-EXP(-$B$10*(-LN(1-$B$10*($B$8/$B$12-$B$14*COS(RADIANS(E68+$B$15)))/($B$9*COS(RADIANS(E68+$B$15))))/$B$10)))/$B$10))/$B$10)</x:f>
        <x:v>2211.9980001433883</x:v>
      </x:c>
      <x:c r="H68" s="74"/>
      <x:c r="I68" s="74"/>
      <x:c r="J68" s="74"/>
      <x:c r="K68" s="74"/>
      <x:c r="L68" s="74"/>
      <x:c r="M68" s="74"/>
    </x:row>
    <x:row r="69">
      <x:c r="A69" s="35" t="n">
        <x:v>47</x:v>
      </x:c>
      <x:c r="B69" s="74" t="n">
        <x:f>IF(F68&lt;G68,D68,B68)</x:f>
        <x:v>84.22421832641079</x:v>
      </x:c>
      <x:c r="C69" s="74" t="n">
        <x:f>IF(F68&lt;G68,C68,E68)</x:f>
        <x:v>84.2242196880338</x:v>
      </x:c>
      <x:c r="D69" s="74" t="n">
        <x:f>B69+(C69-B69)/3</x:f>
        <x:v>84.22421878028513</x:v>
      </x:c>
      <x:c r="E69" s="74" t="n">
        <x:f>C69-(C69-B69)/3</x:f>
        <x:v>84.22421923415946</x:v>
      </x:c>
      <x:c r="F69" s="74" t="n">
        <x:f>$B$13+$B$14*SIN(RADIANS(D69+$B$15))+$B$9*SIN(RADIANS(D69+$B$15))*((1-EXP(-$B$10*(-LN(1-$B$10*($B$8/$B$12-$B$14*COS(RADIANS(D69+$B$15)))/($B$9*COS(RADIANS(D69+$B$15))))/$B$10)))/$B$10)-$B$11*(((-LN(1-$B$10*($B$8/$B$12-$B$14*COS(RADIANS(D69+$B$15)))/($B$9*COS(RADIANS(D69+$B$15))))/$B$10)-((1-EXP(-$B$10*(-LN(1-$B$10*($B$8/$B$12-$B$14*COS(RADIANS(D69+$B$15)))/($B$9*COS(RADIANS(D69+$B$15))))/$B$10)))/$B$10))/$B$10)</x:f>
        <x:v>2211.998000143411</x:v>
      </x:c>
      <x:c r="G69" s="74" t="n">
        <x:f>$B$13+$B$14*SIN(RADIANS(E69+$B$15))+$B$9*SIN(RADIANS(E69+$B$15))*((1-EXP(-$B$10*(-LN(1-$B$10*($B$8/$B$12-$B$14*COS(RADIANS(E69+$B$15)))/($B$9*COS(RADIANS(E69+$B$15))))/$B$10)))/$B$10)-$B$11*(((-LN(1-$B$10*($B$8/$B$12-$B$14*COS(RADIANS(E69+$B$15)))/($B$9*COS(RADIANS(E69+$B$15))))/$B$10)-((1-EXP(-$B$10*(-LN(1-$B$10*($B$8/$B$12-$B$14*COS(RADIANS(E69+$B$15)))/($B$9*COS(RADIANS(E69+$B$15))))/$B$10)))/$B$10))/$B$10)</x:f>
        <x:v>2211.998000143338</x:v>
      </x:c>
      <x:c r="H69" s="74"/>
      <x:c r="I69" s="74"/>
      <x:c r="J69" s="74"/>
      <x:c r="K69" s="74"/>
      <x:c r="L69" s="74"/>
      <x:c r="M69" s="74"/>
    </x:row>
    <x:row r="70">
      <x:c r="A70" s="35" t="n">
        <x:v>48</x:v>
      </x:c>
      <x:c r="B70" s="74" t="n">
        <x:f>IF(F69&lt;G69,D69,B69)</x:f>
        <x:v>84.22421832641079</x:v>
      </x:c>
      <x:c r="C70" s="74" t="n">
        <x:f>IF(F69&lt;G69,C69,E69)</x:f>
        <x:v>84.22421923415946</x:v>
      </x:c>
      <x:c r="D70" s="74" t="n">
        <x:f>B70+(C70-B70)/3</x:f>
        <x:v>84.22421862899368</x:v>
      </x:c>
      <x:c r="E70" s="74" t="n">
        <x:f>C70-(C70-B70)/3</x:f>
        <x:v>84.22421893157657</x:v>
      </x:c>
      <x:c r="F70" s="74" t="n">
        <x:f>$B$13+$B$14*SIN(RADIANS(D70+$B$15))+$B$9*SIN(RADIANS(D70+$B$15))*((1-EXP(-$B$10*(-LN(1-$B$10*($B$8/$B$12-$B$14*COS(RADIANS(D70+$B$15)))/($B$9*COS(RADIANS(D70+$B$15))))/$B$10)))/$B$10)-$B$11*(((-LN(1-$B$10*($B$8/$B$12-$B$14*COS(RADIANS(D70+$B$15)))/($B$9*COS(RADIANS(D70+$B$15))))/$B$10)-((1-EXP(-$B$10*(-LN(1-$B$10*($B$8/$B$12-$B$14*COS(RADIANS(D70+$B$15)))/($B$9*COS(RADIANS(D70+$B$15))))/$B$10)))/$B$10))/$B$10)</x:f>
        <x:v>2211.9980001434105</x:v>
      </x:c>
      <x:c r="G70" s="74" t="n">
        <x:f>$B$13+$B$14*SIN(RADIANS(E70+$B$15))+$B$9*SIN(RADIANS(E70+$B$15))*((1-EXP(-$B$10*(-LN(1-$B$10*($B$8/$B$12-$B$14*COS(RADIANS(E70+$B$15)))/($B$9*COS(RADIANS(E70+$B$15))))/$B$10)))/$B$10)-$B$11*(((-LN(1-$B$10*($B$8/$B$12-$B$14*COS(RADIANS(E70+$B$15)))/($B$9*COS(RADIANS(E70+$B$15))))/$B$10)-((1-EXP(-$B$10*(-LN(1-$B$10*($B$8/$B$12-$B$14*COS(RADIANS(E70+$B$15)))/($B$9*COS(RADIANS(E70+$B$15))))/$B$10)))/$B$10))/$B$10)</x:f>
        <x:v>2211.9980001433987</x:v>
      </x:c>
      <x:c r="H70" s="74"/>
      <x:c r="I70" s="74"/>
      <x:c r="J70" s="74"/>
      <x:c r="K70" s="74"/>
      <x:c r="L70" s="74"/>
      <x:c r="M70" s="74"/>
    </x:row>
    <x:row r="71">
      <x:c r="A71" s="35" t="n">
        <x:v>49</x:v>
      </x:c>
      <x:c r="B71" s="74" t="n">
        <x:f>IF(F70&lt;G70,D70,B70)</x:f>
        <x:v>84.22421832641079</x:v>
      </x:c>
      <x:c r="C71" s="74" t="n">
        <x:f>IF(F70&lt;G70,C70,E70)</x:f>
        <x:v>84.22421893157657</x:v>
      </x:c>
      <x:c r="D71" s="74" t="n">
        <x:f>B71+(C71-B71)/3</x:f>
        <x:v>84.22421852813272</x:v>
      </x:c>
      <x:c r="E71" s="74" t="n">
        <x:f>C71-(C71-B71)/3</x:f>
        <x:v>84.22421872985464</x:v>
      </x:c>
      <x:c r="F71" s="74" t="n">
        <x:f>$B$13+$B$14*SIN(RADIANS(D71+$B$15))+$B$9*SIN(RADIANS(D71+$B$15))*((1-EXP(-$B$10*(-LN(1-$B$10*($B$8/$B$12-$B$14*COS(RADIANS(D71+$B$15)))/($B$9*COS(RADIANS(D71+$B$15))))/$B$10)))/$B$10)-$B$11*(((-LN(1-$B$10*($B$8/$B$12-$B$14*COS(RADIANS(D71+$B$15)))/($B$9*COS(RADIANS(D71+$B$15))))/$B$10)-((1-EXP(-$B$10*(-LN(1-$B$10*($B$8/$B$12-$B$14*COS(RADIANS(D71+$B$15)))/($B$9*COS(RADIANS(D71+$B$15))))/$B$10)))/$B$10))/$B$10)</x:f>
        <x:v>2211.9980001434037</x:v>
      </x:c>
      <x:c r="G71" s="74" t="n">
        <x:f>$B$13+$B$14*SIN(RADIANS(E71+$B$15))+$B$9*SIN(RADIANS(E71+$B$15))*((1-EXP(-$B$10*(-LN(1-$B$10*($B$8/$B$12-$B$14*COS(RADIANS(E71+$B$15)))/($B$9*COS(RADIANS(E71+$B$15))))/$B$10)))/$B$10)-$B$11*(((-LN(1-$B$10*($B$8/$B$12-$B$14*COS(RADIANS(E71+$B$15)))/($B$9*COS(RADIANS(E71+$B$15))))/$B$10)-((1-EXP(-$B$10*(-LN(1-$B$10*($B$8/$B$12-$B$14*COS(RADIANS(E71+$B$15)))/($B$9*COS(RADIANS(E71+$B$15))))/$B$10)))/$B$10))/$B$10)</x:f>
        <x:v>2211.9980001434124</x:v>
      </x:c>
      <x:c r="H71" s="74"/>
      <x:c r="I71" s="74"/>
      <x:c r="J71" s="74"/>
      <x:c r="K71" s="74"/>
      <x:c r="L71" s="74"/>
      <x:c r="M71" s="74"/>
    </x:row>
    <x:row r="72">
      <x:c r="A72" s="35" t="n">
        <x:v>50</x:v>
      </x:c>
      <x:c r="B72" s="74" t="n">
        <x:f>IF(F71&lt;G71,D71,B71)</x:f>
        <x:v>84.22421852813272</x:v>
      </x:c>
      <x:c r="C72" s="74" t="n">
        <x:f>IF(F71&lt;G71,C71,E71)</x:f>
        <x:v>84.22421893157657</x:v>
      </x:c>
      <x:c r="D72" s="74" t="n">
        <x:f>B72+(C72-B72)/3</x:f>
        <x:v>84.224218662614</x:v>
      </x:c>
      <x:c r="E72" s="74" t="n">
        <x:f>C72-(C72-B72)/3</x:f>
        <x:v>84.22421879709529</x:v>
      </x:c>
      <x:c r="F72" s="74" t="n">
        <x:f>$B$13+$B$14*SIN(RADIANS(D72+$B$15))+$B$9*SIN(RADIANS(D72+$B$15))*((1-EXP(-$B$10*(-LN(1-$B$10*($B$8/$B$12-$B$14*COS(RADIANS(D72+$B$15)))/($B$9*COS(RADIANS(D72+$B$15))))/$B$10)))/$B$10)-$B$11*(((-LN(1-$B$10*($B$8/$B$12-$B$14*COS(RADIANS(D72+$B$15)))/($B$9*COS(RADIANS(D72+$B$15))))/$B$10)-((1-EXP(-$B$10*(-LN(1-$B$10*($B$8/$B$12-$B$14*COS(RADIANS(D72+$B$15)))/($B$9*COS(RADIANS(D72+$B$15))))/$B$10)))/$B$10))/$B$10)</x:f>
        <x:v>2211.9980001434124</x:v>
      </x:c>
      <x:c r="G72" s="74" t="n">
        <x:f>$B$13+$B$14*SIN(RADIANS(E72+$B$15))+$B$9*SIN(RADIANS(E72+$B$15))*((1-EXP(-$B$10*(-LN(1-$B$10*($B$8/$B$12-$B$14*COS(RADIANS(E72+$B$15)))/($B$9*COS(RADIANS(E72+$B$15))))/$B$10)))/$B$10)-$B$11*(((-LN(1-$B$10*($B$8/$B$12-$B$14*COS(RADIANS(E72+$B$15)))/($B$9*COS(RADIANS(E72+$B$15))))/$B$10)-((1-EXP(-$B$10*(-LN(1-$B$10*($B$8/$B$12-$B$14*COS(RADIANS(E72+$B$15)))/($B$9*COS(RADIANS(E72+$B$15))))/$B$10)))/$B$10))/$B$10)</x:f>
        <x:v>2211.9980001434096</x:v>
      </x:c>
      <x:c r="H72" s="74"/>
      <x:c r="I72" s="74"/>
      <x:c r="J72" s="74"/>
      <x:c r="K72" s="74"/>
      <x:c r="L72" s="74"/>
      <x:c r="M72" s="74"/>
    </x:row>
    <x:row r="73">
      <x:c r="A73" s="35"/>
      <x:c r="B73" s="74"/>
      <x:c r="C73" s="74"/>
      <x:c r="D73" s="74"/>
      <x:c r="E73" s="74"/>
      <x:c r="F73" s="74"/>
      <x:c r="G73" s="74"/>
      <x:c r="H73" s="74"/>
      <x:c r="I73" s="74"/>
      <x:c r="J73" s="74"/>
      <x:c r="K73" s="74"/>
      <x:c r="L73" s="74"/>
      <x:c r="M73" s="74"/>
    </x:row>
    <x:row r="74">
      <x:c r="A74" s="72" t="str">
        <x:v>Peak angle</x:v>
      </x:c>
      <x:c r="B74" s="76" t="n">
        <x:f>(B72+C72)/2</x:f>
        <x:v>84.22421872985464</x:v>
      </x:c>
      <x:c r="C74" s="74"/>
      <x:c r="D74" s="74"/>
      <x:c r="E74" s="74"/>
      <x:c r="F74" s="74"/>
      <x:c r="G74" s="74"/>
      <x:c r="H74" s="74"/>
      <x:c r="I74" s="74"/>
      <x:c r="J74" s="74"/>
      <x:c r="K74" s="74"/>
      <x:c r="L74" s="74"/>
      <x:c r="M74" s="74"/>
    </x:row>
    <x:row r="75">
      <x:c r="A75" s="72" t="str">
        <x:v>Peak height</x:v>
      </x:c>
      <x:c r="B75" s="76" t="n">
        <x:f>$B$13+$B$14*SIN(RADIANS(B74+$B$15))+$B$9*SIN(RADIANS(B74+$B$15))*((1-EXP(-$B$10*(-LN(1-$B$10*($B$8/$B$12-$B$14*COS(RADIANS(B74+$B$15)))/($B$9*COS(RADIANS(B74+$B$15))))/$B$10)))/$B$10)-$B$11*(((-LN(1-$B$10*($B$8/$B$12-$B$14*COS(RADIANS(B74+$B$15)))/($B$9*COS(RADIANS(B74+$B$15))))/$B$10)-((1-EXP(-$B$10*(-LN(1-$B$10*($B$8/$B$12-$B$14*COS(RADIANS(B74+$B$15)))/($B$9*COS(RADIANS(B74+$B$15))))/$B$10)))/$B$10))/$B$10)</x:f>
        <x:v>2211.9980001434124</x:v>
      </x:c>
      <x:c r="C75" s="74"/>
      <x:c r="D75" s="74"/>
      <x:c r="E75" s="74"/>
      <x:c r="F75" s="74"/>
      <x:c r="G75" s="74"/>
      <x:c r="H75" s="74"/>
      <x:c r="I75" s="74"/>
      <x:c r="J75" s="74"/>
      <x:c r="K75" s="74"/>
      <x:c r="L75" s="74"/>
      <x:c r="M75" s="74"/>
    </x:row>
    <x:row r="76">
      <x:c r="A76" s="35"/>
      <x:c r="B76" s="74"/>
      <x:c r="C76" s="74"/>
      <x:c r="D76" s="74"/>
      <x:c r="E76" s="74"/>
      <x:c r="F76" s="74"/>
      <x:c r="G76" s="74"/>
      <x:c r="H76" s="74"/>
      <x:c r="I76" s="74"/>
      <x:c r="J76" s="74"/>
      <x:c r="K76" s="74"/>
      <x:c r="L76" s="74"/>
      <x:c r="M76" s="74"/>
    </x:row>
    <x:row r="77">
      <x:c r="A77" s="35"/>
      <x:c r="B77" s="74"/>
      <x:c r="C77" s="74"/>
      <x:c r="D77" s="74"/>
      <x:c r="E77" s="74"/>
      <x:c r="F77" s="74"/>
      <x:c r="G77" s="74"/>
      <x:c r="H77" s="74"/>
      <x:c r="I77" s="74"/>
      <x:c r="J77" s="74"/>
      <x:c r="K77" s="74"/>
      <x:c r="L77" s="74"/>
      <x:c r="M77" s="74"/>
    </x:row>
    <x:row r="78">
      <x:c r="A78" s="70" t="str">
        <x:v>Ground iter.</x:v>
      </x:c>
      <x:c r="B78" s="75" t="str">
        <x:v>Low</x:v>
      </x:c>
      <x:c r="C78" s="75" t="str">
        <x:v>High</x:v>
      </x:c>
      <x:c r="D78" s="75" t="str">
        <x:v>Mid</x:v>
      </x:c>
      <x:c r="E78" s="75" t="str">
        <x:v>Height</x:v>
      </x:c>
      <x:c r="F78" s="75" t="str">
        <x:v>Residual</x:v>
      </x:c>
      <x:c r="G78" s="74"/>
      <x:c r="H78" s="75" t="str">
        <x:v>Airburst iter.</x:v>
      </x:c>
      <x:c r="I78" s="75" t="str">
        <x:v>Low</x:v>
      </x:c>
      <x:c r="J78" s="75" t="str">
        <x:v>High</x:v>
      </x:c>
      <x:c r="K78" s="75" t="str">
        <x:v>Mid</x:v>
      </x:c>
      <x:c r="L78" s="75" t="str">
        <x:v>Height</x:v>
      </x:c>
      <x:c r="M78" s="75" t="str">
        <x:v>Residual</x:v>
      </x:c>
    </x:row>
    <x:row r="79">
      <x:c r="A79" s="35" t="n">
        <x:v>1</x:v>
      </x:c>
      <x:c r="B79" s="74" t="n">
        <x:f>$B$18</x:f>
        <x:v>-86.22815857474717</x:v>
      </x:c>
      <x:c r="C79" s="74" t="n">
        <x:f>$B$74</x:f>
        <x:v>84.22421872985464</x:v>
      </x:c>
      <x:c r="D79" s="74" t="n">
        <x:f>(B79+C79)/2</x:f>
        <x:v>-1.0019699224462641</x:v>
      </x:c>
      <x:c r="E79" s="74" t="n">
        <x:f>$B$13+$B$14*SIN(RADIANS(D79+$B$15))+$B$9*SIN(RADIANS(D79+$B$15))*((1-EXP(-$B$10*(-LN(1-$B$10*($B$8/$B$12-$B$14*COS(RADIANS(D79+$B$15)))/($B$9*COS(RADIANS(D79+$B$15))))/$B$10)))/$B$10)-$B$11*(((-LN(1-$B$10*($B$8/$B$12-$B$14*COS(RADIANS(D79+$B$15)))/($B$9*COS(RADIANS(D79+$B$15))))/$B$10)-((1-EXP(-$B$10*(-LN(1-$B$10*($B$8/$B$12-$B$14*COS(RADIANS(D79+$B$15)))/($B$9*COS(RADIANS(D79+$B$15))))/$B$10)))/$B$10))/$B$10)</x:f>
        <x:v>-3.931355390424372</x:v>
      </x:c>
      <x:c r="F79" s="74" t="n">
        <x:f>E79</x:f>
        <x:v>-3.931355390424372</x:v>
      </x:c>
      <x:c r="G79" s="74"/>
      <x:c r="H79" s="74" t="n">
        <x:v>1</x:v>
      </x:c>
      <x:c r="I79" s="74" t="n">
        <x:f>$B$18</x:f>
        <x:v>-86.22815857474717</x:v>
      </x:c>
      <x:c r="J79" s="74" t="n">
        <x:f>$B$74</x:f>
        <x:v>84.22421872985464</x:v>
      </x:c>
      <x:c r="K79" s="74" t="n">
        <x:f>(I79+J79)/2</x:f>
        <x:v>-1.0019699224462641</x:v>
      </x:c>
      <x:c r="L79" s="74" t="n">
        <x:f>$B$13+$B$14*SIN(RADIANS(K79+$B$15))+$B$9*SIN(RADIANS(K79+$B$15))*((1-EXP(-$B$10*(-LN(1-$B$10*($B$8/$B$12-$B$14*COS(RADIANS(K79+$B$15)))/($B$9*COS(RADIANS(K79+$B$15))))/$B$10)))/$B$10)-$B$11*(((-LN(1-$B$10*($B$8/$B$12-$B$14*COS(RADIANS(K79+$B$15)))/($B$9*COS(RADIANS(K79+$B$15))))/$B$10)-((1-EXP(-$B$10*(-LN(1-$B$10*($B$8/$B$12-$B$14*COS(RADIANS(K79+$B$15)))/($B$9*COS(RADIANS(K79+$B$15))))/$B$10)))/$B$10))/$B$10)</x:f>
        <x:v>-3.931355390424372</x:v>
      </x:c>
      <x:c r="M79" s="74" t="n">
        <x:f>L79-1</x:f>
        <x:v>-4.931355390424372</x:v>
      </x:c>
    </x:row>
    <x:row r="80">
      <x:c r="A80" s="35" t="n">
        <x:v>2</x:v>
      </x:c>
      <x:c r="B80" s="74" t="n">
        <x:f>IF(F79&lt;0,D79,B79)</x:f>
        <x:v>-1.0019699224462641</x:v>
      </x:c>
      <x:c r="C80" s="74" t="n">
        <x:f>IF(F79&lt;0,C79,D79)</x:f>
        <x:v>84.22421872985464</x:v>
      </x:c>
      <x:c r="D80" s="74" t="n">
        <x:f>(B80+C80)/2</x:f>
        <x:v>41.61112440370419</x:v>
      </x:c>
      <x:c r="E80" s="74" t="n">
        <x:f>$B$13+$B$14*SIN(RADIANS(D80+$B$15))+$B$9*SIN(RADIANS(D80+$B$15))*((1-EXP(-$B$10*(-LN(1-$B$10*($B$8/$B$12-$B$14*COS(RADIANS(D80+$B$15)))/($B$9*COS(RADIANS(D80+$B$15))))/$B$10)))/$B$10)-$B$11*(((-LN(1-$B$10*($B$8/$B$12-$B$14*COS(RADIANS(D80+$B$15)))/($B$9*COS(RADIANS(D80+$B$15))))/$B$10)-((1-EXP(-$B$10*(-LN(1-$B$10*($B$8/$B$12-$B$14*COS(RADIANS(D80+$B$15)))/($B$9*COS(RADIANS(D80+$B$15))))/$B$10)))/$B$10))/$B$10)</x:f>
        <x:v>244.12107632689245</x:v>
      </x:c>
      <x:c r="F80" s="74" t="n">
        <x:f>E80</x:f>
        <x:v>244.12107632689245</x:v>
      </x:c>
      <x:c r="G80" s="74"/>
      <x:c r="H80" s="74" t="n">
        <x:v>2</x:v>
      </x:c>
      <x:c r="I80" s="74" t="n">
        <x:f>IF(M79&lt;0,K79,I79)</x:f>
        <x:v>-1.0019699224462641</x:v>
      </x:c>
      <x:c r="J80" s="74" t="n">
        <x:f>IF(M79&lt;0,J79,K79)</x:f>
        <x:v>84.22421872985464</x:v>
      </x:c>
      <x:c r="K80" s="74" t="n">
        <x:f>(I80+J80)/2</x:f>
        <x:v>41.61112440370419</x:v>
      </x:c>
      <x:c r="L80" s="74" t="n">
        <x:f>$B$13+$B$14*SIN(RADIANS(K80+$B$15))+$B$9*SIN(RADIANS(K80+$B$15))*((1-EXP(-$B$10*(-LN(1-$B$10*($B$8/$B$12-$B$14*COS(RADIANS(K80+$B$15)))/($B$9*COS(RADIANS(K80+$B$15))))/$B$10)))/$B$10)-$B$11*(((-LN(1-$B$10*($B$8/$B$12-$B$14*COS(RADIANS(K80+$B$15)))/($B$9*COS(RADIANS(K80+$B$15))))/$B$10)-((1-EXP(-$B$10*(-LN(1-$B$10*($B$8/$B$12-$B$14*COS(RADIANS(K80+$B$15)))/($B$9*COS(RADIANS(K80+$B$15))))/$B$10)))/$B$10))/$B$10)</x:f>
        <x:v>244.12107632689245</x:v>
      </x:c>
      <x:c r="M80" s="74" t="n">
        <x:f>L80-1</x:f>
        <x:v>243.12107632689245</x:v>
      </x:c>
    </x:row>
    <x:row r="81">
      <x:c r="A81" s="35" t="n">
        <x:v>3</x:v>
      </x:c>
      <x:c r="B81" s="74" t="n">
        <x:f>IF(F80&lt;0,D80,B80)</x:f>
        <x:v>-1.0019699224462641</x:v>
      </x:c>
      <x:c r="C81" s="74" t="n">
        <x:f>IF(F80&lt;0,C80,D80)</x:f>
        <x:v>41.61112440370419</x:v>
      </x:c>
      <x:c r="D81" s="74" t="n">
        <x:f>(B81+C81)/2</x:f>
        <x:v>20.304577240628962</x:v>
      </x:c>
      <x:c r="E81" s="74" t="n">
        <x:f>$B$13+$B$14*SIN(RADIANS(D81+$B$15))+$B$9*SIN(RADIANS(D81+$B$15))*((1-EXP(-$B$10*(-LN(1-$B$10*($B$8/$B$12-$B$14*COS(RADIANS(D81+$B$15)))/($B$9*COS(RADIANS(D81+$B$15))))/$B$10)))/$B$10)-$B$11*(((-LN(1-$B$10*($B$8/$B$12-$B$14*COS(RADIANS(D81+$B$15)))/($B$9*COS(RADIANS(D81+$B$15))))/$B$10)-((1-EXP(-$B$10*(-LN(1-$B$10*($B$8/$B$12-$B$14*COS(RADIANS(D81+$B$15)))/($B$9*COS(RADIANS(D81+$B$15))))/$B$10)))/$B$10))/$B$10)</x:f>
        <x:v>102.29766146837872</x:v>
      </x:c>
      <x:c r="F81" s="74" t="n">
        <x:f>E81</x:f>
        <x:v>102.29766146837872</x:v>
      </x:c>
      <x:c r="G81" s="74"/>
      <x:c r="H81" s="74" t="n">
        <x:v>3</x:v>
      </x:c>
      <x:c r="I81" s="74" t="n">
        <x:f>IF(M80&lt;0,K80,I80)</x:f>
        <x:v>-1.0019699224462641</x:v>
      </x:c>
      <x:c r="J81" s="74" t="n">
        <x:f>IF(M80&lt;0,J80,K80)</x:f>
        <x:v>41.61112440370419</x:v>
      </x:c>
      <x:c r="K81" s="74" t="n">
        <x:f>(I81+J81)/2</x:f>
        <x:v>20.304577240628962</x:v>
      </x:c>
      <x:c r="L81" s="74" t="n">
        <x:f>$B$13+$B$14*SIN(RADIANS(K81+$B$15))+$B$9*SIN(RADIANS(K81+$B$15))*((1-EXP(-$B$10*(-LN(1-$B$10*($B$8/$B$12-$B$14*COS(RADIANS(K81+$B$15)))/($B$9*COS(RADIANS(K81+$B$15))))/$B$10)))/$B$10)-$B$11*(((-LN(1-$B$10*($B$8/$B$12-$B$14*COS(RADIANS(K81+$B$15)))/($B$9*COS(RADIANS(K81+$B$15))))/$B$10)-((1-EXP(-$B$10*(-LN(1-$B$10*($B$8/$B$12-$B$14*COS(RADIANS(K81+$B$15)))/($B$9*COS(RADIANS(K81+$B$15))))/$B$10)))/$B$10))/$B$10)</x:f>
        <x:v>102.29766146837872</x:v>
      </x:c>
      <x:c r="M81" s="74" t="n">
        <x:f>L81-1</x:f>
        <x:v>101.29766146837872</x:v>
      </x:c>
    </x:row>
    <x:row r="82">
      <x:c r="A82" s="35" t="n">
        <x:v>4</x:v>
      </x:c>
      <x:c r="B82" s="74" t="n">
        <x:f>IF(F81&lt;0,D81,B81)</x:f>
        <x:v>-1.0019699224462641</x:v>
      </x:c>
      <x:c r="C82" s="74" t="n">
        <x:f>IF(F81&lt;0,C81,D81)</x:f>
        <x:v>20.304577240628962</x:v>
      </x:c>
      <x:c r="D82" s="74" t="n">
        <x:f>(B82+C82)/2</x:f>
        <x:v>9.651303659091349</x:v>
      </x:c>
      <x:c r="E82" s="74" t="n">
        <x:f>$B$13+$B$14*SIN(RADIANS(D82+$B$15))+$B$9*SIN(RADIANS(D82+$B$15))*((1-EXP(-$B$10*(-LN(1-$B$10*($B$8/$B$12-$B$14*COS(RADIANS(D82+$B$15)))/($B$9*COS(RADIANS(D82+$B$15))))/$B$10)))/$B$10)-$B$11*(((-LN(1-$B$10*($B$8/$B$12-$B$14*COS(RADIANS(D82+$B$15)))/($B$9*COS(RADIANS(D82+$B$15))))/$B$10)-((1-EXP(-$B$10*(-LN(1-$B$10*($B$8/$B$12-$B$14*COS(RADIANS(D82+$B$15)))/($B$9*COS(RADIANS(D82+$B$15))))/$B$10)))/$B$10))/$B$10)</x:f>
        <x:v>47.500189423575755</x:v>
      </x:c>
      <x:c r="F82" s="74" t="n">
        <x:f>E82</x:f>
        <x:v>47.500189423575755</x:v>
      </x:c>
      <x:c r="G82" s="74"/>
      <x:c r="H82" s="74" t="n">
        <x:v>4</x:v>
      </x:c>
      <x:c r="I82" s="74" t="n">
        <x:f>IF(M81&lt;0,K81,I81)</x:f>
        <x:v>-1.0019699224462641</x:v>
      </x:c>
      <x:c r="J82" s="74" t="n">
        <x:f>IF(M81&lt;0,J81,K81)</x:f>
        <x:v>20.304577240628962</x:v>
      </x:c>
      <x:c r="K82" s="74" t="n">
        <x:f>(I82+J82)/2</x:f>
        <x:v>9.651303659091349</x:v>
      </x:c>
      <x:c r="L82" s="74" t="n">
        <x:f>$B$13+$B$14*SIN(RADIANS(K82+$B$15))+$B$9*SIN(RADIANS(K82+$B$15))*((1-EXP(-$B$10*(-LN(1-$B$10*($B$8/$B$12-$B$14*COS(RADIANS(K82+$B$15)))/($B$9*COS(RADIANS(K82+$B$15))))/$B$10)))/$B$10)-$B$11*(((-LN(1-$B$10*($B$8/$B$12-$B$14*COS(RADIANS(K82+$B$15)))/($B$9*COS(RADIANS(K82+$B$15))))/$B$10)-((1-EXP(-$B$10*(-LN(1-$B$10*($B$8/$B$12-$B$14*COS(RADIANS(K82+$B$15)))/($B$9*COS(RADIANS(K82+$B$15))))/$B$10)))/$B$10))/$B$10)</x:f>
        <x:v>47.500189423575755</x:v>
      </x:c>
      <x:c r="M82" s="74" t="n">
        <x:f>L82-1</x:f>
        <x:v>46.500189423575755</x:v>
      </x:c>
    </x:row>
    <x:row r="83">
      <x:c r="A83" s="35" t="n">
        <x:v>5</x:v>
      </x:c>
      <x:c r="B83" s="74" t="n">
        <x:f>IF(F82&lt;0,D82,B82)</x:f>
        <x:v>-1.0019699224462641</x:v>
      </x:c>
      <x:c r="C83" s="74" t="n">
        <x:f>IF(F82&lt;0,C82,D82)</x:f>
        <x:v>9.651303659091349</x:v>
      </x:c>
      <x:c r="D83" s="74" t="n">
        <x:f>(B83+C83)/2</x:f>
        <x:v>4.324666868322542</x:v>
      </x:c>
      <x:c r="E83" s="74" t="n">
        <x:f>$B$13+$B$14*SIN(RADIANS(D83+$B$15))+$B$9*SIN(RADIANS(D83+$B$15))*((1-EXP(-$B$10*(-LN(1-$B$10*($B$8/$B$12-$B$14*COS(RADIANS(D83+$B$15)))/($B$9*COS(RADIANS(D83+$B$15))))/$B$10)))/$B$10)-$B$11*(((-LN(1-$B$10*($B$8/$B$12-$B$14*COS(RADIANS(D83+$B$15)))/($B$9*COS(RADIANS(D83+$B$15))))/$B$10)-((1-EXP(-$B$10*(-LN(1-$B$10*($B$8/$B$12-$B$14*COS(RADIANS(D83+$B$15)))/($B$9*COS(RADIANS(D83+$B$15))))/$B$10)))/$B$10))/$B$10)</x:f>
        <x:v>21.60672657983536</x:v>
      </x:c>
      <x:c r="F83" s="74" t="n">
        <x:f>E83</x:f>
        <x:v>21.60672657983536</x:v>
      </x:c>
      <x:c r="G83" s="74"/>
      <x:c r="H83" s="74" t="n">
        <x:v>5</x:v>
      </x:c>
      <x:c r="I83" s="74" t="n">
        <x:f>IF(M82&lt;0,K82,I82)</x:f>
        <x:v>-1.0019699224462641</x:v>
      </x:c>
      <x:c r="J83" s="74" t="n">
        <x:f>IF(M82&lt;0,J82,K82)</x:f>
        <x:v>9.651303659091349</x:v>
      </x:c>
      <x:c r="K83" s="74" t="n">
        <x:f>(I83+J83)/2</x:f>
        <x:v>4.324666868322542</x:v>
      </x:c>
      <x:c r="L83" s="74" t="n">
        <x:f>$B$13+$B$14*SIN(RADIANS(K83+$B$15))+$B$9*SIN(RADIANS(K83+$B$15))*((1-EXP(-$B$10*(-LN(1-$B$10*($B$8/$B$12-$B$14*COS(RADIANS(K83+$B$15)))/($B$9*COS(RADIANS(K83+$B$15))))/$B$10)))/$B$10)-$B$11*(((-LN(1-$B$10*($B$8/$B$12-$B$14*COS(RADIANS(K83+$B$15)))/($B$9*COS(RADIANS(K83+$B$15))))/$B$10)-((1-EXP(-$B$10*(-LN(1-$B$10*($B$8/$B$12-$B$14*COS(RADIANS(K83+$B$15)))/($B$9*COS(RADIANS(K83+$B$15))))/$B$10)))/$B$10))/$B$10)</x:f>
        <x:v>21.60672657983536</x:v>
      </x:c>
      <x:c r="M83" s="74" t="n">
        <x:f>L83-1</x:f>
        <x:v>20.60672657983536</x:v>
      </x:c>
    </x:row>
    <x:row r="84">
      <x:c r="A84" s="35" t="n">
        <x:v>6</x:v>
      </x:c>
      <x:c r="B84" s="74" t="n">
        <x:f>IF(F83&lt;0,D83,B83)</x:f>
        <x:v>-1.0019699224462641</x:v>
      </x:c>
      <x:c r="C84" s="74" t="n">
        <x:f>IF(F83&lt;0,C83,D83)</x:f>
        <x:v>4.324666868322542</x:v>
      </x:c>
      <x:c r="D84" s="74" t="n">
        <x:f>(B84+C84)/2</x:f>
        <x:v>1.6613484729381391</x:v>
      </x:c>
      <x:c r="E84" s="74" t="n">
        <x:f>$B$13+$B$14*SIN(RADIANS(D84+$B$15))+$B$9*SIN(RADIANS(D84+$B$15))*((1-EXP(-$B$10*(-LN(1-$B$10*($B$8/$B$12-$B$14*COS(RADIANS(D84+$B$15)))/($B$9*COS(RADIANS(D84+$B$15))))/$B$10)))/$B$10)-$B$11*(((-LN(1-$B$10*($B$8/$B$12-$B$14*COS(RADIANS(D84+$B$15)))/($B$9*COS(RADIANS(D84+$B$15))))/$B$10)-((1-EXP(-$B$10*(-LN(1-$B$10*($B$8/$B$12-$B$14*COS(RADIANS(D84+$B$15)))/($B$9*COS(RADIANS(D84+$B$15))))/$B$10)))/$B$10))/$B$10)</x:f>
        <x:v>8.821338984947747</x:v>
      </x:c>
      <x:c r="F84" s="74" t="n">
        <x:f>E84</x:f>
        <x:v>8.821338984947747</x:v>
      </x:c>
      <x:c r="G84" s="74"/>
      <x:c r="H84" s="74" t="n">
        <x:v>6</x:v>
      </x:c>
      <x:c r="I84" s="74" t="n">
        <x:f>IF(M83&lt;0,K83,I83)</x:f>
        <x:v>-1.0019699224462641</x:v>
      </x:c>
      <x:c r="J84" s="74" t="n">
        <x:f>IF(M83&lt;0,J83,K83)</x:f>
        <x:v>4.324666868322542</x:v>
      </x:c>
      <x:c r="K84" s="74" t="n">
        <x:f>(I84+J84)/2</x:f>
        <x:v>1.6613484729381391</x:v>
      </x:c>
      <x:c r="L84" s="74" t="n">
        <x:f>$B$13+$B$14*SIN(RADIANS(K84+$B$15))+$B$9*SIN(RADIANS(K84+$B$15))*((1-EXP(-$B$10*(-LN(1-$B$10*($B$8/$B$12-$B$14*COS(RADIANS(K84+$B$15)))/($B$9*COS(RADIANS(K84+$B$15))))/$B$10)))/$B$10)-$B$11*(((-LN(1-$B$10*($B$8/$B$12-$B$14*COS(RADIANS(K84+$B$15)))/($B$9*COS(RADIANS(K84+$B$15))))/$B$10)-((1-EXP(-$B$10*(-LN(1-$B$10*($B$8/$B$12-$B$14*COS(RADIANS(K84+$B$15)))/($B$9*COS(RADIANS(K84+$B$15))))/$B$10)))/$B$10))/$B$10)</x:f>
        <x:v>8.821338984947747</x:v>
      </x:c>
      <x:c r="M84" s="74" t="n">
        <x:f>L84-1</x:f>
        <x:v>7.821338984947747</x:v>
      </x:c>
    </x:row>
    <x:row r="85">
      <x:c r="A85" s="35" t="n">
        <x:v>7</x:v>
      </x:c>
      <x:c r="B85" s="74" t="n">
        <x:f>IF(F84&lt;0,D84,B84)</x:f>
        <x:v>-1.0019699224462641</x:v>
      </x:c>
      <x:c r="C85" s="74" t="n">
        <x:f>IF(F84&lt;0,C84,D84)</x:f>
        <x:v>1.6613484729381391</x:v>
      </x:c>
      <x:c r="D85" s="74" t="n">
        <x:f>(B85+C85)/2</x:f>
        <x:v>0.3296892752459375</x:v>
      </x:c>
      <x:c r="E85" s="74" t="n">
        <x:f>$B$13+$B$14*SIN(RADIANS(D85+$B$15))+$B$9*SIN(RADIANS(D85+$B$15))*((1-EXP(-$B$10*(-LN(1-$B$10*($B$8/$B$12-$B$14*COS(RADIANS(D85+$B$15)))/($B$9*COS(RADIANS(D85+$B$15))))/$B$10)))/$B$10)-$B$11*(((-LN(1-$B$10*($B$8/$B$12-$B$14*COS(RADIANS(D85+$B$15)))/($B$9*COS(RADIANS(D85+$B$15))))/$B$10)-((1-EXP(-$B$10*(-LN(1-$B$10*($B$8/$B$12-$B$14*COS(RADIANS(D85+$B$15)))/($B$9*COS(RADIANS(D85+$B$15))))/$B$10)))/$B$10))/$B$10)</x:f>
        <x:v>2.4443573571362642</x:v>
      </x:c>
      <x:c r="F85" s="74" t="n">
        <x:f>E85</x:f>
        <x:v>2.4443573571362642</x:v>
      </x:c>
      <x:c r="G85" s="74"/>
      <x:c r="H85" s="74" t="n">
        <x:v>7</x:v>
      </x:c>
      <x:c r="I85" s="74" t="n">
        <x:f>IF(M84&lt;0,K84,I84)</x:f>
        <x:v>-1.0019699224462641</x:v>
      </x:c>
      <x:c r="J85" s="74" t="n">
        <x:f>IF(M84&lt;0,J84,K84)</x:f>
        <x:v>1.6613484729381391</x:v>
      </x:c>
      <x:c r="K85" s="74" t="n">
        <x:f>(I85+J85)/2</x:f>
        <x:v>0.3296892752459375</x:v>
      </x:c>
      <x:c r="L85" s="74" t="n">
        <x:f>$B$13+$B$14*SIN(RADIANS(K85+$B$15))+$B$9*SIN(RADIANS(K85+$B$15))*((1-EXP(-$B$10*(-LN(1-$B$10*($B$8/$B$12-$B$14*COS(RADIANS(K85+$B$15)))/($B$9*COS(RADIANS(K85+$B$15))))/$B$10)))/$B$10)-$B$11*(((-LN(1-$B$10*($B$8/$B$12-$B$14*COS(RADIANS(K85+$B$15)))/($B$9*COS(RADIANS(K85+$B$15))))/$B$10)-((1-EXP(-$B$10*(-LN(1-$B$10*($B$8/$B$12-$B$14*COS(RADIANS(K85+$B$15)))/($B$9*COS(RADIANS(K85+$B$15))))/$B$10)))/$B$10))/$B$10)</x:f>
        <x:v>2.4443573571362642</x:v>
      </x:c>
      <x:c r="M85" s="74" t="n">
        <x:f>L85-1</x:f>
        <x:v>1.4443573571362642</x:v>
      </x:c>
    </x:row>
    <x:row r="86">
      <x:c r="A86" s="35" t="n">
        <x:v>8</x:v>
      </x:c>
      <x:c r="B86" s="74" t="n">
        <x:f>IF(F85&lt;0,D85,B85)</x:f>
        <x:v>-1.0019699224462641</x:v>
      </x:c>
      <x:c r="C86" s="74" t="n">
        <x:f>IF(F85&lt;0,C85,D85)</x:f>
        <x:v>0.3296892752459375</x:v>
      </x:c>
      <x:c r="D86" s="74" t="n">
        <x:f>(B86+C86)/2</x:f>
        <x:v>-0.3361403236001633</x:v>
      </x:c>
      <x:c r="E86" s="74" t="n">
        <x:f>$B$13+$B$14*SIN(RADIANS(D86+$B$15))+$B$9*SIN(RADIANS(D86+$B$15))*((1-EXP(-$B$10*(-LN(1-$B$10*($B$8/$B$12-$B$14*COS(RADIANS(D86+$B$15)))/($B$9*COS(RADIANS(D86+$B$15))))/$B$10)))/$B$10)-$B$11*(((-LN(1-$B$10*($B$8/$B$12-$B$14*COS(RADIANS(D86+$B$15)))/($B$9*COS(RADIANS(D86+$B$15))))/$B$10)-((1-EXP(-$B$10*(-LN(1-$B$10*($B$8/$B$12-$B$14*COS(RADIANS(D86+$B$15)))/($B$9*COS(RADIANS(D86+$B$15))))/$B$10)))/$B$10))/$B$10)</x:f>
        <x:v>-0.7432271945922038</x:v>
      </x:c>
      <x:c r="F86" s="74" t="n">
        <x:f>E86</x:f>
        <x:v>-0.7432271945922038</x:v>
      </x:c>
      <x:c r="G86" s="74"/>
      <x:c r="H86" s="74" t="n">
        <x:v>8</x:v>
      </x:c>
      <x:c r="I86" s="74" t="n">
        <x:f>IF(M85&lt;0,K85,I85)</x:f>
        <x:v>-1.0019699224462641</x:v>
      </x:c>
      <x:c r="J86" s="74" t="n">
        <x:f>IF(M85&lt;0,J85,K85)</x:f>
        <x:v>0.3296892752459375</x:v>
      </x:c>
      <x:c r="K86" s="74" t="n">
        <x:f>(I86+J86)/2</x:f>
        <x:v>-0.3361403236001633</x:v>
      </x:c>
      <x:c r="L86" s="74" t="n">
        <x:f>$B$13+$B$14*SIN(RADIANS(K86+$B$15))+$B$9*SIN(RADIANS(K86+$B$15))*((1-EXP(-$B$10*(-LN(1-$B$10*($B$8/$B$12-$B$14*COS(RADIANS(K86+$B$15)))/($B$9*COS(RADIANS(K86+$B$15))))/$B$10)))/$B$10)-$B$11*(((-LN(1-$B$10*($B$8/$B$12-$B$14*COS(RADIANS(K86+$B$15)))/($B$9*COS(RADIANS(K86+$B$15))))/$B$10)-((1-EXP(-$B$10*(-LN(1-$B$10*($B$8/$B$12-$B$14*COS(RADIANS(K86+$B$15)))/($B$9*COS(RADIANS(K86+$B$15))))/$B$10)))/$B$10))/$B$10)</x:f>
        <x:v>-0.7432271945922038</x:v>
      </x:c>
      <x:c r="M86" s="74" t="n">
        <x:f>L86-1</x:f>
        <x:v>-1.7432271945922038</x:v>
      </x:c>
    </x:row>
    <x:row r="87">
      <x:c r="A87" s="35" t="n">
        <x:v>9</x:v>
      </x:c>
      <x:c r="B87" s="74" t="n">
        <x:f>IF(F86&lt;0,D86,B86)</x:f>
        <x:v>-0.3361403236001633</x:v>
      </x:c>
      <x:c r="C87" s="74" t="n">
        <x:f>IF(F86&lt;0,C86,D86)</x:f>
        <x:v>0.3296892752459375</x:v>
      </x:c>
      <x:c r="D87" s="74" t="n">
        <x:f>(B87+C87)/2</x:f>
        <x:v>-0.003225524177112915</x:v>
      </x:c>
      <x:c r="E87" s="74" t="n">
        <x:f>$B$13+$B$14*SIN(RADIANS(D87+$B$15))+$B$9*SIN(RADIANS(D87+$B$15))*((1-EXP(-$B$10*(-LN(1-$B$10*($B$8/$B$12-$B$14*COS(RADIANS(D87+$B$15)))/($B$9*COS(RADIANS(D87+$B$15))))/$B$10)))/$B$10)-$B$11*(((-LN(1-$B$10*($B$8/$B$12-$B$14*COS(RADIANS(D87+$B$15)))/($B$9*COS(RADIANS(D87+$B$15))))/$B$10)-((1-EXP(-$B$10*(-LN(1-$B$10*($B$8/$B$12-$B$14*COS(RADIANS(D87+$B$15)))/($B$9*COS(RADIANS(D87+$B$15))))/$B$10)))/$B$10))/$B$10)</x:f>
        <x:v>0.8505792343256795</x:v>
      </x:c>
      <x:c r="F87" s="74" t="n">
        <x:f>E87</x:f>
        <x:v>0.8505792343256795</x:v>
      </x:c>
      <x:c r="G87" s="74"/>
      <x:c r="H87" s="74" t="n">
        <x:v>9</x:v>
      </x:c>
      <x:c r="I87" s="74" t="n">
        <x:f>IF(M86&lt;0,K86,I86)</x:f>
        <x:v>-0.3361403236001633</x:v>
      </x:c>
      <x:c r="J87" s="74" t="n">
        <x:f>IF(M86&lt;0,J86,K86)</x:f>
        <x:v>0.3296892752459375</x:v>
      </x:c>
      <x:c r="K87" s="74" t="n">
        <x:f>(I87+J87)/2</x:f>
        <x:v>-0.003225524177112915</x:v>
      </x:c>
      <x:c r="L87" s="74" t="n">
        <x:f>$B$13+$B$14*SIN(RADIANS(K87+$B$15))+$B$9*SIN(RADIANS(K87+$B$15))*((1-EXP(-$B$10*(-LN(1-$B$10*($B$8/$B$12-$B$14*COS(RADIANS(K87+$B$15)))/($B$9*COS(RADIANS(K87+$B$15))))/$B$10)))/$B$10)-$B$11*(((-LN(1-$B$10*($B$8/$B$12-$B$14*COS(RADIANS(K87+$B$15)))/($B$9*COS(RADIANS(K87+$B$15))))/$B$10)-((1-EXP(-$B$10*(-LN(1-$B$10*($B$8/$B$12-$B$14*COS(RADIANS(K87+$B$15)))/($B$9*COS(RADIANS(K87+$B$15))))/$B$10)))/$B$10))/$B$10)</x:f>
        <x:v>0.8505792343256795</x:v>
      </x:c>
      <x:c r="M87" s="74" t="n">
        <x:f>L87-1</x:f>
        <x:v>-0.1494207656743205</x:v>
      </x:c>
    </x:row>
    <x:row r="88">
      <x:c r="A88" s="35" t="n">
        <x:v>10</x:v>
      </x:c>
      <x:c r="B88" s="74" t="n">
        <x:f>IF(F87&lt;0,D87,B87)</x:f>
        <x:v>-0.3361403236001633</x:v>
      </x:c>
      <x:c r="C88" s="74" t="n">
        <x:f>IF(F87&lt;0,C87,D87)</x:f>
        <x:v>-0.003225524177112915</x:v>
      </x:c>
      <x:c r="D88" s="74" t="n">
        <x:f>(B88+C88)/2</x:f>
        <x:v>-0.16968292388863812</x:v>
      </x:c>
      <x:c r="E88" s="74" t="n">
        <x:f>$B$13+$B$14*SIN(RADIANS(D88+$B$15))+$B$9*SIN(RADIANS(D88+$B$15))*((1-EXP(-$B$10*(-LN(1-$B$10*($B$8/$B$12-$B$14*COS(RADIANS(D88+$B$15)))/($B$9*COS(RADIANS(D88+$B$15))))/$B$10)))/$B$10)-$B$11*(((-LN(1-$B$10*($B$8/$B$12-$B$14*COS(RADIANS(D88+$B$15)))/($B$9*COS(RADIANS(D88+$B$15))))/$B$10)-((1-EXP(-$B$10*(-LN(1-$B$10*($B$8/$B$12-$B$14*COS(RADIANS(D88+$B$15)))/($B$9*COS(RADIANS(D88+$B$15))))/$B$10)))/$B$10))/$B$10)</x:f>
        <x:v>0.053686282286303566</x:v>
      </x:c>
      <x:c r="F88" s="74" t="n">
        <x:f>E88</x:f>
        <x:v>0.053686282286303566</x:v>
      </x:c>
      <x:c r="G88" s="74"/>
      <x:c r="H88" s="74" t="n">
        <x:v>10</x:v>
      </x:c>
      <x:c r="I88" s="74" t="n">
        <x:f>IF(M87&lt;0,K87,I87)</x:f>
        <x:v>-0.003225524177112915</x:v>
      </x:c>
      <x:c r="J88" s="74" t="n">
        <x:f>IF(M87&lt;0,J87,K87)</x:f>
        <x:v>0.3296892752459375</x:v>
      </x:c>
      <x:c r="K88" s="74" t="n">
        <x:f>(I88+J88)/2</x:f>
        <x:v>0.1632318755344123</x:v>
      </x:c>
      <x:c r="L88" s="74" t="n">
        <x:f>$B$13+$B$14*SIN(RADIANS(K88+$B$15))+$B$9*SIN(RADIANS(K88+$B$15))*((1-EXP(-$B$10*(-LN(1-$B$10*($B$8/$B$12-$B$14*COS(RADIANS(K88+$B$15)))/($B$9*COS(RADIANS(K88+$B$15))))/$B$10)))/$B$10)-$B$11*(((-LN(1-$B$10*($B$8/$B$12-$B$14*COS(RADIANS(K88+$B$15)))/($B$9*COS(RADIANS(K88+$B$15))))/$B$10)-((1-EXP(-$B$10*(-LN(1-$B$10*($B$8/$B$12-$B$14*COS(RADIANS(K88+$B$15)))/($B$9*COS(RADIANS(K88+$B$15))))/$B$10)))/$B$10))/$B$10)</x:f>
        <x:v>1.6474651099809932</x:v>
      </x:c>
      <x:c r="M88" s="74" t="n">
        <x:f>L88-1</x:f>
        <x:v>0.6474651099809932</x:v>
      </x:c>
    </x:row>
    <x:row r="89">
      <x:c r="A89" s="35" t="n">
        <x:v>11</x:v>
      </x:c>
      <x:c r="B89" s="74" t="n">
        <x:f>IF(F88&lt;0,D88,B88)</x:f>
        <x:v>-0.3361403236001633</x:v>
      </x:c>
      <x:c r="C89" s="74" t="n">
        <x:f>IF(F88&lt;0,C88,D88)</x:f>
        <x:v>-0.16968292388863812</x:v>
      </x:c>
      <x:c r="D89" s="74" t="n">
        <x:f>(B89+C89)/2</x:f>
        <x:v>-0.25291162374440074</x:v>
      </x:c>
      <x:c r="E89" s="74" t="n">
        <x:f>$B$13+$B$14*SIN(RADIANS(D89+$B$15))+$B$9*SIN(RADIANS(D89+$B$15))*((1-EXP(-$B$10*(-LN(1-$B$10*($B$8/$B$12-$B$14*COS(RADIANS(D89+$B$15)))/($B$9*COS(RADIANS(D89+$B$15))))/$B$10)))/$B$10)-$B$11*(((-LN(1-$B$10*($B$8/$B$12-$B$14*COS(RADIANS(D89+$B$15)))/($B$9*COS(RADIANS(D89+$B$15))))/$B$10)-((1-EXP(-$B$10*(-LN(1-$B$10*($B$8/$B$12-$B$14*COS(RADIANS(D89+$B$15)))/($B$9*COS(RADIANS(D89+$B$15))))/$B$10)))/$B$10))/$B$10)</x:f>
        <x:v>-0.3447670499724791</x:v>
      </x:c>
      <x:c r="F89" s="74" t="n">
        <x:f>E89</x:f>
        <x:v>-0.3447670499724791</x:v>
      </x:c>
      <x:c r="G89" s="74"/>
      <x:c r="H89" s="74" t="n">
        <x:v>11</x:v>
      </x:c>
      <x:c r="I89" s="74" t="n">
        <x:f>IF(M88&lt;0,K88,I88)</x:f>
        <x:v>-0.003225524177112915</x:v>
      </x:c>
      <x:c r="J89" s="74" t="n">
        <x:f>IF(M88&lt;0,J88,K88)</x:f>
        <x:v>0.1632318755344123</x:v>
      </x:c>
      <x:c r="K89" s="74" t="n">
        <x:f>(I89+J89)/2</x:f>
        <x:v>0.08000317567864969</x:v>
      </x:c>
      <x:c r="L89" s="74" t="n">
        <x:f>$B$13+$B$14*SIN(RADIANS(K89+$B$15))+$B$9*SIN(RADIANS(K89+$B$15))*((1-EXP(-$B$10*(-LN(1-$B$10*($B$8/$B$12-$B$14*COS(RADIANS(K89+$B$15)))/($B$9*COS(RADIANS(K89+$B$15))))/$B$10)))/$B$10)-$B$11*(((-LN(1-$B$10*($B$8/$B$12-$B$14*COS(RADIANS(K89+$B$15)))/($B$9*COS(RADIANS(K89+$B$15))))/$B$10)-((1-EXP(-$B$10*(-LN(1-$B$10*($B$8/$B$12-$B$14*COS(RADIANS(K89+$B$15)))/($B$9*COS(RADIANS(K89+$B$15))))/$B$10)))/$B$10))/$B$10)</x:f>
        <x:v>1.2490222162058582</x:v>
      </x:c>
      <x:c r="M89" s="74" t="n">
        <x:f>L89-1</x:f>
        <x:v>0.24902221620585818</x:v>
      </x:c>
    </x:row>
    <x:row r="90">
      <x:c r="A90" s="35" t="n">
        <x:v>12</x:v>
      </x:c>
      <x:c r="B90" s="74" t="n">
        <x:f>IF(F89&lt;0,D89,B89)</x:f>
        <x:v>-0.25291162374440074</x:v>
      </x:c>
      <x:c r="C90" s="74" t="n">
        <x:f>IF(F89&lt;0,C89,D89)</x:f>
        <x:v>-0.16968292388863812</x:v>
      </x:c>
      <x:c r="D90" s="74" t="n">
        <x:f>(B90+C90)/2</x:f>
        <x:v>-0.21129727381651942</x:v>
      </x:c>
      <x:c r="E90" s="74" t="n">
        <x:f>$B$13+$B$14*SIN(RADIANS(D90+$B$15))+$B$9*SIN(RADIANS(D90+$B$15))*((1-EXP(-$B$10*(-LN(1-$B$10*($B$8/$B$12-$B$14*COS(RADIANS(D90+$B$15)))/($B$9*COS(RADIANS(D90+$B$15))))/$B$10)))/$B$10)-$B$11*(((-LN(1-$B$10*($B$8/$B$12-$B$14*COS(RADIANS(D90+$B$15)))/($B$9*COS(RADIANS(D90+$B$15))))/$B$10)-((1-EXP(-$B$10*(-LN(1-$B$10*($B$8/$B$12-$B$14*COS(RADIANS(D90+$B$15)))/($B$9*COS(RADIANS(D90+$B$15))))/$B$10)))/$B$10))/$B$10)</x:f>
        <x:v>-0.14553963737385844</x:v>
      </x:c>
      <x:c r="F90" s="74" t="n">
        <x:f>E90</x:f>
        <x:v>-0.14553963737385844</x:v>
      </x:c>
      <x:c r="G90" s="74"/>
      <x:c r="H90" s="74" t="n">
        <x:v>12</x:v>
      </x:c>
      <x:c r="I90" s="74" t="n">
        <x:f>IF(M89&lt;0,K89,I89)</x:f>
        <x:v>-0.003225524177112915</x:v>
      </x:c>
      <x:c r="J90" s="74" t="n">
        <x:f>IF(M89&lt;0,J89,K89)</x:f>
        <x:v>0.08000317567864969</x:v>
      </x:c>
      <x:c r="K90" s="74" t="n">
        <x:f>(I90+J90)/2</x:f>
        <x:v>0.038388825750768386</x:v>
      </x:c>
      <x:c r="L90" s="74" t="n">
        <x:f>$B$13+$B$14*SIN(RADIANS(K90+$B$15))+$B$9*SIN(RADIANS(K90+$B$15))*((1-EXP(-$B$10*(-LN(1-$B$10*($B$8/$B$12-$B$14*COS(RADIANS(K90+$B$15)))/($B$9*COS(RADIANS(K90+$B$15))))/$B$10)))/$B$10)-$B$11*(((-LN(1-$B$10*($B$8/$B$12-$B$14*COS(RADIANS(K90+$B$15)))/($B$9*COS(RADIANS(K90+$B$15))))/$B$10)-((1-EXP(-$B$10*(-LN(1-$B$10*($B$8/$B$12-$B$14*COS(RADIANS(K90+$B$15)))/($B$9*COS(RADIANS(K90+$B$15))))/$B$10)))/$B$10))/$B$10)</x:f>
        <x:v>1.04980084133978</x:v>
      </x:c>
      <x:c r="M90" s="74" t="n">
        <x:f>L90-1</x:f>
        <x:v>0.04980084133977991</x:v>
      </x:c>
    </x:row>
    <x:row r="91">
      <x:c r="A91" s="35" t="n">
        <x:v>13</x:v>
      </x:c>
      <x:c r="B91" s="74" t="n">
        <x:f>IF(F90&lt;0,D90,B90)</x:f>
        <x:v>-0.21129727381651942</x:v>
      </x:c>
      <x:c r="C91" s="74" t="n">
        <x:f>IF(F90&lt;0,C90,D90)</x:f>
        <x:v>-0.16968292388863812</x:v>
      </x:c>
      <x:c r="D91" s="74" t="n">
        <x:f>(B91+C91)/2</x:f>
        <x:v>-0.19049009885257878</x:v>
      </x:c>
      <x:c r="E91" s="74" t="n">
        <x:f>$B$13+$B$14*SIN(RADIANS(D91+$B$15))+$B$9*SIN(RADIANS(D91+$B$15))*((1-EXP(-$B$10*(-LN(1-$B$10*($B$8/$B$12-$B$14*COS(RADIANS(D91+$B$15)))/($B$9*COS(RADIANS(D91+$B$15))))/$B$10)))/$B$10)-$B$11*(((-LN(1-$B$10*($B$8/$B$12-$B$14*COS(RADIANS(D91+$B$15)))/($B$9*COS(RADIANS(D91+$B$15))))/$B$10)-((1-EXP(-$B$10*(-LN(1-$B$10*($B$8/$B$12-$B$14*COS(RADIANS(D91+$B$15)))/($B$9*COS(RADIANS(D91+$B$15))))/$B$10)))/$B$10))/$B$10)</x:f>
        <x:v>-0.045926504060575635</x:v>
      </x:c>
      <x:c r="F91" s="74" t="n">
        <x:f>E91</x:f>
        <x:v>-0.045926504060575635</x:v>
      </x:c>
      <x:c r="G91" s="74"/>
      <x:c r="H91" s="74" t="n">
        <x:v>13</x:v>
      </x:c>
      <x:c r="I91" s="74" t="n">
        <x:f>IF(M90&lt;0,K90,I90)</x:f>
        <x:v>-0.003225524177112915</x:v>
      </x:c>
      <x:c r="J91" s="74" t="n">
        <x:f>IF(M90&lt;0,J90,K90)</x:f>
        <x:v>0.038388825750768386</x:v>
      </x:c>
      <x:c r="K91" s="74" t="n">
        <x:f>(I91+J91)/2</x:f>
        <x:v>0.017581650786827736</x:v>
      </x:c>
      <x:c r="L91" s="74" t="n">
        <x:f>$B$13+$B$14*SIN(RADIANS(K91+$B$15))+$B$9*SIN(RADIANS(K91+$B$15))*((1-EXP(-$B$10*(-LN(1-$B$10*($B$8/$B$12-$B$14*COS(RADIANS(K91+$B$15)))/($B$9*COS(RADIANS(K91+$B$15))))/$B$10)))/$B$10)-$B$11*(((-LN(1-$B$10*($B$8/$B$12-$B$14*COS(RADIANS(K91+$B$15)))/($B$9*COS(RADIANS(K91+$B$15))))/$B$10)-((1-EXP(-$B$10*(-LN(1-$B$10*($B$8/$B$12-$B$14*COS(RADIANS(K91+$B$15)))/($B$9*COS(RADIANS(K91+$B$15))))/$B$10)))/$B$10))/$B$10)</x:f>
        <x:v>0.9501900799838876</x:v>
      </x:c>
      <x:c r="M91" s="74" t="n">
        <x:f>L91-1</x:f>
        <x:v>-0.0498099200161124</x:v>
      </x:c>
    </x:row>
    <x:row r="92">
      <x:c r="A92" s="35" t="n">
        <x:v>14</x:v>
      </x:c>
      <x:c r="B92" s="74" t="n">
        <x:f>IF(F91&lt;0,D91,B91)</x:f>
        <x:v>-0.19049009885257878</x:v>
      </x:c>
      <x:c r="C92" s="74" t="n">
        <x:f>IF(F91&lt;0,C91,D91)</x:f>
        <x:v>-0.16968292388863812</x:v>
      </x:c>
      <x:c r="D92" s="74" t="n">
        <x:f>(B92+C92)/2</x:f>
        <x:v>-0.18008651137060844</x:v>
      </x:c>
      <x:c r="E92" s="74" t="n">
        <x:f>$B$13+$B$14*SIN(RADIANS(D92+$B$15))+$B$9*SIN(RADIANS(D92+$B$15))*((1-EXP(-$B$10*(-LN(1-$B$10*($B$8/$B$12-$B$14*COS(RADIANS(D92+$B$15)))/($B$9*COS(RADIANS(D92+$B$15))))/$B$10)))/$B$10)-$B$11*(((-LN(1-$B$10*($B$8/$B$12-$B$14*COS(RADIANS(D92+$B$15)))/($B$9*COS(RADIANS(D92+$B$15))))/$B$10)-((1-EXP(-$B$10*(-LN(1-$B$10*($B$8/$B$12-$B$14*COS(RADIANS(D92+$B$15)))/($B$9*COS(RADIANS(D92+$B$15))))/$B$10)))/$B$10))/$B$10)</x:f>
        <x:v>0.003879930841923951</x:v>
      </x:c>
      <x:c r="F92" s="74" t="n">
        <x:f>E92</x:f>
        <x:v>0.003879930841923951</x:v>
      </x:c>
      <x:c r="G92" s="74"/>
      <x:c r="H92" s="74" t="n">
        <x:v>14</x:v>
      </x:c>
      <x:c r="I92" s="74" t="n">
        <x:f>IF(M91&lt;0,K91,I91)</x:f>
        <x:v>0.017581650786827736</x:v>
      </x:c>
      <x:c r="J92" s="74" t="n">
        <x:f>IF(M91&lt;0,J91,K91)</x:f>
        <x:v>0.038388825750768386</x:v>
      </x:c>
      <x:c r="K92" s="74" t="n">
        <x:f>(I92+J92)/2</x:f>
        <x:v>0.027985238268798063</x:v>
      </x:c>
      <x:c r="L92" s="74" t="n">
        <x:f>$B$13+$B$14*SIN(RADIANS(K92+$B$15))+$B$9*SIN(RADIANS(K92+$B$15))*((1-EXP(-$B$10*(-LN(1-$B$10*($B$8/$B$12-$B$14*COS(RADIANS(K92+$B$15)))/($B$9*COS(RADIANS(K92+$B$15))))/$B$10)))/$B$10)-$B$11*(((-LN(1-$B$10*($B$8/$B$12-$B$14*COS(RADIANS(K92+$B$15)))/($B$9*COS(RADIANS(K92+$B$15))))/$B$10)-((1-EXP(-$B$10*(-LN(1-$B$10*($B$8/$B$12-$B$14*COS(RADIANS(K92+$B$15)))/($B$9*COS(RADIANS(K92+$B$15))))/$B$10)))/$B$10))/$B$10)</x:f>
        <x:v>0.9999954695580318</x:v>
      </x:c>
      <x:c r="M92" s="74" t="n">
        <x:f>L92-1</x:f>
        <x:v>-0.000004530441968242371</x:v>
      </x:c>
    </x:row>
    <x:row r="93">
      <x:c r="A93" s="35" t="n">
        <x:v>15</x:v>
      </x:c>
      <x:c r="B93" s="74" t="n">
        <x:f>IF(F92&lt;0,D92,B92)</x:f>
        <x:v>-0.19049009885257878</x:v>
      </x:c>
      <x:c r="C93" s="74" t="n">
        <x:f>IF(F92&lt;0,C92,D92)</x:f>
        <x:v>-0.18008651137060844</x:v>
      </x:c>
      <x:c r="D93" s="74" t="n">
        <x:f>(B93+C93)/2</x:f>
        <x:v>-0.1852883051115936</x:v>
      </x:c>
      <x:c r="E93" s="74" t="n">
        <x:f>$B$13+$B$14*SIN(RADIANS(D93+$B$15))+$B$9*SIN(RADIANS(D93+$B$15))*((1-EXP(-$B$10*(-LN(1-$B$10*($B$8/$B$12-$B$14*COS(RADIANS(D93+$B$15)))/($B$9*COS(RADIANS(D93+$B$15))))/$B$10)))/$B$10)-$B$11*(((-LN(1-$B$10*($B$8/$B$12-$B$14*COS(RADIANS(D93+$B$15)))/($B$9*COS(RADIANS(D93+$B$15))))/$B$10)-((1-EXP(-$B$10*(-LN(1-$B$10*($B$8/$B$12-$B$14*COS(RADIANS(D93+$B$15)))/($B$9*COS(RADIANS(D93+$B$15))))/$B$10)))/$B$10))/$B$10)</x:f>
        <x:v>-0.0210232759718334</x:v>
      </x:c>
      <x:c r="F93" s="74" t="n">
        <x:f>E93</x:f>
        <x:v>-0.0210232759718334</x:v>
      </x:c>
      <x:c r="G93" s="74"/>
      <x:c r="H93" s="74" t="n">
        <x:v>15</x:v>
      </x:c>
      <x:c r="I93" s="74" t="n">
        <x:f>IF(M92&lt;0,K92,I92)</x:f>
        <x:v>0.027985238268798063</x:v>
      </x:c>
      <x:c r="J93" s="74" t="n">
        <x:f>IF(M92&lt;0,J92,K92)</x:f>
        <x:v>0.038388825750768386</x:v>
      </x:c>
      <x:c r="K93" s="74" t="n">
        <x:f>(I93+J93)/2</x:f>
        <x:v>0.03318703200978322</x:v>
      </x:c>
      <x:c r="L93" s="74" t="n">
        <x:f>$B$13+$B$14*SIN(RADIANS(K93+$B$15))+$B$9*SIN(RADIANS(K93+$B$15))*((1-EXP(-$B$10*(-LN(1-$B$10*($B$8/$B$12-$B$14*COS(RADIANS(K93+$B$15)))/($B$9*COS(RADIANS(K93+$B$15))))/$B$10)))/$B$10)-$B$11*(((-LN(1-$B$10*($B$8/$B$12-$B$14*COS(RADIANS(K93+$B$15)))/($B$9*COS(RADIANS(K93+$B$15))))/$B$10)-((1-EXP(-$B$10*(-LN(1-$B$10*($B$8/$B$12-$B$14*COS(RADIANS(K93+$B$15)))/($B$9*COS(RADIANS(K93+$B$15))))/$B$10)))/$B$10))/$B$10)</x:f>
        <x:v>1.0248981574677534</x:v>
      </x:c>
      <x:c r="M93" s="74" t="n">
        <x:f>L93-1</x:f>
        <x:v>0.024898157467753368</x:v>
      </x:c>
    </x:row>
    <x:row r="94">
      <x:c r="A94" s="35" t="n">
        <x:v>16</x:v>
      </x:c>
      <x:c r="B94" s="74" t="n">
        <x:f>IF(F93&lt;0,D93,B93)</x:f>
        <x:v>-0.1852883051115936</x:v>
      </x:c>
      <x:c r="C94" s="74" t="n">
        <x:f>IF(F93&lt;0,C93,D93)</x:f>
        <x:v>-0.18008651137060844</x:v>
      </x:c>
      <x:c r="D94" s="74" t="n">
        <x:f>(B94+C94)/2</x:f>
        <x:v>-0.18268740824110102</x:v>
      </x:c>
      <x:c r="E94" s="74" t="n">
        <x:f>$B$13+$B$14*SIN(RADIANS(D94+$B$15))+$B$9*SIN(RADIANS(D94+$B$15))*((1-EXP(-$B$10*(-LN(1-$B$10*($B$8/$B$12-$B$14*COS(RADIANS(D94+$B$15)))/($B$9*COS(RADIANS(D94+$B$15))))/$B$10)))/$B$10)-$B$11*(((-LN(1-$B$10*($B$8/$B$12-$B$14*COS(RADIANS(D94+$B$15)))/($B$9*COS(RADIANS(D94+$B$15))))/$B$10)-((1-EXP(-$B$10*(-LN(1-$B$10*($B$8/$B$12-$B$14*COS(RADIANS(D94+$B$15)))/($B$9*COS(RADIANS(D94+$B$15))))/$B$10)))/$B$10))/$B$10)</x:f>
        <x:v>-0.008571669931232595</x:v>
      </x:c>
      <x:c r="F94" s="74" t="n">
        <x:f>E94</x:f>
        <x:v>-0.008571669931232595</x:v>
      </x:c>
      <x:c r="G94" s="74"/>
      <x:c r="H94" s="74" t="n">
        <x:v>16</x:v>
      </x:c>
      <x:c r="I94" s="74" t="n">
        <x:f>IF(M93&lt;0,K93,I93)</x:f>
        <x:v>0.027985238268798063</x:v>
      </x:c>
      <x:c r="J94" s="74" t="n">
        <x:f>IF(M93&lt;0,J93,K93)</x:f>
        <x:v>0.03318703200978322</x:v>
      </x:c>
      <x:c r="K94" s="74" t="n">
        <x:f>(I94+J94)/2</x:f>
        <x:v>0.030586135139290642</x:v>
      </x:c>
      <x:c r="L94" s="74" t="n">
        <x:f>$B$13+$B$14*SIN(RADIANS(K94+$B$15))+$B$9*SIN(RADIANS(K94+$B$15))*((1-EXP(-$B$10*(-LN(1-$B$10*($B$8/$B$12-$B$14*COS(RADIANS(K94+$B$15)))/($B$9*COS(RADIANS(K94+$B$15))))/$B$10)))/$B$10)-$B$11*(((-LN(1-$B$10*($B$8/$B$12-$B$14*COS(RADIANS(K94+$B$15)))/($B$9*COS(RADIANS(K94+$B$15))))/$B$10)-((1-EXP(-$B$10*(-LN(1-$B$10*($B$8/$B$12-$B$14*COS(RADIANS(K94+$B$15)))/($B$9*COS(RADIANS(K94+$B$15))))/$B$10)))/$B$10))/$B$10)</x:f>
        <x:v>1.0124468140432663</x:v>
      </x:c>
      <x:c r="M94" s="74" t="n">
        <x:f>L94-1</x:f>
        <x:v>0.012446814043266308</x:v>
      </x:c>
    </x:row>
    <x:row r="95">
      <x:c r="A95" s="35" t="n">
        <x:v>17</x:v>
      </x:c>
      <x:c r="B95" s="74" t="n">
        <x:f>IF(F94&lt;0,D94,B94)</x:f>
        <x:v>-0.18268740824110102</x:v>
      </x:c>
      <x:c r="C95" s="74" t="n">
        <x:f>IF(F94&lt;0,C94,D94)</x:f>
        <x:v>-0.18008651137060844</x:v>
      </x:c>
      <x:c r="D95" s="74" t="n">
        <x:f>(B95+C95)/2</x:f>
        <x:v>-0.18138695980585473</x:v>
      </x:c>
      <x:c r="E95" s="74" t="n">
        <x:f>$B$13+$B$14*SIN(RADIANS(D95+$B$15))+$B$9*SIN(RADIANS(D95+$B$15))*((1-EXP(-$B$10*(-LN(1-$B$10*($B$8/$B$12-$B$14*COS(RADIANS(D95+$B$15)))/($B$9*COS(RADIANS(D95+$B$15))))/$B$10)))/$B$10)-$B$11*(((-LN(1-$B$10*($B$8/$B$12-$B$14*COS(RADIANS(D95+$B$15)))/($B$9*COS(RADIANS(D95+$B$15))))/$B$10)-((1-EXP(-$B$10*(-LN(1-$B$10*($B$8/$B$12-$B$14*COS(RADIANS(D95+$B$15)))/($B$9*COS(RADIANS(D95+$B$15))))/$B$10)))/$B$10))/$B$10)</x:f>
        <x:v>-0.0023458688894284485</x:v>
      </x:c>
      <x:c r="F95" s="74" t="n">
        <x:f>E95</x:f>
        <x:v>-0.0023458688894284485</x:v>
      </x:c>
      <x:c r="G95" s="74"/>
      <x:c r="H95" s="74" t="n">
        <x:v>17</x:v>
      </x:c>
      <x:c r="I95" s="74" t="n">
        <x:f>IF(M94&lt;0,K94,I94)</x:f>
        <x:v>0.027985238268798063</x:v>
      </x:c>
      <x:c r="J95" s="74" t="n">
        <x:f>IF(M94&lt;0,J94,K94)</x:f>
        <x:v>0.030586135139290642</x:v>
      </x:c>
      <x:c r="K95" s="74" t="n">
        <x:f>(I95+J95)/2</x:f>
        <x:v>0.029285686704044352</x:v>
      </x:c>
      <x:c r="L95" s="74" t="n">
        <x:f>$B$13+$B$14*SIN(RADIANS(K95+$B$15))+$B$9*SIN(RADIANS(K95+$B$15))*((1-EXP(-$B$10*(-LN(1-$B$10*($B$8/$B$12-$B$14*COS(RADIANS(K95+$B$15)))/($B$9*COS(RADIANS(K95+$B$15))))/$B$10)))/$B$10)-$B$11*(((-LN(1-$B$10*($B$8/$B$12-$B$14*COS(RADIANS(K95+$B$15)))/($B$9*COS(RADIANS(K95+$B$15))))/$B$10)-((1-EXP(-$B$10*(-LN(1-$B$10*($B$8/$B$12-$B$14*COS(RADIANS(K95+$B$15)))/($B$9*COS(RADIANS(K95+$B$15))))/$B$10)))/$B$10))/$B$10)</x:f>
        <x:v>1.006221141936448</x:v>
      </x:c>
      <x:c r="M95" s="74" t="n">
        <x:f>L95-1</x:f>
        <x:v>0.00622114193644796</x:v>
      </x:c>
    </x:row>
    <x:row r="96">
      <x:c r="A96" s="35" t="n">
        <x:v>18</x:v>
      </x:c>
      <x:c r="B96" s="74" t="n">
        <x:f>IF(F95&lt;0,D95,B95)</x:f>
        <x:v>-0.18138695980585473</x:v>
      </x:c>
      <x:c r="C96" s="74" t="n">
        <x:f>IF(F95&lt;0,C95,D95)</x:f>
        <x:v>-0.18008651137060844</x:v>
      </x:c>
      <x:c r="D96" s="74" t="n">
        <x:f>(B96+C96)/2</x:f>
        <x:v>-0.18073673558823158</x:v>
      </x:c>
      <x:c r="E96" s="74" t="n">
        <x:f>$B$13+$B$14*SIN(RADIANS(D96+$B$15))+$B$9*SIN(RADIANS(D96+$B$15))*((1-EXP(-$B$10*(-LN(1-$B$10*($B$8/$B$12-$B$14*COS(RADIANS(D96+$B$15)))/($B$9*COS(RADIANS(D96+$B$15))))/$B$10)))/$B$10)-$B$11*(((-LN(1-$B$10*($B$8/$B$12-$B$14*COS(RADIANS(D96+$B$15)))/($B$9*COS(RADIANS(D96+$B$15))))/$B$10)-((1-EXP(-$B$10*(-LN(1-$B$10*($B$8/$B$12-$B$14*COS(RADIANS(D96+$B$15)))/($B$9*COS(RADIANS(D96+$B$15))))/$B$10)))/$B$10))/$B$10)</x:f>
        <x:v>0.0007670311396532625</x:v>
      </x:c>
      <x:c r="F96" s="74" t="n">
        <x:f>E96</x:f>
        <x:v>0.0007670311396532625</x:v>
      </x:c>
      <x:c r="G96" s="74"/>
      <x:c r="H96" s="74" t="n">
        <x:v>18</x:v>
      </x:c>
      <x:c r="I96" s="74" t="n">
        <x:f>IF(M95&lt;0,K95,I95)</x:f>
        <x:v>0.027985238268798063</x:v>
      </x:c>
      <x:c r="J96" s="74" t="n">
        <x:f>IF(M95&lt;0,J95,K95)</x:f>
        <x:v>0.029285686704044352</x:v>
      </x:c>
      <x:c r="K96" s="74" t="n">
        <x:f>(I96+J96)/2</x:f>
        <x:v>0.02863546248642121</x:v>
      </x:c>
      <x:c r="L96" s="74" t="n">
        <x:f>$B$13+$B$14*SIN(RADIANS(K96+$B$15))+$B$9*SIN(RADIANS(K96+$B$15))*((1-EXP(-$B$10*(-LN(1-$B$10*($B$8/$B$12-$B$14*COS(RADIANS(K96+$B$15)))/($B$9*COS(RADIANS(K96+$B$15))))/$B$10)))/$B$10)-$B$11*(((-LN(1-$B$10*($B$8/$B$12-$B$14*COS(RADIANS(K96+$B$15)))/($B$9*COS(RADIANS(K96+$B$15))))/$B$10)-((1-EXP(-$B$10*(-LN(1-$B$10*($B$8/$B$12-$B$14*COS(RADIANS(K96+$B$15)))/($B$9*COS(RADIANS(K96+$B$15))))/$B$10)))/$B$10))/$B$10)</x:f>
        <x:v>1.0031083057815984</x:v>
      </x:c>
      <x:c r="M96" s="74" t="n">
        <x:f>L96-1</x:f>
        <x:v>0.003108305781598375</x:v>
      </x:c>
    </x:row>
    <x:row r="97">
      <x:c r="A97" s="35" t="n">
        <x:v>19</x:v>
      </x:c>
      <x:c r="B97" s="74" t="n">
        <x:f>IF(F96&lt;0,D96,B96)</x:f>
        <x:v>-0.18138695980585473</x:v>
      </x:c>
      <x:c r="C97" s="74" t="n">
        <x:f>IF(F96&lt;0,C96,D96)</x:f>
        <x:v>-0.18073673558823158</x:v>
      </x:c>
      <x:c r="D97" s="74" t="n">
        <x:f>(B97+C97)/2</x:f>
        <x:v>-0.18106184769704314</x:v>
      </x:c>
      <x:c r="E97" s="74" t="n">
        <x:f>$B$13+$B$14*SIN(RADIANS(D97+$B$15))+$B$9*SIN(RADIANS(D97+$B$15))*((1-EXP(-$B$10*(-LN(1-$B$10*($B$8/$B$12-$B$14*COS(RADIANS(D97+$B$15)))/($B$9*COS(RADIANS(D97+$B$15))))/$B$10)))/$B$10)-$B$11*(((-LN(1-$B$10*($B$8/$B$12-$B$14*COS(RADIANS(D97+$B$15)))/($B$9*COS(RADIANS(D97+$B$15))))/$B$10)-((1-EXP(-$B$10*(-LN(1-$B$10*($B$8/$B$12-$B$14*COS(RADIANS(D97+$B$15)))/($B$9*COS(RADIANS(D97+$B$15))))/$B$10)))/$B$10))/$B$10)</x:f>
        <x:v>-0.0007894188339809816</x:v>
      </x:c>
      <x:c r="F97" s="74" t="n">
        <x:f>E97</x:f>
        <x:v>-0.0007894188339809816</x:v>
      </x:c>
      <x:c r="G97" s="74"/>
      <x:c r="H97" s="74" t="n">
        <x:v>19</x:v>
      </x:c>
      <x:c r="I97" s="74" t="n">
        <x:f>IF(M96&lt;0,K96,I96)</x:f>
        <x:v>0.027985238268798063</x:v>
      </x:c>
      <x:c r="J97" s="74" t="n">
        <x:f>IF(M96&lt;0,J96,K96)</x:f>
        <x:v>0.02863546248642121</x:v>
      </x:c>
      <x:c r="K97" s="74" t="n">
        <x:f>(I97+J97)/2</x:f>
        <x:v>0.028310350377609636</x:v>
      </x:c>
      <x:c r="L97" s="74" t="n">
        <x:f>$B$13+$B$14*SIN(RADIANS(K97+$B$15))+$B$9*SIN(RADIANS(K97+$B$15))*((1-EXP(-$B$10*(-LN(1-$B$10*($B$8/$B$12-$B$14*COS(RADIANS(K97+$B$15)))/($B$9*COS(RADIANS(K97+$B$15))))/$B$10)))/$B$10)-$B$11*(((-LN(1-$B$10*($B$8/$B$12-$B$14*COS(RADIANS(K97+$B$15)))/($B$9*COS(RADIANS(K97+$B$15))))/$B$10)-((1-EXP(-$B$10*(-LN(1-$B$10*($B$8/$B$12-$B$14*COS(RADIANS(K97+$B$15)))/($B$9*COS(RADIANS(K97+$B$15))))/$B$10)))/$B$10))/$B$10)</x:f>
        <x:v>1.0015518876784557</x:v>
      </x:c>
      <x:c r="M97" s="74" t="n">
        <x:f>L97-1</x:f>
        <x:v>0.00155188767845571</x:v>
      </x:c>
    </x:row>
    <x:row r="98">
      <x:c r="A98" s="35" t="n">
        <x:v>20</x:v>
      </x:c>
      <x:c r="B98" s="74" t="n">
        <x:f>IF(F97&lt;0,D97,B97)</x:f>
        <x:v>-0.18106184769704314</x:v>
      </x:c>
      <x:c r="C98" s="74" t="n">
        <x:f>IF(F97&lt;0,C97,D97)</x:f>
        <x:v>-0.18073673558823158</x:v>
      </x:c>
      <x:c r="D98" s="74" t="n">
        <x:f>(B98+C98)/2</x:f>
        <x:v>-0.18089929164263735</x:v>
      </x:c>
      <x:c r="E98" s="74" t="n">
        <x:f>$B$13+$B$14*SIN(RADIANS(D98+$B$15))+$B$9*SIN(RADIANS(D98+$B$15))*((1-EXP(-$B$10*(-LN(1-$B$10*($B$8/$B$12-$B$14*COS(RADIANS(D98+$B$15)))/($B$9*COS(RADIANS(D98+$B$15))))/$B$10)))/$B$10)-$B$11*(((-LN(1-$B$10*($B$8/$B$12-$B$14*COS(RADIANS(D98+$B$15)))/($B$9*COS(RADIANS(D98+$B$15))))/$B$10)-((1-EXP(-$B$10*(-LN(1-$B$10*($B$8/$B$12-$B$14*COS(RADIANS(D98+$B$15)))/($B$9*COS(RADIANS(D98+$B$15))))/$B$10)))/$B$10))/$B$10)</x:f>
        <x:v>-0.000011193836944922708</x:v>
      </x:c>
      <x:c r="F98" s="74" t="n">
        <x:f>E98</x:f>
        <x:v>-0.000011193836944922708</x:v>
      </x:c>
      <x:c r="G98" s="74"/>
      <x:c r="H98" s="74" t="n">
        <x:v>20</x:v>
      </x:c>
      <x:c r="I98" s="74" t="n">
        <x:f>IF(M97&lt;0,K97,I97)</x:f>
        <x:v>0.027985238268798063</x:v>
      </x:c>
      <x:c r="J98" s="74" t="n">
        <x:f>IF(M97&lt;0,J97,K97)</x:f>
        <x:v>0.028310350377609636</x:v>
      </x:c>
      <x:c r="K98" s="74" t="n">
        <x:f>(I98+J98)/2</x:f>
        <x:v>0.02814779432320385</x:v>
      </x:c>
      <x:c r="L98" s="74" t="n">
        <x:f>$B$13+$B$14*SIN(RADIANS(K98+$B$15))+$B$9*SIN(RADIANS(K98+$B$15))*((1-EXP(-$B$10*(-LN(1-$B$10*($B$8/$B$12-$B$14*COS(RADIANS(K98+$B$15)))/($B$9*COS(RADIANS(K98+$B$15))))/$B$10)))/$B$10)-$B$11*(((-LN(1-$B$10*($B$8/$B$12-$B$14*COS(RADIANS(K98+$B$15)))/($B$9*COS(RADIANS(K98+$B$15))))/$B$10)-((1-EXP(-$B$10*(-LN(1-$B$10*($B$8/$B$12-$B$14*COS(RADIANS(K98+$B$15)))/($B$9*COS(RADIANS(K98+$B$15))))/$B$10)))/$B$10))/$B$10)</x:f>
        <x:v>1.0007736786204084</x:v>
      </x:c>
      <x:c r="M98" s="74" t="n">
        <x:f>L98-1</x:f>
        <x:v>0.0007736786204084467</x:v>
      </x:c>
    </x:row>
    <x:row r="99">
      <x:c r="A99" s="35" t="n">
        <x:v>21</x:v>
      </x:c>
      <x:c r="B99" s="74" t="n">
        <x:f>IF(F98&lt;0,D98,B98)</x:f>
        <x:v>-0.18089929164263735</x:v>
      </x:c>
      <x:c r="C99" s="74" t="n">
        <x:f>IF(F98&lt;0,C98,D98)</x:f>
        <x:v>-0.18073673558823158</x:v>
      </x:c>
      <x:c r="D99" s="74" t="n">
        <x:f>(B99+C99)/2</x:f>
        <x:v>-0.18081801361543448</x:v>
      </x:c>
      <x:c r="E99" s="74" t="n">
        <x:f>$B$13+$B$14*SIN(RADIANS(D99+$B$15))+$B$9*SIN(RADIANS(D99+$B$15))*((1-EXP(-$B$10*(-LN(1-$B$10*($B$8/$B$12-$B$14*COS(RADIANS(D99+$B$15)))/($B$9*COS(RADIANS(D99+$B$15))))/$B$10)))/$B$10)-$B$11*(((-LN(1-$B$10*($B$8/$B$12-$B$14*COS(RADIANS(D99+$B$15)))/($B$9*COS(RADIANS(D99+$B$15))))/$B$10)-((1-EXP(-$B$10*(-LN(1-$B$10*($B$8/$B$12-$B$14*COS(RADIANS(D99+$B$15)))/($B$9*COS(RADIANS(D99+$B$15))))/$B$10)))/$B$10))/$B$10)</x:f>
        <x:v>0.0003779186539119017</x:v>
      </x:c>
      <x:c r="F99" s="74" t="n">
        <x:f>E99</x:f>
        <x:v>0.0003779186539119017</x:v>
      </x:c>
      <x:c r="G99" s="74"/>
      <x:c r="H99" s="74" t="n">
        <x:v>21</x:v>
      </x:c>
      <x:c r="I99" s="74" t="n">
        <x:f>IF(M98&lt;0,K98,I98)</x:f>
        <x:v>0.027985238268798063</x:v>
      </x:c>
      <x:c r="J99" s="74" t="n">
        <x:f>IF(M98&lt;0,J98,K98)</x:f>
        <x:v>0.02814779432320385</x:v>
      </x:c>
      <x:c r="K99" s="74" t="n">
        <x:f>(I99+J99)/2</x:f>
        <x:v>0.028066516296000956</x:v>
      </x:c>
      <x:c r="L99" s="74" t="n">
        <x:f>$B$13+$B$14*SIN(RADIANS(K99+$B$15))+$B$9*SIN(RADIANS(K99+$B$15))*((1-EXP(-$B$10*(-LN(1-$B$10*($B$8/$B$12-$B$14*COS(RADIANS(K99+$B$15)))/($B$9*COS(RADIANS(K99+$B$15))))/$B$10)))/$B$10)-$B$11*(((-LN(1-$B$10*($B$8/$B$12-$B$14*COS(RADIANS(K99+$B$15)))/($B$9*COS(RADIANS(K99+$B$15))))/$B$10)-((1-EXP(-$B$10*(-LN(1-$B$10*($B$8/$B$12-$B$14*COS(RADIANS(K99+$B$15)))/($B$9*COS(RADIANS(K99+$B$15))))/$B$10)))/$B$10))/$B$10)</x:f>
        <x:v>1.0003845740897739</x:v>
      </x:c>
      <x:c r="M99" s="74" t="n">
        <x:f>L99-1</x:f>
        <x:v>0.0003845740897738814</x:v>
      </x:c>
    </x:row>
    <x:row r="100">
      <x:c r="A100" s="35" t="n">
        <x:v>22</x:v>
      </x:c>
      <x:c r="B100" s="74" t="n">
        <x:f>IF(F99&lt;0,D99,B99)</x:f>
        <x:v>-0.18089929164263735</x:v>
      </x:c>
      <x:c r="C100" s="74" t="n">
        <x:f>IF(F99&lt;0,C99,D99)</x:f>
        <x:v>-0.18081801361543448</x:v>
      </x:c>
      <x:c r="D100" s="74" t="n">
        <x:f>(B100+C100)/2</x:f>
        <x:v>-0.18085865262903592</x:v>
      </x:c>
      <x:c r="E100" s="74" t="n">
        <x:f>$B$13+$B$14*SIN(RADIANS(D100+$B$15))+$B$9*SIN(RADIANS(D100+$B$15))*((1-EXP(-$B$10*(-LN(1-$B$10*($B$8/$B$12-$B$14*COS(RADIANS(D100+$B$15)))/($B$9*COS(RADIANS(D100+$B$15))))/$B$10)))/$B$10)-$B$11*(((-LN(1-$B$10*($B$8/$B$12-$B$14*COS(RADIANS(D100+$B$15)))/($B$9*COS(RADIANS(D100+$B$15))))/$B$10)-((1-EXP(-$B$10*(-LN(1-$B$10*($B$8/$B$12-$B$14*COS(RADIANS(D100+$B$15)))/($B$9*COS(RADIANS(D100+$B$15))))/$B$10)))/$B$10))/$B$10)</x:f>
        <x:v>0.0001833624091172048</x:v>
      </x:c>
      <x:c r="F100" s="74" t="n">
        <x:f>E100</x:f>
        <x:v>0.0001833624091172048</x:v>
      </x:c>
      <x:c r="G100" s="74"/>
      <x:c r="H100" s="74" t="n">
        <x:v>22</x:v>
      </x:c>
      <x:c r="I100" s="74" t="n">
        <x:f>IF(M99&lt;0,K99,I99)</x:f>
        <x:v>0.027985238268798063</x:v>
      </x:c>
      <x:c r="J100" s="74" t="n">
        <x:f>IF(M99&lt;0,J99,K99)</x:f>
        <x:v>0.028066516296000956</x:v>
      </x:c>
      <x:c r="K100" s="74" t="n">
        <x:f>(I100+J100)/2</x:f>
        <x:v>0.02802587728239951</x:v>
      </x:c>
      <x:c r="L100" s="74" t="n">
        <x:f>$B$13+$B$14*SIN(RADIANS(K100+$B$15))+$B$9*SIN(RADIANS(K100+$B$15))*((1-EXP(-$B$10*(-LN(1-$B$10*($B$8/$B$12-$B$14*COS(RADIANS(K100+$B$15)))/($B$9*COS(RADIANS(K100+$B$15))))/$B$10)))/$B$10)-$B$11*(((-LN(1-$B$10*($B$8/$B$12-$B$14*COS(RADIANS(K100+$B$15)))/($B$9*COS(RADIANS(K100+$B$15))))/$B$10)-((1-EXP(-$B$10*(-LN(1-$B$10*($B$8/$B$12-$B$14*COS(RADIANS(K100+$B$15)))/($B$9*COS(RADIANS(K100+$B$15))))/$B$10)))/$B$10))/$B$10)</x:f>
        <x:v>1.000190021824027</x:v>
      </x:c>
      <x:c r="M100" s="74" t="n">
        <x:f>L100-1</x:f>
        <x:v>0.00019002182402694245</x:v>
      </x:c>
    </x:row>
    <x:row r="101">
      <x:c r="A101" s="35" t="n">
        <x:v>23</x:v>
      </x:c>
      <x:c r="B101" s="74" t="n">
        <x:f>IF(F100&lt;0,D100,B100)</x:f>
        <x:v>-0.18089929164263735</x:v>
      </x:c>
      <x:c r="C101" s="74" t="n">
        <x:f>IF(F100&lt;0,C100,D100)</x:f>
        <x:v>-0.18085865262903592</x:v>
      </x:c>
      <x:c r="D101" s="74" t="n">
        <x:f>(B101+C101)/2</x:f>
        <x:v>-0.18087897213583665</x:v>
      </x:c>
      <x:c r="E101" s="74" t="n">
        <x:f>$B$13+$B$14*SIN(RADIANS(D101+$B$15))+$B$9*SIN(RADIANS(D101+$B$15))*((1-EXP(-$B$10*(-LN(1-$B$10*($B$8/$B$12-$B$14*COS(RADIANS(D101+$B$15)))/($B$9*COS(RADIANS(D101+$B$15))))/$B$10)))/$B$10)-$B$11*(((-LN(1-$B$10*($B$8/$B$12-$B$14*COS(RADIANS(D101+$B$15)))/($B$9*COS(RADIANS(D101+$B$15))))/$B$10)-((1-EXP(-$B$10*(-LN(1-$B$10*($B$8/$B$12-$B$14*COS(RADIANS(D101+$B$15)))/($B$9*COS(RADIANS(D101+$B$15))))/$B$10)))/$B$10))/$B$10)</x:f>
        <x:v>0.00008608428624912179</x:v>
      </x:c>
      <x:c r="F101" s="74" t="n">
        <x:f>E101</x:f>
        <x:v>0.00008608428624912179</x:v>
      </x:c>
      <x:c r="G101" s="74"/>
      <x:c r="H101" s="74" t="n">
        <x:v>23</x:v>
      </x:c>
      <x:c r="I101" s="74" t="n">
        <x:f>IF(M100&lt;0,K100,I100)</x:f>
        <x:v>0.027985238268798063</x:v>
      </x:c>
      <x:c r="J101" s="74" t="n">
        <x:f>IF(M100&lt;0,J100,K100)</x:f>
        <x:v>0.02802587728239951</x:v>
      </x:c>
      <x:c r="K101" s="74" t="n">
        <x:f>(I101+J101)/2</x:f>
        <x:v>0.028005557775598787</x:v>
      </x:c>
      <x:c r="L101" s="74" t="n">
        <x:f>$B$13+$B$14*SIN(RADIANS(K101+$B$15))+$B$9*SIN(RADIANS(K101+$B$15))*((1-EXP(-$B$10*(-LN(1-$B$10*($B$8/$B$12-$B$14*COS(RADIANS(K101+$B$15)))/($B$9*COS(RADIANS(K101+$B$15))))/$B$10)))/$B$10)-$B$11*(((-LN(1-$B$10*($B$8/$B$12-$B$14*COS(RADIANS(K101+$B$15)))/($B$9*COS(RADIANS(K101+$B$15))))/$B$10)-((1-EXP(-$B$10*(-LN(1-$B$10*($B$8/$B$12-$B$14*COS(RADIANS(K101+$B$15)))/($B$9*COS(RADIANS(K101+$B$15))))/$B$10)))/$B$10))/$B$10)</x:f>
        <x:v>1.0000927456910662</x:v>
      </x:c>
      <x:c r="M101" s="74" t="n">
        <x:f>L101-1</x:f>
        <x:v>0.00009274569106620945</x:v>
      </x:c>
    </x:row>
    <x:row r="102">
      <x:c r="A102" s="35" t="n">
        <x:v>24</x:v>
      </x:c>
      <x:c r="B102" s="74" t="n">
        <x:f>IF(F101&lt;0,D101,B101)</x:f>
        <x:v>-0.18089929164263735</x:v>
      </x:c>
      <x:c r="C102" s="74" t="n">
        <x:f>IF(F101&lt;0,C101,D101)</x:f>
        <x:v>-0.18087897213583665</x:v>
      </x:c>
      <x:c r="D102" s="74" t="n">
        <x:f>(B102+C102)/2</x:f>
        <x:v>-0.180889131889237</x:v>
      </x:c>
      <x:c r="E102" s="74" t="n">
        <x:f>$B$13+$B$14*SIN(RADIANS(D102+$B$15))+$B$9*SIN(RADIANS(D102+$B$15))*((1-EXP(-$B$10*(-LN(1-$B$10*($B$8/$B$12-$B$14*COS(RADIANS(D102+$B$15)))/($B$9*COS(RADIANS(D102+$B$15))))/$B$10)))/$B$10)-$B$11*(((-LN(1-$B$10*($B$8/$B$12-$B$14*COS(RADIANS(D102+$B$15)))/($B$9*COS(RADIANS(D102+$B$15))))/$B$10)-((1-EXP(-$B$10*(-LN(1-$B$10*($B$8/$B$12-$B$14*COS(RADIANS(D102+$B$15)))/($B$9*COS(RADIANS(D102+$B$15))))/$B$10)))/$B$10))/$B$10)</x:f>
        <x:v>0.000037445224694288015</x:v>
      </x:c>
      <x:c r="F102" s="74" t="n">
        <x:f>E102</x:f>
        <x:v>0.000037445224694288015</x:v>
      </x:c>
      <x:c r="G102" s="74"/>
      <x:c r="H102" s="74" t="n">
        <x:v>24</x:v>
      </x:c>
      <x:c r="I102" s="74" t="n">
        <x:f>IF(M101&lt;0,K101,I101)</x:f>
        <x:v>0.027985238268798063</x:v>
      </x:c>
      <x:c r="J102" s="74" t="n">
        <x:f>IF(M101&lt;0,J101,K101)</x:f>
        <x:v>0.028005557775598787</x:v>
      </x:c>
      <x:c r="K102" s="74" t="n">
        <x:f>(I102+J102)/2</x:f>
        <x:v>0.027995398022198425</x:v>
      </x:c>
      <x:c r="L102" s="74" t="n">
        <x:f>$B$13+$B$14*SIN(RADIANS(K102+$B$15))+$B$9*SIN(RADIANS(K102+$B$15))*((1-EXP(-$B$10*(-LN(1-$B$10*($B$8/$B$12-$B$14*COS(RADIANS(K102+$B$15)))/($B$9*COS(RADIANS(K102+$B$15))))/$B$10)))/$B$10)-$B$11*(((-LN(1-$B$10*($B$8/$B$12-$B$14*COS(RADIANS(K102+$B$15)))/($B$9*COS(RADIANS(K102+$B$15))))/$B$10)-((1-EXP(-$B$10*(-LN(1-$B$10*($B$8/$B$12-$B$14*COS(RADIANS(K102+$B$15)))/($B$9*COS(RADIANS(K102+$B$15))))/$B$10)))/$B$10))/$B$10)</x:f>
        <x:v>1.0000441076245603</x:v>
      </x:c>
      <x:c r="M102" s="74" t="n">
        <x:f>L102-1</x:f>
        <x:v>0.00004410762456030781</x:v>
      </x:c>
    </x:row>
    <x:row r="103">
      <x:c r="A103" s="35" t="n">
        <x:v>25</x:v>
      </x:c>
      <x:c r="B103" s="74" t="n">
        <x:f>IF(F102&lt;0,D102,B102)</x:f>
        <x:v>-0.18089929164263735</x:v>
      </x:c>
      <x:c r="C103" s="74" t="n">
        <x:f>IF(F102&lt;0,C102,D102)</x:f>
        <x:v>-0.180889131889237</x:v>
      </x:c>
      <x:c r="D103" s="74" t="n">
        <x:f>(B103+C103)/2</x:f>
        <x:v>-0.18089421176593717</x:v>
      </x:c>
      <x:c r="E103" s="74" t="n">
        <x:f>$B$13+$B$14*SIN(RADIANS(D103+$B$15))+$B$9*SIN(RADIANS(D103+$B$15))*((1-EXP(-$B$10*(-LN(1-$B$10*($B$8/$B$12-$B$14*COS(RADIANS(D103+$B$15)))/($B$9*COS(RADIANS(D103+$B$15))))/$B$10)))/$B$10)-$B$11*(((-LN(1-$B$10*($B$8/$B$12-$B$14*COS(RADIANS(D103+$B$15)))/($B$9*COS(RADIANS(D103+$B$15))))/$B$10)-((1-EXP(-$B$10*(-LN(1-$B$10*($B$8/$B$12-$B$14*COS(RADIANS(D103+$B$15)))/($B$9*COS(RADIANS(D103+$B$15))))/$B$10)))/$B$10))/$B$10)</x:f>
        <x:v>0.000013125693884230571</x:v>
      </x:c>
      <x:c r="F103" s="74" t="n">
        <x:f>E103</x:f>
        <x:v>0.000013125693884230571</x:v>
      </x:c>
      <x:c r="G103" s="74"/>
      <x:c r="H103" s="74" t="n">
        <x:v>25</x:v>
      </x:c>
      <x:c r="I103" s="74" t="n">
        <x:f>IF(M102&lt;0,K102,I102)</x:f>
        <x:v>0.027985238268798063</x:v>
      </x:c>
      <x:c r="J103" s="74" t="n">
        <x:f>IF(M102&lt;0,J102,K102)</x:f>
        <x:v>0.027995398022198425</x:v>
      </x:c>
      <x:c r="K103" s="74" t="n">
        <x:f>(I103+J103)/2</x:f>
        <x:v>0.027990318145498246</x:v>
      </x:c>
      <x:c r="L103" s="74" t="n">
        <x:f>$B$13+$B$14*SIN(RADIANS(K103+$B$15))+$B$9*SIN(RADIANS(K103+$B$15))*((1-EXP(-$B$10*(-LN(1-$B$10*($B$8/$B$12-$B$14*COS(RADIANS(K103+$B$15)))/($B$9*COS(RADIANS(K103+$B$15))))/$B$10)))/$B$10)-$B$11*(((-LN(1-$B$10*($B$8/$B$12-$B$14*COS(RADIANS(K103+$B$15)))/($B$9*COS(RADIANS(K103+$B$15))))/$B$10)-((1-EXP(-$B$10*(-LN(1-$B$10*($B$8/$B$12-$B$14*COS(RADIANS(K103+$B$15)))/($B$9*COS(RADIANS(K103+$B$15))))/$B$10)))/$B$10))/$B$10)</x:f>
        <x:v>1.000019788591303</x:v>
      </x:c>
      <x:c r="M103" s="74" t="n">
        <x:f>L103-1</x:f>
        <x:v>0.000019788591302916103</x:v>
      </x:c>
    </x:row>
    <x:row r="104">
      <x:c r="A104" s="35" t="n">
        <x:v>26</x:v>
      </x:c>
      <x:c r="B104" s="74" t="n">
        <x:f>IF(F103&lt;0,D103,B103)</x:f>
        <x:v>-0.18089929164263735</x:v>
      </x:c>
      <x:c r="C104" s="74" t="n">
        <x:f>IF(F103&lt;0,C103,D103)</x:f>
        <x:v>-0.18089421176593717</x:v>
      </x:c>
      <x:c r="D104" s="74" t="n">
        <x:f>(B104+C104)/2</x:f>
        <x:v>-0.18089675170428726</x:v>
      </x:c>
      <x:c r="E104" s="74" t="n">
        <x:f>$B$13+$B$14*SIN(RADIANS(D104+$B$15))+$B$9*SIN(RADIANS(D104+$B$15))*((1-EXP(-$B$10*(-LN(1-$B$10*($B$8/$B$12-$B$14*COS(RADIANS(D104+$B$15)))/($B$9*COS(RADIANS(D104+$B$15))))/$B$10)))/$B$10)-$B$11*(((-LN(1-$B$10*($B$8/$B$12-$B$14*COS(RADIANS(D104+$B$15)))/($B$9*COS(RADIANS(D104+$B$15))))/$B$10)-((1-EXP(-$B$10*(-LN(1-$B$10*($B$8/$B$12-$B$14*COS(RADIANS(D104+$B$15)))/($B$9*COS(RADIANS(D104+$B$15))))/$B$10)))/$B$10))/$B$10)</x:f>
        <x:v>9.65928481200251e-7</x:v>
      </x:c>
      <x:c r="F104" s="74" t="n">
        <x:f>E104</x:f>
        <x:v>9.65928481200251e-7</x:v>
      </x:c>
      <x:c r="G104" s="74"/>
      <x:c r="H104" s="74" t="n">
        <x:v>26</x:v>
      </x:c>
      <x:c r="I104" s="74" t="n">
        <x:f>IF(M103&lt;0,K103,I103)</x:f>
        <x:v>0.027985238268798063</x:v>
      </x:c>
      <x:c r="J104" s="74" t="n">
        <x:f>IF(M103&lt;0,J103,K103)</x:f>
        <x:v>0.027990318145498246</x:v>
      </x:c>
      <x:c r="K104" s="74" t="n">
        <x:f>(I104+J104)/2</x:f>
        <x:v>0.027987778207148154</x:v>
      </x:c>
      <x:c r="L104" s="74" t="n">
        <x:f>$B$13+$B$14*SIN(RADIANS(K104+$B$15))+$B$9*SIN(RADIANS(K104+$B$15))*((1-EXP(-$B$10*(-LN(1-$B$10*($B$8/$B$12-$B$14*COS(RADIANS(K104+$B$15)))/($B$9*COS(RADIANS(K104+$B$15))))/$B$10)))/$B$10)-$B$11*(((-LN(1-$B$10*($B$8/$B$12-$B$14*COS(RADIANS(K104+$B$15)))/($B$9*COS(RADIANS(K104+$B$15))))/$B$10)-((1-EXP(-$B$10*(-LN(1-$B$10*($B$8/$B$12-$B$14*COS(RADIANS(K104+$B$15)))/($B$9*COS(RADIANS(K104+$B$15))))/$B$10)))/$B$10))/$B$10)</x:f>
        <x:v>1.000007629074668</x:v>
      </x:c>
      <x:c r="M104" s="74" t="n">
        <x:f>L104-1</x:f>
        <x:v>0.000007629074668003</x:v>
      </x:c>
    </x:row>
    <x:row r="105">
      <x:c r="A105" s="35" t="n">
        <x:v>27</x:v>
      </x:c>
      <x:c r="B105" s="74" t="n">
        <x:f>IF(F104&lt;0,D104,B104)</x:f>
        <x:v>-0.18089929164263735</x:v>
      </x:c>
      <x:c r="C105" s="74" t="n">
        <x:f>IF(F104&lt;0,C104,D104)</x:f>
        <x:v>-0.18089675170428726</x:v>
      </x:c>
      <x:c r="D105" s="74" t="n">
        <x:f>(B105+C105)/2</x:f>
        <x:v>-0.1808980216734623</x:v>
      </x:c>
      <x:c r="E105" s="74" t="n">
        <x:f>$B$13+$B$14*SIN(RADIANS(D105+$B$15))+$B$9*SIN(RADIANS(D105+$B$15))*((1-EXP(-$B$10*(-LN(1-$B$10*($B$8/$B$12-$B$14*COS(RADIANS(D105+$B$15)))/($B$9*COS(RADIANS(D105+$B$15))))/$B$10)))/$B$10)-$B$11*(((-LN(1-$B$10*($B$8/$B$12-$B$14*COS(RADIANS(D105+$B$15)))/($B$9*COS(RADIANS(D105+$B$15))))/$B$10)-((1-EXP(-$B$10*(-LN(1-$B$10*($B$8/$B$12-$B$14*COS(RADIANS(D105+$B$15)))/($B$9*COS(RADIANS(D105+$B$15))))/$B$10)))/$B$10))/$B$10)</x:f>
        <x:v>-0.000005113954232083273</x:v>
      </x:c>
      <x:c r="F105" s="74" t="n">
        <x:f>E105</x:f>
        <x:v>-0.000005113954232083273</x:v>
      </x:c>
      <x:c r="G105" s="74"/>
      <x:c r="H105" s="74" t="n">
        <x:v>27</x:v>
      </x:c>
      <x:c r="I105" s="74" t="n">
        <x:f>IF(M104&lt;0,K104,I104)</x:f>
        <x:v>0.027985238268798063</x:v>
      </x:c>
      <x:c r="J105" s="74" t="n">
        <x:f>IF(M104&lt;0,J104,K104)</x:f>
        <x:v>0.027987778207148154</x:v>
      </x:c>
      <x:c r="K105" s="74" t="n">
        <x:f>(I105+J105)/2</x:f>
        <x:v>0.027986508237973107</x:v>
      </x:c>
      <x:c r="L105" s="74" t="n">
        <x:f>$B$13+$B$14*SIN(RADIANS(K105+$B$15))+$B$9*SIN(RADIANS(K105+$B$15))*((1-EXP(-$B$10*(-LN(1-$B$10*($B$8/$B$12-$B$14*COS(RADIANS(K105+$B$15)))/($B$9*COS(RADIANS(K105+$B$15))))/$B$10)))/$B$10)-$B$11*(((-LN(1-$B$10*($B$8/$B$12-$B$14*COS(RADIANS(K105+$B$15)))/($B$9*COS(RADIANS(K105+$B$15))))/$B$10)-((1-EXP(-$B$10*(-LN(1-$B$10*($B$8/$B$12-$B$14*COS(RADIANS(K105+$B$15)))/($B$9*COS(RADIANS(K105+$B$15))))/$B$10)))/$B$10))/$B$10)</x:f>
        <x:v>1.0000015493163477</x:v>
      </x:c>
      <x:c r="M105" s="74" t="n">
        <x:f>L105-1</x:f>
        <x:v>0.0000015493163476598681</x:v>
      </x:c>
    </x:row>
    <x:row r="106">
      <x:c r="A106" s="35" t="n">
        <x:v>28</x:v>
      </x:c>
      <x:c r="B106" s="74" t="n">
        <x:f>IF(F105&lt;0,D105,B105)</x:f>
        <x:v>-0.1808980216734623</x:v>
      </x:c>
      <x:c r="C106" s="74" t="n">
        <x:f>IF(F105&lt;0,C105,D105)</x:f>
        <x:v>-0.18089675170428726</x:v>
      </x:c>
      <x:c r="D106" s="74" t="n">
        <x:f>(B106+C106)/2</x:f>
        <x:v>-0.18089738668887478</x:v>
      </x:c>
      <x:c r="E106" s="74" t="n">
        <x:f>$B$13+$B$14*SIN(RADIANS(D106+$B$15))+$B$9*SIN(RADIANS(D106+$B$15))*((1-EXP(-$B$10*(-LN(1-$B$10*($B$8/$B$12-$B$14*COS(RADIANS(D106+$B$15)))/($B$9*COS(RADIANS(D106+$B$15))))/$B$10)))/$B$10)-$B$11*(((-LN(1-$B$10*($B$8/$B$12-$B$14*COS(RADIANS(D106+$B$15)))/($B$9*COS(RADIANS(D106+$B$15))))/$B$10)-((1-EXP(-$B$10*(-LN(1-$B$10*($B$8/$B$12-$B$14*COS(RADIANS(D106+$B$15)))/($B$9*COS(RADIANS(D106+$B$15))))/$B$10)))/$B$10))/$B$10)</x:f>
        <x:v>-0.000002074012884989429</x:v>
      </x:c>
      <x:c r="F106" s="74" t="n">
        <x:f>E106</x:f>
        <x:v>-0.000002074012884989429</x:v>
      </x:c>
      <x:c r="G106" s="74"/>
      <x:c r="H106" s="74" t="n">
        <x:v>28</x:v>
      </x:c>
      <x:c r="I106" s="74" t="n">
        <x:f>IF(M105&lt;0,K105,I105)</x:f>
        <x:v>0.027985238268798063</x:v>
      </x:c>
      <x:c r="J106" s="74" t="n">
        <x:f>IF(M105&lt;0,J105,K105)</x:f>
        <x:v>0.027986508237973107</x:v>
      </x:c>
      <x:c r="K106" s="74" t="n">
        <x:f>(I106+J106)/2</x:f>
        <x:v>0.027985873253385585</x:v>
      </x:c>
      <x:c r="L106" s="74" t="n">
        <x:f>$B$13+$B$14*SIN(RADIANS(K106+$B$15))+$B$9*SIN(RADIANS(K106+$B$15))*((1-EXP(-$B$10*(-LN(1-$B$10*($B$8/$B$12-$B$14*COS(RADIANS(K106+$B$15)))/($B$9*COS(RADIANS(K106+$B$15))))/$B$10)))/$B$10)-$B$11*(((-LN(1-$B$10*($B$8/$B$12-$B$14*COS(RADIANS(K106+$B$15)))/($B$9*COS(RADIANS(K106+$B$15))))/$B$10)-((1-EXP(-$B$10*(-LN(1-$B$10*($B$8/$B$12-$B$14*COS(RADIANS(K106+$B$15)))/($B$9*COS(RADIANS(K106+$B$15))))/$B$10)))/$B$10))/$B$10)</x:f>
        <x:v>0.9999985094371886</x:v>
      </x:c>
      <x:c r="M106" s="74" t="n">
        <x:f>L106-1</x:f>
        <x:v>-0.0000014905628114014746</x:v>
      </x:c>
    </x:row>
    <x:row r="107">
      <x:c r="A107" s="35" t="n">
        <x:v>29</x:v>
      </x:c>
      <x:c r="B107" s="74" t="n">
        <x:f>IF(F106&lt;0,D106,B106)</x:f>
        <x:v>-0.18089738668887478</x:v>
      </x:c>
      <x:c r="C107" s="74" t="n">
        <x:f>IF(F106&lt;0,C106,D106)</x:f>
        <x:v>-0.18089675170428726</x:v>
      </x:c>
      <x:c r="D107" s="74" t="n">
        <x:f>(B107+C107)/2</x:f>
        <x:v>-0.18089706919658102</x:v>
      </x:c>
      <x:c r="E107" s="74" t="n">
        <x:f>$B$13+$B$14*SIN(RADIANS(D107+$B$15))+$B$9*SIN(RADIANS(D107+$B$15))*((1-EXP(-$B$10*(-LN(1-$B$10*($B$8/$B$12-$B$14*COS(RADIANS(D107+$B$15)))/($B$9*COS(RADIANS(D107+$B$15))))/$B$10)))/$B$10)-$B$11*(((-LN(1-$B$10*($B$8/$B$12-$B$14*COS(RADIANS(D107+$B$15)))/($B$9*COS(RADIANS(D107+$B$15))))/$B$10)-((1-EXP(-$B$10*(-LN(1-$B$10*($B$8/$B$12-$B$14*COS(RADIANS(D107+$B$15)))/($B$9*COS(RADIANS(D107+$B$15))))/$B$10)))/$B$10))/$B$10)</x:f>
        <x:v>-5.540421916805371e-7</x:v>
      </x:c>
      <x:c r="F107" s="74" t="n">
        <x:f>E107</x:f>
        <x:v>-5.540421916805371e-7</x:v>
      </x:c>
      <x:c r="G107" s="74"/>
      <x:c r="H107" s="74" t="n">
        <x:v>29</x:v>
      </x:c>
      <x:c r="I107" s="74" t="n">
        <x:f>IF(M106&lt;0,K106,I106)</x:f>
        <x:v>0.027985873253385585</x:v>
      </x:c>
      <x:c r="J107" s="74" t="n">
        <x:f>IF(M106&lt;0,J106,K106)</x:f>
        <x:v>0.027986508237973107</x:v>
      </x:c>
      <x:c r="K107" s="74" t="n">
        <x:f>(I107+J107)/2</x:f>
        <x:v>0.027986190745679346</x:v>
      </x:c>
      <x:c r="L107" s="74" t="n">
        <x:f>$B$13+$B$14*SIN(RADIANS(K107+$B$15))+$B$9*SIN(RADIANS(K107+$B$15))*((1-EXP(-$B$10*(-LN(1-$B$10*($B$8/$B$12-$B$14*COS(RADIANS(K107+$B$15)))/($B$9*COS(RADIANS(K107+$B$15))))/$B$10)))/$B$10)-$B$11*(((-LN(1-$B$10*($B$8/$B$12-$B$14*COS(RADIANS(K107+$B$15)))/($B$9*COS(RADIANS(K107+$B$15))))/$B$10)-((1-EXP(-$B$10*(-LN(1-$B$10*($B$8/$B$12-$B$14*COS(RADIANS(K107+$B$15)))/($B$9*COS(RADIANS(K107+$B$15))))/$B$10)))/$B$10))/$B$10)</x:f>
        <x:v>1.0000000293767664</x:v>
      </x:c>
      <x:c r="M107" s="74" t="n">
        <x:f>L107-1</x:f>
        <x:v>2.9376766352839923e-8</x:v>
      </x:c>
    </x:row>
    <x:row r="108">
      <x:c r="A108" s="35" t="n">
        <x:v>30</x:v>
      </x:c>
      <x:c r="B108" s="74" t="n">
        <x:f>IF(F107&lt;0,D107,B107)</x:f>
        <x:v>-0.18089706919658102</x:v>
      </x:c>
      <x:c r="C108" s="74" t="n">
        <x:f>IF(F107&lt;0,C107,D107)</x:f>
        <x:v>-0.18089675170428726</x:v>
      </x:c>
      <x:c r="D108" s="74" t="n">
        <x:f>(B108+C108)/2</x:f>
        <x:v>-0.18089691045043416</x:v>
      </x:c>
      <x:c r="E108" s="74" t="n">
        <x:f>$B$13+$B$14*SIN(RADIANS(D108+$B$15))+$B$9*SIN(RADIANS(D108+$B$15))*((1-EXP(-$B$10*(-LN(1-$B$10*($B$8/$B$12-$B$14*COS(RADIANS(D108+$B$15)))/($B$9*COS(RADIANS(D108+$B$15))))/$B$10)))/$B$10)-$B$11*(((-LN(1-$B$10*($B$8/$B$12-$B$14*COS(RADIANS(D108+$B$15)))/($B$9*COS(RADIANS(D108+$B$15))))/$B$10)-((1-EXP(-$B$10*(-LN(1-$B$10*($B$8/$B$12-$B$14*COS(RADIANS(D108+$B$15)))/($B$9*COS(RADIANS(D108+$B$15))))/$B$10)))/$B$10))/$B$10)</x:f>
        <x:v>2.0594312655219937e-7</x:v>
      </x:c>
      <x:c r="F108" s="74" t="n">
        <x:f>E108</x:f>
        <x:v>2.0594312655219937e-7</x:v>
      </x:c>
      <x:c r="G108" s="74"/>
      <x:c r="H108" s="74" t="n">
        <x:v>30</x:v>
      </x:c>
      <x:c r="I108" s="74" t="n">
        <x:f>IF(M107&lt;0,K107,I107)</x:f>
        <x:v>0.027985873253385585</x:v>
      </x:c>
      <x:c r="J108" s="74" t="n">
        <x:f>IF(M107&lt;0,J107,K107)</x:f>
        <x:v>0.027986190745679346</x:v>
      </x:c>
      <x:c r="K108" s="74" t="n">
        <x:f>(I108+J108)/2</x:f>
        <x:v>0.027986031999532465</x:v>
      </x:c>
      <x:c r="L108" s="74" t="n">
        <x:f>$B$13+$B$14*SIN(RADIANS(K108+$B$15))+$B$9*SIN(RADIANS(K108+$B$15))*((1-EXP(-$B$10*(-LN(1-$B$10*($B$8/$B$12-$B$14*COS(RADIANS(K108+$B$15)))/($B$9*COS(RADIANS(K108+$B$15))))/$B$10)))/$B$10)-$B$11*(((-LN(1-$B$10*($B$8/$B$12-$B$14*COS(RADIANS(K108+$B$15)))/($B$9*COS(RADIANS(K108+$B$15))))/$B$10)-((1-EXP(-$B$10*(-LN(1-$B$10*($B$8/$B$12-$B$14*COS(RADIANS(K108+$B$15)))/($B$9*COS(RADIANS(K108+$B$15))))/$B$10)))/$B$10))/$B$10)</x:f>
        <x:v>0.9999992694069832</x:v>
      </x:c>
      <x:c r="M108" s="74" t="n">
        <x:f>L108-1</x:f>
        <x:v>-7.305930167511576e-7</x:v>
      </x:c>
    </x:row>
    <x:row r="109">
      <x:c r="A109" s="35" t="n">
        <x:v>31</x:v>
      </x:c>
      <x:c r="B109" s="74" t="n">
        <x:f>IF(F108&lt;0,D108,B108)</x:f>
        <x:v>-0.18089706919658102</x:v>
      </x:c>
      <x:c r="C109" s="74" t="n">
        <x:f>IF(F108&lt;0,C108,D108)</x:f>
        <x:v>-0.18089691045043416</x:v>
      </x:c>
      <x:c r="D109" s="74" t="n">
        <x:f>(B109+C109)/2</x:f>
        <x:v>-0.1808969898235076</x:v>
      </x:c>
      <x:c r="E109" s="74" t="n">
        <x:f>$B$13+$B$14*SIN(RADIANS(D109+$B$15))+$B$9*SIN(RADIANS(D109+$B$15))*((1-EXP(-$B$10*(-LN(1-$B$10*($B$8/$B$12-$B$14*COS(RADIANS(D109+$B$15)))/($B$9*COS(RADIANS(D109+$B$15))))/$B$10)))/$B$10)-$B$11*(((-LN(1-$B$10*($B$8/$B$12-$B$14*COS(RADIANS(D109+$B$15)))/($B$9*COS(RADIANS(D109+$B$15))))/$B$10)-((1-EXP(-$B$10*(-LN(1-$B$10*($B$8/$B$12-$B$14*COS(RADIANS(D109+$B$15)))/($B$9*COS(RADIANS(D109+$B$15))))/$B$10)))/$B$10))/$B$10)</x:f>
        <x:v>-1.740495378932394e-7</x:v>
      </x:c>
      <x:c r="F109" s="74" t="n">
        <x:f>E109</x:f>
        <x:v>-1.740495378932394e-7</x:v>
      </x:c>
      <x:c r="G109" s="74"/>
      <x:c r="H109" s="74" t="n">
        <x:v>31</x:v>
      </x:c>
      <x:c r="I109" s="74" t="n">
        <x:f>IF(M108&lt;0,K108,I108)</x:f>
        <x:v>0.027986031999532465</x:v>
      </x:c>
      <x:c r="J109" s="74" t="n">
        <x:f>IF(M108&lt;0,J108,K108)</x:f>
        <x:v>0.027986190745679346</x:v>
      </x:c>
      <x:c r="K109" s="74" t="n">
        <x:f>(I109+J109)/2</x:f>
        <x:v>0.027986111372605905</x:v>
      </x:c>
      <x:c r="L109" s="74" t="n">
        <x:f>$B$13+$B$14*SIN(RADIANS(K109+$B$15))+$B$9*SIN(RADIANS(K109+$B$15))*((1-EXP(-$B$10*(-LN(1-$B$10*($B$8/$B$12-$B$14*COS(RADIANS(K109+$B$15)))/($B$9*COS(RADIANS(K109+$B$15))))/$B$10)))/$B$10)-$B$11*(((-LN(1-$B$10*($B$8/$B$12-$B$14*COS(RADIANS(K109+$B$15)))/($B$9*COS(RADIANS(K109+$B$15))))/$B$10)-((1-EXP(-$B$10*(-LN(1-$B$10*($B$8/$B$12-$B$14*COS(RADIANS(K109+$B$15)))/($B$9*COS(RADIANS(K109+$B$15))))/$B$10)))/$B$10))/$B$10)</x:f>
        <x:v>0.999999649391877</x:v>
      </x:c>
      <x:c r="M109" s="74" t="n">
        <x:f>L109-1</x:f>
        <x:v>-3.506081229787128e-7</x:v>
      </x:c>
    </x:row>
    <x:row r="110">
      <x:c r="A110" s="35" t="n">
        <x:v>32</x:v>
      </x:c>
      <x:c r="B110" s="74" t="n">
        <x:f>IF(F109&lt;0,D109,B109)</x:f>
        <x:v>-0.1808969898235076</x:v>
      </x:c>
      <x:c r="C110" s="74" t="n">
        <x:f>IF(F109&lt;0,C109,D109)</x:f>
        <x:v>-0.18089691045043416</x:v>
      </x:c>
      <x:c r="D110" s="74" t="n">
        <x:f>(B110+C110)/2</x:f>
        <x:v>-0.18089695013697088</x:v>
      </x:c>
      <x:c r="E110" s="74" t="n">
        <x:f>$B$13+$B$14*SIN(RADIANS(D110+$B$15))+$B$9*SIN(RADIANS(D110+$B$15))*((1-EXP(-$B$10*(-LN(1-$B$10*($B$8/$B$12-$B$14*COS(RADIANS(D110+$B$15)))/($B$9*COS(RADIANS(D110+$B$15))))/$B$10)))/$B$10)-$B$11*(((-LN(1-$B$10*($B$8/$B$12-$B$14*COS(RADIANS(D110+$B$15)))/($B$9*COS(RADIANS(D110+$B$15))))/$B$10)-((1-EXP(-$B$10*(-LN(1-$B$10*($B$8/$B$12-$B$14*COS(RADIANS(D110+$B$15)))/($B$9*COS(RADIANS(D110+$B$15))))/$B$10)))/$B$10))/$B$10)</x:f>
        <x:v>1.594679410743538e-8</x:v>
      </x:c>
      <x:c r="F110" s="74" t="n">
        <x:f>E110</x:f>
        <x:v>1.594679410743538e-8</x:v>
      </x:c>
      <x:c r="G110" s="74"/>
      <x:c r="H110" s="74" t="n">
        <x:v>32</x:v>
      </x:c>
      <x:c r="I110" s="74" t="n">
        <x:f>IF(M109&lt;0,K109,I109)</x:f>
        <x:v>0.027986111372605905</x:v>
      </x:c>
      <x:c r="J110" s="74" t="n">
        <x:f>IF(M109&lt;0,J109,K109)</x:f>
        <x:v>0.027986190745679346</x:v>
      </x:c>
      <x:c r="K110" s="74" t="n">
        <x:f>(I110+J110)/2</x:f>
        <x:v>0.027986151059142626</x:v>
      </x:c>
      <x:c r="L110" s="74" t="n">
        <x:f>$B$13+$B$14*SIN(RADIANS(K110+$B$15))+$B$9*SIN(RADIANS(K110+$B$15))*((1-EXP(-$B$10*(-LN(1-$B$10*($B$8/$B$12-$B$14*COS(RADIANS(K110+$B$15)))/($B$9*COS(RADIANS(K110+$B$15))))/$B$10)))/$B$10)-$B$11*(((-LN(1-$B$10*($B$8/$B$12-$B$14*COS(RADIANS(K110+$B$15)))/($B$9*COS(RADIANS(K110+$B$15))))/$B$10)-((1-EXP(-$B$10*(-LN(1-$B$10*($B$8/$B$12-$B$14*COS(RADIANS(K110+$B$15)))/($B$9*COS(RADIANS(K110+$B$15))))/$B$10)))/$B$10))/$B$10)</x:f>
        <x:v>0.9999998393843268</x:v>
      </x:c>
      <x:c r="M110" s="74" t="n">
        <x:f>L110-1</x:f>
        <x:v>-1.6061567320591053e-7</x:v>
      </x:c>
    </x:row>
    <x:row r="111">
      <x:c r="A111" s="35" t="n">
        <x:v>33</x:v>
      </x:c>
      <x:c r="B111" s="74" t="n">
        <x:f>IF(F110&lt;0,D110,B110)</x:f>
        <x:v>-0.1808969898235076</x:v>
      </x:c>
      <x:c r="C111" s="74" t="n">
        <x:f>IF(F110&lt;0,C110,D110)</x:f>
        <x:v>-0.18089695013697088</x:v>
      </x:c>
      <x:c r="D111" s="74" t="n">
        <x:f>(B111+C111)/2</x:f>
        <x:v>-0.18089696998023924</x:v>
      </x:c>
      <x:c r="E111" s="74" t="n">
        <x:f>$B$13+$B$14*SIN(RADIANS(D111+$B$15))+$B$9*SIN(RADIANS(D111+$B$15))*((1-EXP(-$B$10*(-LN(1-$B$10*($B$8/$B$12-$B$14*COS(RADIANS(D111+$B$15)))/($B$9*COS(RADIANS(D111+$B$15))))/$B$10)))/$B$10)-$B$11*(((-LN(1-$B$10*($B$8/$B$12-$B$14*COS(RADIANS(D111+$B$15)))/($B$9*COS(RADIANS(D111+$B$15))))/$B$10)-((1-EXP(-$B$10*(-LN(1-$B$10*($B$8/$B$12-$B$14*COS(RADIANS(D111+$B$15)))/($B$9*COS(RADIANS(D111+$B$15))))/$B$10)))/$B$10))/$B$10)</x:f>
        <x:v>-7.905136278907321e-8</x:v>
      </x:c>
      <x:c r="F111" s="74" t="n">
        <x:f>E111</x:f>
        <x:v>-7.905136278907321e-8</x:v>
      </x:c>
      <x:c r="G111" s="74"/>
      <x:c r="H111" s="74" t="n">
        <x:v>33</x:v>
      </x:c>
      <x:c r="I111" s="74" t="n">
        <x:f>IF(M110&lt;0,K110,I110)</x:f>
        <x:v>0.027986151059142626</x:v>
      </x:c>
      <x:c r="J111" s="74" t="n">
        <x:f>IF(M110&lt;0,J110,K110)</x:f>
        <x:v>0.027986190745679346</x:v>
      </x:c>
      <x:c r="K111" s="74" t="n">
        <x:f>(I111+J111)/2</x:f>
        <x:v>0.027986170902410984</x:v>
      </x:c>
      <x:c r="L111" s="74" t="n">
        <x:f>$B$13+$B$14*SIN(RADIANS(K111+$B$15))+$B$9*SIN(RADIANS(K111+$B$15))*((1-EXP(-$B$10*(-LN(1-$B$10*($B$8/$B$12-$B$14*COS(RADIANS(K111+$B$15)))/($B$9*COS(RADIANS(K111+$B$15))))/$B$10)))/$B$10)-$B$11*(((-LN(1-$B$10*($B$8/$B$12-$B$14*COS(RADIANS(K111+$B$15)))/($B$9*COS(RADIANS(K111+$B$15))))/$B$10)-((1-EXP(-$B$10*(-LN(1-$B$10*($B$8/$B$12-$B$14*COS(RADIANS(K111+$B$15)))/($B$9*COS(RADIANS(K111+$B$15))))/$B$10)))/$B$10))/$B$10)</x:f>
        <x:v>0.9999999343805528</x:v>
      </x:c>
      <x:c r="M111" s="74" t="n">
        <x:f>L111-1</x:f>
        <x:v>-6.561944720928636e-8</x:v>
      </x:c>
    </x:row>
    <x:row r="112">
      <x:c r="A112" s="35" t="n">
        <x:v>34</x:v>
      </x:c>
      <x:c r="B112" s="74" t="n">
        <x:f>IF(F111&lt;0,D111,B111)</x:f>
        <x:v>-0.18089696998023924</x:v>
      </x:c>
      <x:c r="C112" s="74" t="n">
        <x:f>IF(F111&lt;0,C111,D111)</x:f>
        <x:v>-0.18089695013697088</x:v>
      </x:c>
      <x:c r="D112" s="74" t="n">
        <x:f>(B112+C112)/2</x:f>
        <x:v>-0.18089696005860506</x:v>
      </x:c>
      <x:c r="E112" s="74" t="n">
        <x:f>$B$13+$B$14*SIN(RADIANS(D112+$B$15))+$B$9*SIN(RADIANS(D112+$B$15))*((1-EXP(-$B$10*(-LN(1-$B$10*($B$8/$B$12-$B$14*COS(RADIANS(D112+$B$15)))/($B$9*COS(RADIANS(D112+$B$15))))/$B$10)))/$B$10)-$B$11*(((-LN(1-$B$10*($B$8/$B$12-$B$14*COS(RADIANS(D112+$B$15)))/($B$9*COS(RADIANS(D112+$B$15))))/$B$10)-((1-EXP(-$B$10*(-LN(1-$B$10*($B$8/$B$12-$B$14*COS(RADIANS(D112+$B$15)))/($B$9*COS(RADIANS(D112+$B$15))))/$B$10)))/$B$10))/$B$10)</x:f>
        <x:v>-3.1552284784908124e-8</x:v>
      </x:c>
      <x:c r="F112" s="74" t="n">
        <x:f>E112</x:f>
        <x:v>-3.1552284784908124e-8</x:v>
      </x:c>
      <x:c r="G112" s="74"/>
      <x:c r="H112" s="74" t="n">
        <x:v>34</x:v>
      </x:c>
      <x:c r="I112" s="74" t="n">
        <x:f>IF(M111&lt;0,K111,I111)</x:f>
        <x:v>0.027986170902410984</x:v>
      </x:c>
      <x:c r="J112" s="74" t="n">
        <x:f>IF(M111&lt;0,J111,K111)</x:f>
        <x:v>0.027986190745679346</x:v>
      </x:c>
      <x:c r="K112" s="74" t="n">
        <x:f>(I112+J112)/2</x:f>
        <x:v>0.027986180824045165</x:v>
      </x:c>
      <x:c r="L112" s="74" t="n">
        <x:f>$B$13+$B$14*SIN(RADIANS(K112+$B$15))+$B$9*SIN(RADIANS(K112+$B$15))*((1-EXP(-$B$10*(-LN(1-$B$10*($B$8/$B$12-$B$14*COS(RADIANS(K112+$B$15)))/($B$9*COS(RADIANS(K112+$B$15))))/$B$10)))/$B$10)-$B$11*(((-LN(1-$B$10*($B$8/$B$12-$B$14*COS(RADIANS(K112+$B$15)))/($B$9*COS(RADIANS(K112+$B$15))))/$B$10)-((1-EXP(-$B$10*(-LN(1-$B$10*($B$8/$B$12-$B$14*COS(RADIANS(K112+$B$15)))/($B$9*COS(RADIANS(K112+$B$15))))/$B$10)))/$B$10))/$B$10)</x:f>
        <x:v>0.9999999818786645</x:v>
      </x:c>
      <x:c r="M112" s="74" t="n">
        <x:f>L112-1</x:f>
        <x:v>-1.8121335543241912e-8</x:v>
      </x:c>
    </x:row>
    <x:row r="113">
      <x:c r="A113" s="35" t="n">
        <x:v>35</x:v>
      </x:c>
      <x:c r="B113" s="74" t="n">
        <x:f>IF(F112&lt;0,D112,B112)</x:f>
        <x:v>-0.18089696005860506</x:v>
      </x:c>
      <x:c r="C113" s="74" t="n">
        <x:f>IF(F112&lt;0,C112,D112)</x:f>
        <x:v>-0.18089695013697088</x:v>
      </x:c>
      <x:c r="D113" s="74" t="n">
        <x:f>(B113+C113)/2</x:f>
        <x:v>-0.18089695509778797</x:v>
      </x:c>
      <x:c r="E113" s="74" t="n">
        <x:f>$B$13+$B$14*SIN(RADIANS(D113+$B$15))+$B$9*SIN(RADIANS(D113+$B$15))*((1-EXP(-$B$10*(-LN(1-$B$10*($B$8/$B$12-$B$14*COS(RADIANS(D113+$B$15)))/($B$9*COS(RADIANS(D113+$B$15))))/$B$10)))/$B$10)-$B$11*(((-LN(1-$B$10*($B$8/$B$12-$B$14*COS(RADIANS(D113+$B$15)))/($B$9*COS(RADIANS(D113+$B$15))))/$B$10)-((1-EXP(-$B$10*(-LN(1-$B$10*($B$8/$B$12-$B$14*COS(RADIANS(D113+$B$15)))/($B$9*COS(RADIANS(D113+$B$15))))/$B$10)))/$B$10))/$B$10)</x:f>
        <x:v>-7.80273490263994e-9</x:v>
      </x:c>
      <x:c r="F113" s="74" t="n">
        <x:f>E113</x:f>
        <x:v>-7.80273490263994e-9</x:v>
      </x:c>
      <x:c r="G113" s="74"/>
      <x:c r="H113" s="74" t="n">
        <x:v>35</x:v>
      </x:c>
      <x:c r="I113" s="74" t="n">
        <x:f>IF(M112&lt;0,K112,I112)</x:f>
        <x:v>0.027986180824045165</x:v>
      </x:c>
      <x:c r="J113" s="74" t="n">
        <x:f>IF(M112&lt;0,J112,K112)</x:f>
        <x:v>0.027986190745679346</x:v>
      </x:c>
      <x:c r="K113" s="74" t="n">
        <x:f>(I113+J113)/2</x:f>
        <x:v>0.027986185784862255</x:v>
      </x:c>
      <x:c r="L113" s="74" t="n">
        <x:f>$B$13+$B$14*SIN(RADIANS(K113+$B$15))+$B$9*SIN(RADIANS(K113+$B$15))*((1-EXP(-$B$10*(-LN(1-$B$10*($B$8/$B$12-$B$14*COS(RADIANS(K113+$B$15)))/($B$9*COS(RADIANS(K113+$B$15))))/$B$10)))/$B$10)-$B$11*(((-LN(1-$B$10*($B$8/$B$12-$B$14*COS(RADIANS(K113+$B$15)))/($B$9*COS(RADIANS(K113+$B$15))))/$B$10)-((1-EXP(-$B$10*(-LN(1-$B$10*($B$8/$B$12-$B$14*COS(RADIANS(K113+$B$15)))/($B$9*COS(RADIANS(K113+$B$15))))/$B$10)))/$B$10))/$B$10)</x:f>
        <x:v>1.0000000056277067</x:v>
      </x:c>
      <x:c r="M113" s="74" t="n">
        <x:f>L113-1</x:f>
        <x:v>5.627706745059413e-9</x:v>
      </x:c>
    </x:row>
    <x:row r="114">
      <x:c r="A114" s="35" t="n">
        <x:v>36</x:v>
      </x:c>
      <x:c r="B114" s="74" t="n">
        <x:f>IF(F113&lt;0,D113,B113)</x:f>
        <x:v>-0.18089695509778797</x:v>
      </x:c>
      <x:c r="C114" s="74" t="n">
        <x:f>IF(F113&lt;0,C113,D113)</x:f>
        <x:v>-0.18089695013697088</x:v>
      </x:c>
      <x:c r="D114" s="74" t="n">
        <x:f>(B114+C114)/2</x:f>
        <x:v>-0.18089695261737943</x:v>
      </x:c>
      <x:c r="E114" s="74" t="n">
        <x:f>$B$13+$B$14*SIN(RADIANS(D114+$B$15))+$B$9*SIN(RADIANS(D114+$B$15))*((1-EXP(-$B$10*(-LN(1-$B$10*($B$8/$B$12-$B$14*COS(RADIANS(D114+$B$15)))/($B$9*COS(RADIANS(D114+$B$15))))/$B$10)))/$B$10)-$B$11*(((-LN(1-$B$10*($B$8/$B$12-$B$14*COS(RADIANS(D114+$B$15)))/($B$9*COS(RADIANS(D114+$B$15))))/$B$10)-((1-EXP(-$B$10*(-LN(1-$B$10*($B$8/$B$12-$B$14*COS(RADIANS(D114+$B$15)))/($B$9*COS(RADIANS(D114+$B$15))))/$B$10)))/$B$10))/$B$10)</x:f>
        <x:v>4.0720244953718066e-9</x:v>
      </x:c>
      <x:c r="F114" s="74" t="n">
        <x:f>E114</x:f>
        <x:v>4.0720244953718066e-9</x:v>
      </x:c>
      <x:c r="G114" s="74"/>
      <x:c r="H114" s="74" t="n">
        <x:v>36</x:v>
      </x:c>
      <x:c r="I114" s="74" t="n">
        <x:f>IF(M113&lt;0,K113,I113)</x:f>
        <x:v>0.027986180824045165</x:v>
      </x:c>
      <x:c r="J114" s="74" t="n">
        <x:f>IF(M113&lt;0,J113,K113)</x:f>
        <x:v>0.027986185784862255</x:v>
      </x:c>
      <x:c r="K114" s="74" t="n">
        <x:f>(I114+J114)/2</x:f>
        <x:v>0.02798618330445371</x:v>
      </x:c>
      <x:c r="L114" s="74" t="n">
        <x:f>$B$13+$B$14*SIN(RADIANS(K114+$B$15))+$B$9*SIN(RADIANS(K114+$B$15))*((1-EXP(-$B$10*(-LN(1-$B$10*($B$8/$B$12-$B$14*COS(RADIANS(K114+$B$15)))/($B$9*COS(RADIANS(K114+$B$15))))/$B$10)))/$B$10)-$B$11*(((-LN(1-$B$10*($B$8/$B$12-$B$14*COS(RADIANS(K114+$B$15)))/($B$9*COS(RADIANS(K114+$B$15))))/$B$10)-((1-EXP(-$B$10*(-LN(1-$B$10*($B$8/$B$12-$B$14*COS(RADIANS(K114+$B$15)))/($B$9*COS(RADIANS(K114+$B$15))))/$B$10)))/$B$10))/$B$10)</x:f>
        <x:v>0.9999999937531943</x:v>
      </x:c>
      <x:c r="M114" s="74" t="n">
        <x:f>L114-1</x:f>
        <x:v>-6.246805739351657e-9</x:v>
      </x:c>
    </x:row>
    <x:row r="115">
      <x:c r="A115" s="35" t="n">
        <x:v>37</x:v>
      </x:c>
      <x:c r="B115" s="74" t="n">
        <x:f>IF(F114&lt;0,D114,B114)</x:f>
        <x:v>-0.18089695509778797</x:v>
      </x:c>
      <x:c r="C115" s="74" t="n">
        <x:f>IF(F114&lt;0,C114,D114)</x:f>
        <x:v>-0.18089695261737943</x:v>
      </x:c>
      <x:c r="D115" s="74" t="n">
        <x:f>(B115+C115)/2</x:f>
        <x:v>-0.1808969538575837</x:v>
      </x:c>
      <x:c r="E115" s="74" t="n">
        <x:f>$B$13+$B$14*SIN(RADIANS(D115+$B$15))+$B$9*SIN(RADIANS(D115+$B$15))*((1-EXP(-$B$10*(-LN(1-$B$10*($B$8/$B$12-$B$14*COS(RADIANS(D115+$B$15)))/($B$9*COS(RADIANS(D115+$B$15))))/$B$10)))/$B$10)-$B$11*(((-LN(1-$B$10*($B$8/$B$12-$B$14*COS(RADIANS(D115+$B$15)))/($B$9*COS(RADIANS(D115+$B$15))))/$B$10)-((1-EXP(-$B$10*(-LN(1-$B$10*($B$8/$B$12-$B$14*COS(RADIANS(D115+$B$15)))/($B$9*COS(RADIANS(D115+$B$15))))/$B$10)))/$B$10))/$B$10)</x:f>
        <x:v>-1.865346099805265e-9</x:v>
      </x:c>
      <x:c r="F115" s="74" t="n">
        <x:f>E115</x:f>
        <x:v>-1.865346099805265e-9</x:v>
      </x:c>
      <x:c r="G115" s="74"/>
      <x:c r="H115" s="74" t="n">
        <x:v>37</x:v>
      </x:c>
      <x:c r="I115" s="74" t="n">
        <x:f>IF(M114&lt;0,K114,I114)</x:f>
        <x:v>0.02798618330445371</x:v>
      </x:c>
      <x:c r="J115" s="74" t="n">
        <x:f>IF(M114&lt;0,J114,K114)</x:f>
        <x:v>0.027986185784862255</x:v>
      </x:c>
      <x:c r="K115" s="74" t="n">
        <x:f>(I115+J115)/2</x:f>
        <x:v>0.027986184544657983</x:v>
      </x:c>
      <x:c r="L115" s="74" t="n">
        <x:f>$B$13+$B$14*SIN(RADIANS(K115+$B$15))+$B$9*SIN(RADIANS(K115+$B$15))*((1-EXP(-$B$10*(-LN(1-$B$10*($B$8/$B$12-$B$14*COS(RADIANS(K115+$B$15)))/($B$9*COS(RADIANS(K115+$B$15))))/$B$10)))/$B$10)-$B$11*(((-LN(1-$B$10*($B$8/$B$12-$B$14*COS(RADIANS(K115+$B$15)))/($B$9*COS(RADIANS(K115+$B$15))))/$B$10)-((1-EXP(-$B$10*(-LN(1-$B$10*($B$8/$B$12-$B$14*COS(RADIANS(K115+$B$15)))/($B$9*COS(RADIANS(K115+$B$15))))/$B$10)))/$B$10))/$B$10)</x:f>
        <x:v>0.9999999996904476</x:v>
      </x:c>
      <x:c r="M115" s="74" t="n">
        <x:f>L115-1</x:f>
        <x:v>-3.0955238372598615e-10</x:v>
      </x:c>
    </x:row>
    <x:row r="116">
      <x:c r="A116" s="35" t="n">
        <x:v>38</x:v>
      </x:c>
      <x:c r="B116" s="74" t="n">
        <x:f>IF(F115&lt;0,D115,B115)</x:f>
        <x:v>-0.1808969538575837</x:v>
      </x:c>
      <x:c r="C116" s="74" t="n">
        <x:f>IF(F115&lt;0,C115,D115)</x:f>
        <x:v>-0.18089695261737943</x:v>
      </x:c>
      <x:c r="D116" s="74" t="n">
        <x:f>(B116+C116)/2</x:f>
        <x:v>-0.18089695323748156</x:v>
      </x:c>
      <x:c r="E116" s="74" t="n">
        <x:f>$B$13+$B$14*SIN(RADIANS(D116+$B$15))+$B$9*SIN(RADIANS(D116+$B$15))*((1-EXP(-$B$10*(-LN(1-$B$10*($B$8/$B$12-$B$14*COS(RADIANS(D116+$B$15)))/($B$9*COS(RADIANS(D116+$B$15))))/$B$10)))/$B$10)-$B$11*(((-LN(1-$B$10*($B$8/$B$12-$B$14*COS(RADIANS(D116+$B$15)))/($B$9*COS(RADIANS(D116+$B$15))))/$B$10)-((1-EXP(-$B$10*(-LN(1-$B$10*($B$8/$B$12-$B$14*COS(RADIANS(D116+$B$15)))/($B$9*COS(RADIANS(D116+$B$15))))/$B$10)))/$B$10))/$B$10)</x:f>
        <x:v>1.103329427820654e-9</x:v>
      </x:c>
      <x:c r="F116" s="74" t="n">
        <x:f>E116</x:f>
        <x:v>1.103329427820654e-9</x:v>
      </x:c>
      <x:c r="G116" s="74"/>
      <x:c r="H116" s="74" t="n">
        <x:v>38</x:v>
      </x:c>
      <x:c r="I116" s="74" t="n">
        <x:f>IF(M115&lt;0,K115,I115)</x:f>
        <x:v>0.027986184544657983</x:v>
      </x:c>
      <x:c r="J116" s="74" t="n">
        <x:f>IF(M115&lt;0,J115,K115)</x:f>
        <x:v>0.027986185784862255</x:v>
      </x:c>
      <x:c r="K116" s="74" t="n">
        <x:f>(I116+J116)/2</x:f>
        <x:v>0.02798618516476012</x:v>
      </x:c>
      <x:c r="L116" s="74" t="n">
        <x:f>$B$13+$B$14*SIN(RADIANS(K116+$B$15))+$B$9*SIN(RADIANS(K116+$B$15))*((1-EXP(-$B$10*(-LN(1-$B$10*($B$8/$B$12-$B$14*COS(RADIANS(K116+$B$15)))/($B$9*COS(RADIANS(K116+$B$15))))/$B$10)))/$B$10)-$B$11*(((-LN(1-$B$10*($B$8/$B$12-$B$14*COS(RADIANS(K116+$B$15)))/($B$9*COS(RADIANS(K116+$B$15))))/$B$10)-((1-EXP(-$B$10*(-LN(1-$B$10*($B$8/$B$12-$B$14*COS(RADIANS(K116+$B$15)))/($B$9*COS(RADIANS(K116+$B$15))))/$B$10)))/$B$10))/$B$10)</x:f>
        <x:v>1.0000000026590827</x:v>
      </x:c>
      <x:c r="M116" s="74" t="n">
        <x:f>L116-1</x:f>
        <x:v>2.6590827317818366e-9</x:v>
      </x:c>
    </x:row>
    <x:row r="117">
      <x:c r="A117" s="35" t="n">
        <x:v>39</x:v>
      </x:c>
      <x:c r="B117" s="74" t="n">
        <x:f>IF(F116&lt;0,D116,B116)</x:f>
        <x:v>-0.1808969538575837</x:v>
      </x:c>
      <x:c r="C117" s="74" t="n">
        <x:f>IF(F116&lt;0,C116,D116)</x:f>
        <x:v>-0.18089695323748156</x:v>
      </x:c>
      <x:c r="D117" s="74" t="n">
        <x:f>(B117+C117)/2</x:f>
        <x:v>-0.18089695354753263</x:v>
      </x:c>
      <x:c r="E117" s="74" t="n">
        <x:f>$B$13+$B$14*SIN(RADIANS(D117+$B$15))+$B$9*SIN(RADIANS(D117+$B$15))*((1-EXP(-$B$10*(-LN(1-$B$10*($B$8/$B$12-$B$14*COS(RADIANS(D117+$B$15)))/($B$9*COS(RADIANS(D117+$B$15))))/$B$10)))/$B$10)-$B$11*(((-LN(1-$B$10*($B$8/$B$12-$B$14*COS(RADIANS(D117+$B$15)))/($B$9*COS(RADIANS(D117+$B$15))))/$B$10)-((1-EXP(-$B$10*(-LN(1-$B$10*($B$8/$B$12-$B$14*COS(RADIANS(D117+$B$15)))/($B$9*COS(RADIANS(D117+$B$15))))/$B$10)))/$B$10))/$B$10)</x:f>
        <x:v>-3.81018772088737e-10</x:v>
      </x:c>
      <x:c r="F117" s="74" t="n">
        <x:f>E117</x:f>
        <x:v>-3.81018772088737e-10</x:v>
      </x:c>
      <x:c r="G117" s="74"/>
      <x:c r="H117" s="74" t="n">
        <x:v>39</x:v>
      </x:c>
      <x:c r="I117" s="74" t="n">
        <x:f>IF(M116&lt;0,K116,I116)</x:f>
        <x:v>0.027986184544657983</x:v>
      </x:c>
      <x:c r="J117" s="74" t="n">
        <x:f>IF(M116&lt;0,J116,K116)</x:f>
        <x:v>0.02798618516476012</x:v>
      </x:c>
      <x:c r="K117" s="74" t="n">
        <x:f>(I117+J117)/2</x:f>
        <x:v>0.02798618485470905</x:v>
      </x:c>
      <x:c r="L117" s="74" t="n">
        <x:f>$B$13+$B$14*SIN(RADIANS(K117+$B$15))+$B$9*SIN(RADIANS(K117+$B$15))*((1-EXP(-$B$10*(-LN(1-$B$10*($B$8/$B$12-$B$14*COS(RADIANS(K117+$B$15)))/($B$9*COS(RADIANS(K117+$B$15))))/$B$10)))/$B$10)-$B$11*(((-LN(1-$B$10*($B$8/$B$12-$B$14*COS(RADIANS(K117+$B$15)))/($B$9*COS(RADIANS(K117+$B$15))))/$B$10)-((1-EXP(-$B$10*(-LN(1-$B$10*($B$8/$B$12-$B$14*COS(RADIANS(K117+$B$15)))/($B$9*COS(RADIANS(K117+$B$15))))/$B$10)))/$B$10))/$B$10)</x:f>
        <x:v>1.00000000117477</x:v>
      </x:c>
      <x:c r="M117" s="74" t="n">
        <x:f>L117-1</x:f>
        <x:v>1.1747700590092336e-9</x:v>
      </x:c>
    </x:row>
    <x:row r="118">
      <x:c r="A118" s="35" t="n">
        <x:v>40</x:v>
      </x:c>
      <x:c r="B118" s="74" t="n">
        <x:f>IF(F117&lt;0,D117,B117)</x:f>
        <x:v>-0.18089695354753263</x:v>
      </x:c>
      <x:c r="C118" s="74" t="n">
        <x:f>IF(F117&lt;0,C117,D117)</x:f>
        <x:v>-0.18089695323748156</x:v>
      </x:c>
      <x:c r="D118" s="74" t="n">
        <x:f>(B118+C118)/2</x:f>
        <x:v>-0.1808969533925071</x:v>
      </x:c>
      <x:c r="E118" s="74" t="n">
        <x:f>$B$13+$B$14*SIN(RADIANS(D118+$B$15))+$B$9*SIN(RADIANS(D118+$B$15))*((1-EXP(-$B$10*(-LN(1-$B$10*($B$8/$B$12-$B$14*COS(RADIANS(D118+$B$15)))/($B$9*COS(RADIANS(D118+$B$15))))/$B$10)))/$B$10)-$B$11*(((-LN(1-$B$10*($B$8/$B$12-$B$14*COS(RADIANS(D118+$B$15)))/($B$9*COS(RADIANS(D118+$B$15))))/$B$10)-((1-EXP(-$B$10*(-LN(1-$B$10*($B$8/$B$12-$B$14*COS(RADIANS(D118+$B$15)))/($B$9*COS(RADIANS(D118+$B$15))))/$B$10)))/$B$10))/$B$10)</x:f>
        <x:v>3.611617671595013e-10</x:v>
      </x:c>
      <x:c r="F118" s="74" t="n">
        <x:f>E118</x:f>
        <x:v>3.611617671595013e-10</x:v>
      </x:c>
      <x:c r="G118" s="74"/>
      <x:c r="H118" s="74" t="n">
        <x:v>40</x:v>
      </x:c>
      <x:c r="I118" s="74" t="n">
        <x:f>IF(M117&lt;0,K117,I117)</x:f>
        <x:v>0.027986184544657983</x:v>
      </x:c>
      <x:c r="J118" s="74" t="n">
        <x:f>IF(M117&lt;0,J117,K117)</x:f>
        <x:v>0.02798618485470905</x:v>
      </x:c>
      <x:c r="K118" s="74" t="n">
        <x:f>(I118+J118)/2</x:f>
        <x:v>0.027986184699683517</x:v>
      </x:c>
      <x:c r="L118" s="74" t="n">
        <x:f>$B$13+$B$14*SIN(RADIANS(K118+$B$15))+$B$9*SIN(RADIANS(K118+$B$15))*((1-EXP(-$B$10*(-LN(1-$B$10*($B$8/$B$12-$B$14*COS(RADIANS(K118+$B$15)))/($B$9*COS(RADIANS(K118+$B$15))))/$B$10)))/$B$10)-$B$11*(((-LN(1-$B$10*($B$8/$B$12-$B$14*COS(RADIANS(K118+$B$15)))/($B$9*COS(RADIANS(K118+$B$15))))/$B$10)-((1-EXP(-$B$10*(-LN(1-$B$10*($B$8/$B$12-$B$14*COS(RADIANS(K118+$B$15)))/($B$9*COS(RADIANS(K118+$B$15))))/$B$10)))/$B$10))/$B$10)</x:f>
        <x:v>1.0000000004326042</x:v>
      </x:c>
      <x:c r="M118" s="74" t="n">
        <x:f>L118-1</x:f>
        <x:v>4.326041747049203e-10</x:v>
      </x:c>
    </x:row>
    <x:row r="119">
      <x:c r="A119" s="35" t="n">
        <x:v>41</x:v>
      </x:c>
      <x:c r="B119" s="74" t="n">
        <x:f>IF(F118&lt;0,D118,B118)</x:f>
        <x:v>-0.18089695354753263</x:v>
      </x:c>
      <x:c r="C119" s="74" t="n">
        <x:f>IF(F118&lt;0,C118,D118)</x:f>
        <x:v>-0.1808969533925071</x:v>
      </x:c>
      <x:c r="D119" s="74" t="n">
        <x:f>(B119+C119)/2</x:f>
        <x:v>-0.18089695347001988</x:v>
      </x:c>
      <x:c r="E119" s="74" t="n">
        <x:f>$B$13+$B$14*SIN(RADIANS(D119+$B$15))+$B$9*SIN(RADIANS(D119+$B$15))*((1-EXP(-$B$10*(-LN(1-$B$10*($B$8/$B$12-$B$14*COS(RADIANS(D119+$B$15)))/($B$9*COS(RADIANS(D119+$B$15))))/$B$10)))/$B$10)-$B$11*(((-LN(1-$B$10*($B$8/$B$12-$B$14*COS(RADIANS(D119+$B$15)))/($B$9*COS(RADIANS(D119+$B$15))))/$B$10)-((1-EXP(-$B$10*(-LN(1-$B$10*($B$8/$B$12-$B$14*COS(RADIANS(D119+$B$15)))/($B$9*COS(RADIANS(D119+$B$15))))/$B$10)))/$B$10))/$B$10)</x:f>
        <x:v>-9.9236174833095e-12</x:v>
      </x:c>
      <x:c r="F119" s="74" t="n">
        <x:f>E119</x:f>
        <x:v>-9.9236174833095e-12</x:v>
      </x:c>
      <x:c r="G119" s="74"/>
      <x:c r="H119" s="74" t="n">
        <x:v>41</x:v>
      </x:c>
      <x:c r="I119" s="74" t="n">
        <x:f>IF(M118&lt;0,K118,I118)</x:f>
        <x:v>0.027986184544657983</x:v>
      </x:c>
      <x:c r="J119" s="74" t="n">
        <x:f>IF(M118&lt;0,J118,K118)</x:f>
        <x:v>0.027986184699683517</x:v>
      </x:c>
      <x:c r="K119" s="74" t="n">
        <x:f>(I119+J119)/2</x:f>
        <x:v>0.02798618462217075</x:v>
      </x:c>
      <x:c r="L119" s="74" t="n">
        <x:f>$B$13+$B$14*SIN(RADIANS(K119+$B$15))+$B$9*SIN(RADIANS(K119+$B$15))*((1-EXP(-$B$10*(-LN(1-$B$10*($B$8/$B$12-$B$14*COS(RADIANS(K119+$B$15)))/($B$9*COS(RADIANS(K119+$B$15))))/$B$10)))/$B$10)-$B$11*(((-LN(1-$B$10*($B$8/$B$12-$B$14*COS(RADIANS(K119+$B$15)))/($B$9*COS(RADIANS(K119+$B$15))))/$B$10)-((1-EXP(-$B$10*(-LN(1-$B$10*($B$8/$B$12-$B$14*COS(RADIANS(K119+$B$15)))/($B$9*COS(RADIANS(K119+$B$15))))/$B$10)))/$B$10))/$B$10)</x:f>
        <x:v>1.0000000000615308</x:v>
      </x:c>
      <x:c r="M119" s="74" t="n">
        <x:f>L119-1</x:f>
        <x:v>6.153078047077543e-11</x:v>
      </x:c>
    </x:row>
    <x:row r="120">
      <x:c r="A120" s="35" t="n">
        <x:v>42</x:v>
      </x:c>
      <x:c r="B120" s="74" t="n">
        <x:f>IF(F119&lt;0,D119,B119)</x:f>
        <x:v>-0.18089695347001988</x:v>
      </x:c>
      <x:c r="C120" s="74" t="n">
        <x:f>IF(F119&lt;0,C119,D119)</x:f>
        <x:v>-0.1808969533925071</x:v>
      </x:c>
      <x:c r="D120" s="74" t="n">
        <x:f>(B120+C120)/2</x:f>
        <x:v>-0.1808969534312635</x:v>
      </x:c>
      <x:c r="E120" s="74" t="n">
        <x:f>$B$13+$B$14*SIN(RADIANS(D120+$B$15))+$B$9*SIN(RADIANS(D120+$B$15))*((1-EXP(-$B$10*(-LN(1-$B$10*($B$8/$B$12-$B$14*COS(RADIANS(D120+$B$15)))/($B$9*COS(RADIANS(D120+$B$15))))/$B$10)))/$B$10)-$B$11*(((-LN(1-$B$10*($B$8/$B$12-$B$14*COS(RADIANS(D120+$B$15)))/($B$9*COS(RADIANS(D120+$B$15))))/$B$10)-((1-EXP(-$B$10*(-LN(1-$B$10*($B$8/$B$12-$B$14*COS(RADIANS(D120+$B$15)))/($B$9*COS(RADIANS(D120+$B$15))))/$B$10)))/$B$10))/$B$10)</x:f>
        <x:v>1.7561774257046636e-10</x:v>
      </x:c>
      <x:c r="F120" s="74" t="n">
        <x:f>E120</x:f>
        <x:v>1.7561774257046636e-10</x:v>
      </x:c>
      <x:c r="G120" s="74"/>
      <x:c r="H120" s="74" t="n">
        <x:v>42</x:v>
      </x:c>
      <x:c r="I120" s="74" t="n">
        <x:f>IF(M119&lt;0,K119,I119)</x:f>
        <x:v>0.027986184544657983</x:v>
      </x:c>
      <x:c r="J120" s="74" t="n">
        <x:f>IF(M119&lt;0,J119,K119)</x:f>
        <x:v>0.02798618462217075</x:v>
      </x:c>
      <x:c r="K120" s="74" t="n">
        <x:f>(I120+J120)/2</x:f>
        <x:v>0.027986184583414366</x:v>
      </x:c>
      <x:c r="L120" s="74" t="n">
        <x:f>$B$13+$B$14*SIN(RADIANS(K120+$B$15))+$B$9*SIN(RADIANS(K120+$B$15))*((1-EXP(-$B$10*(-LN(1-$B$10*($B$8/$B$12-$B$14*COS(RADIANS(K120+$B$15)))/($B$9*COS(RADIANS(K120+$B$15))))/$B$10)))/$B$10)-$B$11*(((-LN(1-$B$10*($B$8/$B$12-$B$14*COS(RADIANS(K120+$B$15)))/($B$9*COS(RADIANS(K120+$B$15))))/$B$10)-((1-EXP(-$B$10*(-LN(1-$B$10*($B$8/$B$12-$B$14*COS(RADIANS(K120+$B$15)))/($B$9*COS(RADIANS(K120+$B$15))))/$B$10)))/$B$10))/$B$10)</x:f>
        <x:v>0.9999999998759899</x:v>
      </x:c>
      <x:c r="M120" s="74" t="n">
        <x:f>L120-1</x:f>
        <x:v>-1.2401013549379059e-10</x:v>
      </x:c>
    </x:row>
    <x:row r="121">
      <x:c r="A121" s="35" t="n">
        <x:v>43</x:v>
      </x:c>
      <x:c r="B121" s="74" t="n">
        <x:f>IF(F120&lt;0,D120,B120)</x:f>
        <x:v>-0.18089695347001988</x:v>
      </x:c>
      <x:c r="C121" s="74" t="n">
        <x:f>IF(F120&lt;0,C120,D120)</x:f>
        <x:v>-0.1808969534312635</x:v>
      </x:c>
      <x:c r="D121" s="74" t="n">
        <x:f>(B121+C121)/2</x:f>
        <x:v>-0.1808969534506417</x:v>
      </x:c>
      <x:c r="E121" s="74" t="n">
        <x:f>$B$13+$B$14*SIN(RADIANS(D121+$B$15))+$B$9*SIN(RADIANS(D121+$B$15))*((1-EXP(-$B$10*(-LN(1-$B$10*($B$8/$B$12-$B$14*COS(RADIANS(D121+$B$15)))/($B$9*COS(RADIANS(D121+$B$15))))/$B$10)))/$B$10)-$B$11*(((-LN(1-$B$10*($B$8/$B$12-$B$14*COS(RADIANS(D121+$B$15)))/($B$9*COS(RADIANS(D121+$B$15))))/$B$10)-((1-EXP(-$B$10*(-LN(1-$B$10*($B$8/$B$12-$B$14*COS(RADIANS(D121+$B$15)))/($B$9*COS(RADIANS(D121+$B$15))))/$B$10)))/$B$10))/$B$10)</x:f>
        <x:v>8.285727659540498e-11</x:v>
      </x:c>
      <x:c r="F121" s="74" t="n">
        <x:f>E121</x:f>
        <x:v>8.285727659540498e-11</x:v>
      </x:c>
      <x:c r="G121" s="74"/>
      <x:c r="H121" s="74" t="n">
        <x:v>43</x:v>
      </x:c>
      <x:c r="I121" s="74" t="n">
        <x:f>IF(M120&lt;0,K120,I120)</x:f>
        <x:v>0.027986184583414366</x:v>
      </x:c>
      <x:c r="J121" s="74" t="n">
        <x:f>IF(M120&lt;0,J120,K120)</x:f>
        <x:v>0.02798618462217075</x:v>
      </x:c>
      <x:c r="K121" s="74" t="n">
        <x:f>(I121+J121)/2</x:f>
        <x:v>0.027986184602792556</x:v>
      </x:c>
      <x:c r="L121" s="74" t="n">
        <x:f>$B$13+$B$14*SIN(RADIANS(K121+$B$15))+$B$9*SIN(RADIANS(K121+$B$15))*((1-EXP(-$B$10*(-LN(1-$B$10*($B$8/$B$12-$B$14*COS(RADIANS(K121+$B$15)))/($B$9*COS(RADIANS(K121+$B$15))))/$B$10)))/$B$10)-$B$11*(((-LN(1-$B$10*($B$8/$B$12-$B$14*COS(RADIANS(K121+$B$15)))/($B$9*COS(RADIANS(K121+$B$15))))/$B$10)-((1-EXP(-$B$10*(-LN(1-$B$10*($B$8/$B$12-$B$14*COS(RADIANS(K121+$B$15)))/($B$9*COS(RADIANS(K121+$B$15))))/$B$10)))/$B$10))/$B$10)</x:f>
        <x:v>0.999999999968765</x:v>
      </x:c>
      <x:c r="M121" s="74" t="n">
        <x:f>L121-1</x:f>
        <x:v>-3.1235014574804154e-11</x:v>
      </x:c>
    </x:row>
    <x:row r="122">
      <x:c r="A122" s="35" t="n">
        <x:v>44</x:v>
      </x:c>
      <x:c r="B122" s="74" t="n">
        <x:f>IF(F121&lt;0,D121,B121)</x:f>
        <x:v>-0.18089695347001988</x:v>
      </x:c>
      <x:c r="C122" s="74" t="n">
        <x:f>IF(F121&lt;0,C121,D121)</x:f>
        <x:v>-0.1808969534506417</x:v>
      </x:c>
      <x:c r="D122" s="74" t="n">
        <x:f>(B122+C122)/2</x:f>
        <x:v>-0.1808969534603308</x:v>
      </x:c>
      <x:c r="E122" s="74" t="n">
        <x:f>$B$13+$B$14*SIN(RADIANS(D122+$B$15))+$B$9*SIN(RADIANS(D122+$B$15))*((1-EXP(-$B$10*(-LN(1-$B$10*($B$8/$B$12-$B$14*COS(RADIANS(D122+$B$15)))/($B$9*COS(RADIANS(D122+$B$15))))/$B$10)))/$B$10)-$B$11*(((-LN(1-$B$10*($B$8/$B$12-$B$14*COS(RADIANS(D122+$B$15)))/($B$9*COS(RADIANS(D122+$B$15))))/$B$10)-((1-EXP(-$B$10*(-LN(1-$B$10*($B$8/$B$12-$B$14*COS(RADIANS(D122+$B$15)))/($B$9*COS(RADIANS(D122+$B$15))))/$B$10)))/$B$10))/$B$10)</x:f>
        <x:v>3.646549728841819e-11</x:v>
      </x:c>
      <x:c r="F122" s="74" t="n">
        <x:f>E122</x:f>
        <x:v>3.646549728841819e-11</x:v>
      </x:c>
      <x:c r="G122" s="74"/>
      <x:c r="H122" s="74" t="n">
        <x:v>44</x:v>
      </x:c>
      <x:c r="I122" s="74" t="n">
        <x:f>IF(M121&lt;0,K121,I121)</x:f>
        <x:v>0.027986184602792556</x:v>
      </x:c>
      <x:c r="J122" s="74" t="n">
        <x:f>IF(M121&lt;0,J121,K121)</x:f>
        <x:v>0.02798618462217075</x:v>
      </x:c>
      <x:c r="K122" s="74" t="n">
        <x:f>(I122+J122)/2</x:f>
        <x:v>0.027986184612481653</x:v>
      </x:c>
      <x:c r="L122" s="74" t="n">
        <x:f>$B$13+$B$14*SIN(RADIANS(K122+$B$15))+$B$9*SIN(RADIANS(K122+$B$15))*((1-EXP(-$B$10*(-LN(1-$B$10*($B$8/$B$12-$B$14*COS(RADIANS(K122+$B$15)))/($B$9*COS(RADIANS(K122+$B$15))))/$B$10)))/$B$10)-$B$11*(((-LN(1-$B$10*($B$8/$B$12-$B$14*COS(RADIANS(K122+$B$15)))/($B$9*COS(RADIANS(K122+$B$15))))/$B$10)-((1-EXP(-$B$10*(-LN(1-$B$10*($B$8/$B$12-$B$14*COS(RADIANS(K122+$B$15)))/($B$9*COS(RADIANS(K122+$B$15))))/$B$10)))/$B$10))/$B$10)</x:f>
        <x:v>1.0000000000151545</x:v>
      </x:c>
      <x:c r="M122" s="74" t="n">
        <x:f>L122-1</x:f>
        <x:v>1.5154544286133387e-11</x:v>
      </x:c>
    </x:row>
    <x:row r="123">
      <x:c r="A123" s="35" t="n">
        <x:v>45</x:v>
      </x:c>
      <x:c r="B123" s="74" t="n">
        <x:f>IF(F122&lt;0,D122,B122)</x:f>
        <x:v>-0.18089695347001988</x:v>
      </x:c>
      <x:c r="C123" s="74" t="n">
        <x:f>IF(F122&lt;0,C122,D122)</x:f>
        <x:v>-0.1808969534603308</x:v>
      </x:c>
      <x:c r="D123" s="74" t="n">
        <x:f>(B123+C123)/2</x:f>
        <x:v>-0.18089695346517534</x:v>
      </x:c>
      <x:c r="E123" s="74" t="n">
        <x:f>$B$13+$B$14*SIN(RADIANS(D123+$B$15))+$B$9*SIN(RADIANS(D123+$B$15))*((1-EXP(-$B$10*(-LN(1-$B$10*($B$8/$B$12-$B$14*COS(RADIANS(D123+$B$15)))/($B$9*COS(RADIANS(D123+$B$15))))/$B$10)))/$B$10)-$B$11*(((-LN(1-$B$10*($B$8/$B$12-$B$14*COS(RADIANS(D123+$B$15)))/($B$9*COS(RADIANS(D123+$B$15))))/$B$10)-((1-EXP(-$B$10*(-LN(1-$B$10*($B$8/$B$12-$B$14*COS(RADIANS(D123+$B$15)))/($B$9*COS(RADIANS(D123+$B$15))))/$B$10)))/$B$10))/$B$10)</x:f>
        <x:v>1.3271606036369121e-11</x:v>
      </x:c>
      <x:c r="F123" s="74" t="n">
        <x:f>E123</x:f>
        <x:v>1.3271606036369121e-11</x:v>
      </x:c>
      <x:c r="G123" s="74"/>
      <x:c r="H123" s="74" t="n">
        <x:v>45</x:v>
      </x:c>
      <x:c r="I123" s="74" t="n">
        <x:f>IF(M122&lt;0,K122,I122)</x:f>
        <x:v>0.027986184602792556</x:v>
      </x:c>
      <x:c r="J123" s="74" t="n">
        <x:f>IF(M122&lt;0,J122,K122)</x:f>
        <x:v>0.027986184612481653</x:v>
      </x:c>
      <x:c r="K123" s="74" t="n">
        <x:f>(I123+J123)/2</x:f>
        <x:v>0.027986184607637105</x:v>
      </x:c>
      <x:c r="L123" s="74" t="n">
        <x:f>$B$13+$B$14*SIN(RADIANS(K123+$B$15))+$B$9*SIN(RADIANS(K123+$B$15))*((1-EXP(-$B$10*(-LN(1-$B$10*($B$8/$B$12-$B$14*COS(RADIANS(K123+$B$15)))/($B$9*COS(RADIANS(K123+$B$15))))/$B$10)))/$B$10)-$B$11*(((-LN(1-$B$10*($B$8/$B$12-$B$14*COS(RADIANS(K123+$B$15)))/($B$9*COS(RADIANS(K123+$B$15))))/$B$10)-((1-EXP(-$B$10*(-LN(1-$B$10*($B$8/$B$12-$B$14*COS(RADIANS(K123+$B$15)))/($B$9*COS(RADIANS(K123+$B$15))))/$B$10)))/$B$10))/$B$10)</x:f>
        <x:v>0.9999999999919598</x:v>
      </x:c>
      <x:c r="M123" s="74" t="n">
        <x:f>L123-1</x:f>
        <x:v>-8.040235144335384e-12</x:v>
      </x:c>
    </x:row>
    <x:row r="124">
      <x:c r="A124" s="35" t="n">
        <x:v>46</x:v>
      </x:c>
      <x:c r="B124" s="74" t="n">
        <x:f>IF(F123&lt;0,D123,B123)</x:f>
        <x:v>-0.18089695347001988</x:v>
      </x:c>
      <x:c r="C124" s="74" t="n">
        <x:f>IF(F123&lt;0,C123,D123)</x:f>
        <x:v>-0.18089695346517534</x:v>
      </x:c>
      <x:c r="D124" s="74" t="n">
        <x:f>(B124+C124)/2</x:f>
        <x:v>-0.1808969534675976</x:v>
      </x:c>
      <x:c r="E124" s="74" t="n">
        <x:f>$B$13+$B$14*SIN(RADIANS(D124+$B$15))+$B$9*SIN(RADIANS(D124+$B$15))*((1-EXP(-$B$10*(-LN(1-$B$10*($B$8/$B$12-$B$14*COS(RADIANS(D124+$B$15)))/($B$9*COS(RADIANS(D124+$B$15))))/$B$10)))/$B$10)-$B$11*(((-LN(1-$B$10*($B$8/$B$12-$B$14*COS(RADIANS(D124+$B$15)))/($B$9*COS(RADIANS(D124+$B$15))))/$B$10)-((1-EXP(-$B$10*(-LN(1-$B$10*($B$8/$B$12-$B$14*COS(RADIANS(D124+$B$15)))/($B$9*COS(RADIANS(D124+$B$15))))/$B$10)))/$B$10))/$B$10)</x:f>
        <x:v>1.673772231924886e-12</x:v>
      </x:c>
      <x:c r="F124" s="74" t="n">
        <x:f>E124</x:f>
        <x:v>1.673772231924886e-12</x:v>
      </x:c>
      <x:c r="G124" s="74"/>
      <x:c r="H124" s="74" t="n">
        <x:v>46</x:v>
      </x:c>
      <x:c r="I124" s="74" t="n">
        <x:f>IF(M123&lt;0,K123,I123)</x:f>
        <x:v>0.027986184607637105</x:v>
      </x:c>
      <x:c r="J124" s="74" t="n">
        <x:f>IF(M123&lt;0,J123,K123)</x:f>
        <x:v>0.027986184612481653</x:v>
      </x:c>
      <x:c r="K124" s="74" t="n">
        <x:f>(I124+J124)/2</x:f>
        <x:v>0.02798618461005938</x:v>
      </x:c>
      <x:c r="L124" s="74" t="n">
        <x:f>$B$13+$B$14*SIN(RADIANS(K124+$B$15))+$B$9*SIN(RADIANS(K124+$B$15))*((1-EXP(-$B$10*(-LN(1-$B$10*($B$8/$B$12-$B$14*COS(RADIANS(K124+$B$15)))/($B$9*COS(RADIANS(K124+$B$15))))/$B$10)))/$B$10)-$B$11*(((-LN(1-$B$10*($B$8/$B$12-$B$14*COS(RADIANS(K124+$B$15)))/($B$9*COS(RADIANS(K124+$B$15))))/$B$10)-((1-EXP(-$B$10*(-LN(1-$B$10*($B$8/$B$12-$B$14*COS(RADIANS(K124+$B$15)))/($B$9*COS(RADIANS(K124+$B$15))))/$B$10)))/$B$10))/$B$10)</x:f>
        <x:v>1.0000000000035567</x:v>
      </x:c>
      <x:c r="M124" s="74" t="n">
        <x:f>L124-1</x:f>
        <x:v>3.5567104816891515e-12</x:v>
      </x:c>
    </x:row>
    <x:row r="125">
      <x:c r="A125" s="35" t="n">
        <x:v>47</x:v>
      </x:c>
      <x:c r="B125" s="74" t="n">
        <x:f>IF(F124&lt;0,D124,B124)</x:f>
        <x:v>-0.18089695347001988</x:v>
      </x:c>
      <x:c r="C125" s="74" t="n">
        <x:f>IF(F124&lt;0,C124,D124)</x:f>
        <x:v>-0.1808969534675976</x:v>
      </x:c>
      <x:c r="D125" s="74" t="n">
        <x:f>(B125+C125)/2</x:f>
        <x:v>-0.18089695346880874</x:v>
      </x:c>
      <x:c r="E125" s="74" t="n">
        <x:f>$B$13+$B$14*SIN(RADIANS(D125+$B$15))+$B$9*SIN(RADIANS(D125+$B$15))*((1-EXP(-$B$10*(-LN(1-$B$10*($B$8/$B$12-$B$14*COS(RADIANS(D125+$B$15)))/($B$9*COS(RADIANS(D125+$B$15))))/$B$10)))/$B$10)-$B$11*(((-LN(1-$B$10*($B$8/$B$12-$B$14*COS(RADIANS(D125+$B$15)))/($B$9*COS(RADIANS(D125+$B$15))))/$B$10)-((1-EXP(-$B$10*(-LN(1-$B$10*($B$8/$B$12-$B$14*COS(RADIANS(D125+$B$15)))/($B$9*COS(RADIANS(D125+$B$15))))/$B$10)))/$B$10))/$B$10)</x:f>
        <x:v>-4.1242564918775315e-12</x:v>
      </x:c>
      <x:c r="F125" s="74" t="n">
        <x:f>E125</x:f>
        <x:v>-4.1242564918775315e-12</x:v>
      </x:c>
      <x:c r="G125" s="74"/>
      <x:c r="H125" s="74" t="n">
        <x:v>47</x:v>
      </x:c>
      <x:c r="I125" s="74" t="n">
        <x:f>IF(M124&lt;0,K124,I124)</x:f>
        <x:v>0.027986184607637105</x:v>
      </x:c>
      <x:c r="J125" s="74" t="n">
        <x:f>IF(M124&lt;0,J124,K124)</x:f>
        <x:v>0.02798618461005938</x:v>
      </x:c>
      <x:c r="K125" s="74" t="n">
        <x:f>(I125+J125)/2</x:f>
        <x:v>0.02798618460884824</x:v>
      </x:c>
      <x:c r="L125" s="74" t="n">
        <x:f>$B$13+$B$14*SIN(RADIANS(K125+$B$15))+$B$9*SIN(RADIANS(K125+$B$15))*((1-EXP(-$B$10*(-LN(1-$B$10*($B$8/$B$12-$B$14*COS(RADIANS(K125+$B$15)))/($B$9*COS(RADIANS(K125+$B$15))))/$B$10)))/$B$10)-$B$11*(((-LN(1-$B$10*($B$8/$B$12-$B$14*COS(RADIANS(K125+$B$15)))/($B$9*COS(RADIANS(K125+$B$15))))/$B$10)-((1-EXP(-$B$10*(-LN(1-$B$10*($B$8/$B$12-$B$14*COS(RADIANS(K125+$B$15)))/($B$9*COS(RADIANS(K125+$B$15))))/$B$10)))/$B$10))/$B$10)</x:f>
        <x:v>0.9999999999977587</x:v>
      </x:c>
      <x:c r="M125" s="74" t="n">
        <x:f>L125-1</x:f>
        <x:v>-2.241318242113266e-12</x:v>
      </x:c>
    </x:row>
    <x:row r="126">
      <x:c r="A126" s="35" t="n">
        <x:v>48</x:v>
      </x:c>
      <x:c r="B126" s="74" t="n">
        <x:f>IF(F125&lt;0,D125,B125)</x:f>
        <x:v>-0.18089695346880874</x:v>
      </x:c>
      <x:c r="C126" s="74" t="n">
        <x:f>IF(F125&lt;0,C125,D125)</x:f>
        <x:v>-0.1808969534675976</x:v>
      </x:c>
      <x:c r="D126" s="74" t="n">
        <x:f>(B126+C126)/2</x:f>
        <x:v>-0.18089695346820317</x:v>
      </x:c>
      <x:c r="E126" s="74" t="n">
        <x:f>$B$13+$B$14*SIN(RADIANS(D126+$B$15))+$B$9*SIN(RADIANS(D126+$B$15))*((1-EXP(-$B$10*(-LN(1-$B$10*($B$8/$B$12-$B$14*COS(RADIANS(D126+$B$15)))/($B$9*COS(RADIANS(D126+$B$15))))/$B$10)))/$B$10)-$B$11*(((-LN(1-$B$10*($B$8/$B$12-$B$14*COS(RADIANS(D126+$B$15)))/($B$9*COS(RADIANS(D126+$B$15))))/$B$10)-((1-EXP(-$B$10*(-LN(1-$B$10*($B$8/$B$12-$B$14*COS(RADIANS(D126+$B$15)))/($B$9*COS(RADIANS(D126+$B$15))))/$B$10)))/$B$10))/$B$10)</x:f>
        <x:v>-1.2252421299763228e-12</x:v>
      </x:c>
      <x:c r="F126" s="74" t="n">
        <x:f>E126</x:f>
        <x:v>-1.2252421299763228e-12</x:v>
      </x:c>
      <x:c r="G126" s="74"/>
      <x:c r="H126" s="74" t="n">
        <x:v>48</x:v>
      </x:c>
      <x:c r="I126" s="74" t="n">
        <x:f>IF(M125&lt;0,K125,I125)</x:f>
        <x:v>0.02798618460884824</x:v>
      </x:c>
      <x:c r="J126" s="74" t="n">
        <x:f>IF(M125&lt;0,J125,K125)</x:f>
        <x:v>0.02798618461005938</x:v>
      </x:c>
      <x:c r="K126" s="74" t="n">
        <x:f>(I126+J126)/2</x:f>
        <x:v>0.02798618460945381</x:v>
      </x:c>
      <x:c r="L126" s="74" t="n">
        <x:f>$B$13+$B$14*SIN(RADIANS(K126+$B$15))+$B$9*SIN(RADIANS(K126+$B$15))*((1-EXP(-$B$10*(-LN(1-$B$10*($B$8/$B$12-$B$14*COS(RADIANS(K126+$B$15)))/($B$9*COS(RADIANS(K126+$B$15))))/$B$10)))/$B$10)-$B$11*(((-LN(1-$B$10*($B$8/$B$12-$B$14*COS(RADIANS(K126+$B$15)))/($B$9*COS(RADIANS(K126+$B$15))))/$B$10)-((1-EXP(-$B$10*(-LN(1-$B$10*($B$8/$B$12-$B$14*COS(RADIANS(K126+$B$15)))/($B$9*COS(RADIANS(K126+$B$15))))/$B$10)))/$B$10))/$B$10)</x:f>
        <x:v>1.0000000000006568</x:v>
      </x:c>
      <x:c r="M126" s="74" t="n">
        <x:f>L126-1</x:f>
        <x:v>6.568079413682426e-13</x:v>
      </x:c>
    </x:row>
    <x:row r="127">
      <x:c r="A127" s="35" t="n">
        <x:v>49</x:v>
      </x:c>
      <x:c r="B127" s="74" t="n">
        <x:f>IF(F126&lt;0,D126,B126)</x:f>
        <x:v>-0.18089695346820317</x:v>
      </x:c>
      <x:c r="C127" s="74" t="n">
        <x:f>IF(F126&lt;0,C126,D126)</x:f>
        <x:v>-0.1808969534675976</x:v>
      </x:c>
      <x:c r="D127" s="74" t="n">
        <x:f>(B127+C127)/2</x:f>
        <x:v>-0.18089695346790038</x:v>
      </x:c>
      <x:c r="E127" s="74" t="n">
        <x:f>$B$13+$B$14*SIN(RADIANS(D127+$B$15))+$B$9*SIN(RADIANS(D127+$B$15))*((1-EXP(-$B$10*(-LN(1-$B$10*($B$8/$B$12-$B$14*COS(RADIANS(D127+$B$15)))/($B$9*COS(RADIANS(D127+$B$15))))/$B$10)))/$B$10)-$B$11*(((-LN(1-$B$10*($B$8/$B$12-$B$14*COS(RADIANS(D127+$B$15)))/($B$9*COS(RADIANS(D127+$B$15))))/$B$10)-((1-EXP(-$B$10*(-LN(1-$B$10*($B$8/$B$12-$B$14*COS(RADIANS(D127+$B$15)))/($B$9*COS(RADIANS(D127+$B$15))))/$B$10)))/$B$10))/$B$10)</x:f>
        <x:v>2.2426505097428162e-13</x:v>
      </x:c>
      <x:c r="F127" s="74" t="n">
        <x:f>E127</x:f>
        <x:v>2.2426505097428162e-13</x:v>
      </x:c>
      <x:c r="G127" s="74"/>
      <x:c r="H127" s="74" t="n">
        <x:v>49</x:v>
      </x:c>
      <x:c r="I127" s="74" t="n">
        <x:f>IF(M126&lt;0,K126,I126)</x:f>
        <x:v>0.02798618460884824</x:v>
      </x:c>
      <x:c r="J127" s="74" t="n">
        <x:f>IF(M126&lt;0,J126,K126)</x:f>
        <x:v>0.02798618460945381</x:v>
      </x:c>
      <x:c r="K127" s="74" t="n">
        <x:f>(I127+J127)/2</x:f>
        <x:v>0.027986184609151026</x:v>
      </x:c>
      <x:c r="L127" s="74" t="n">
        <x:f>$B$13+$B$14*SIN(RADIANS(K127+$B$15))+$B$9*SIN(RADIANS(K127+$B$15))*((1-EXP(-$B$10*(-LN(1-$B$10*($B$8/$B$12-$B$14*COS(RADIANS(K127+$B$15)))/($B$9*COS(RADIANS(K127+$B$15))))/$B$10)))/$B$10)-$B$11*(((-LN(1-$B$10*($B$8/$B$12-$B$14*COS(RADIANS(K127+$B$15)))/($B$9*COS(RADIANS(K127+$B$15))))/$B$10)-((1-EXP(-$B$10*(-LN(1-$B$10*($B$8/$B$12-$B$14*COS(RADIANS(K127+$B$15)))/($B$9*COS(RADIANS(K127+$B$15))))/$B$10)))/$B$10))/$B$10)</x:f>
        <x:v>0.9999999999992082</x:v>
      </x:c>
      <x:c r="M127" s="74" t="n">
        <x:f>L127-1</x:f>
        <x:v>-7.918110611626616e-13</x:v>
      </x:c>
    </x:row>
    <x:row r="128">
      <x:c r="A128" s="35" t="n">
        <x:v>50</x:v>
      </x:c>
      <x:c r="B128" s="74" t="n">
        <x:f>IF(F127&lt;0,D127,B127)</x:f>
        <x:v>-0.18089695346820317</x:v>
      </x:c>
      <x:c r="C128" s="74" t="n">
        <x:f>IF(F127&lt;0,C127,D127)</x:f>
        <x:v>-0.18089695346790038</x:v>
      </x:c>
      <x:c r="D128" s="74" t="n">
        <x:f>(B128+C128)/2</x:f>
        <x:v>-0.1808969534680518</x:v>
      </x:c>
      <x:c r="E128" s="74" t="n">
        <x:f>$B$13+$B$14*SIN(RADIANS(D128+$B$15))+$B$9*SIN(RADIANS(D128+$B$15))*((1-EXP(-$B$10*(-LN(1-$B$10*($B$8/$B$12-$B$14*COS(RADIANS(D128+$B$15)))/($B$9*COS(RADIANS(D128+$B$15))))/$B$10)))/$B$10)-$B$11*(((-LN(1-$B$10*($B$8/$B$12-$B$14*COS(RADIANS(D128+$B$15)))/($B$9*COS(RADIANS(D128+$B$15))))/$B$10)-((1-EXP(-$B$10*(-LN(1-$B$10*($B$8/$B$12-$B$14*COS(RADIANS(D128+$B$15)))/($B$9*COS(RADIANS(D128+$B$15))))/$B$10)))/$B$10))/$B$10)</x:f>
        <x:v>-5.004885395010206e-13</x:v>
      </x:c>
      <x:c r="F128" s="74" t="n">
        <x:f>E128</x:f>
        <x:v>-5.004885395010206e-13</x:v>
      </x:c>
      <x:c r="G128" s="74"/>
      <x:c r="H128" s="74" t="n">
        <x:v>50</x:v>
      </x:c>
      <x:c r="I128" s="74" t="n">
        <x:f>IF(M127&lt;0,K127,I127)</x:f>
        <x:v>0.02798618460884824</x:v>
      </x:c>
      <x:c r="J128" s="74" t="n">
        <x:f>IF(M127&lt;0,J127,K127)</x:f>
        <x:v>0.027986184609151026</x:v>
      </x:c>
      <x:c r="K128" s="74" t="n">
        <x:f>(I128+J128)/2</x:f>
        <x:v>0.027986184608999633</x:v>
      </x:c>
      <x:c r="L128" s="74" t="n">
        <x:f>$B$13+$B$14*SIN(RADIANS(K128+$B$15))+$B$9*SIN(RADIANS(K128+$B$15))*((1-EXP(-$B$10*(-LN(1-$B$10*($B$8/$B$12-$B$14*COS(RADIANS(K128+$B$15)))/($B$9*COS(RADIANS(K128+$B$15))))/$B$10)))/$B$10)-$B$11*(((-LN(1-$B$10*($B$8/$B$12-$B$14*COS(RADIANS(K128+$B$15)))/($B$9*COS(RADIANS(K128+$B$15))))/$B$10)-((1-EXP(-$B$10*(-LN(1-$B$10*($B$8/$B$12-$B$14*COS(RADIANS(K128+$B$15)))/($B$9*COS(RADIANS(K128+$B$15))))/$B$10)))/$B$10))/$B$10)</x:f>
        <x:v>0.9999999999984834</x:v>
      </x:c>
      <x:c r="M128" s="74" t="n">
        <x:f>L128-1</x:f>
        <x:v>-1.5165646516379638e-12</x:v>
      </x:c>
    </x:row>
    <x:row r="129">
      <x:c r="A129" s="35" t="n">
        <x:v>51</x:v>
      </x:c>
      <x:c r="B129" s="74" t="n">
        <x:f>IF(F128&lt;0,D128,B128)</x:f>
        <x:v>-0.18089695346820317</x:v>
      </x:c>
      <x:c r="C129" s="74" t="n">
        <x:f>IF(F128&lt;0,C128,D128)</x:f>
        <x:v>-0.1808969534680518</x:v>
      </x:c>
      <x:c r="D129" s="74" t="n">
        <x:f>(B129+C129)/2</x:f>
        <x:v>-0.18089695346812748</x:v>
      </x:c>
      <x:c r="E129" s="74" t="n">
        <x:f>$B$13+$B$14*SIN(RADIANS(D129+$B$15))+$B$9*SIN(RADIANS(D129+$B$15))*((1-EXP(-$B$10*(-LN(1-$B$10*($B$8/$B$12-$B$14*COS(RADIANS(D129+$B$15)))/($B$9*COS(RADIANS(D129+$B$15))))/$B$10)))/$B$10)-$B$11*(((-LN(1-$B$10*($B$8/$B$12-$B$14*COS(RADIANS(D129+$B$15)))/($B$9*COS(RADIANS(D129+$B$15))))/$B$10)-((1-EXP(-$B$10*(-LN(1-$B$10*($B$8/$B$12-$B$14*COS(RADIANS(D129+$B$15)))/($B$9*COS(RADIANS(D129+$B$15))))/$B$10)))/$B$10))/$B$10)</x:f>
        <x:v>-8.628653347386717e-13</x:v>
      </x:c>
      <x:c r="F129" s="74" t="n">
        <x:f>E129</x:f>
        <x:v>-8.628653347386717e-13</x:v>
      </x:c>
      <x:c r="G129" s="74"/>
      <x:c r="H129" s="74" t="n">
        <x:v>51</x:v>
      </x:c>
      <x:c r="I129" s="74" t="n">
        <x:f>IF(M128&lt;0,K128,I128)</x:f>
        <x:v>0.027986184608999633</x:v>
      </x:c>
      <x:c r="J129" s="74" t="n">
        <x:f>IF(M128&lt;0,J128,K128)</x:f>
        <x:v>0.027986184609151026</x:v>
      </x:c>
      <x:c r="K129" s="74" t="n">
        <x:f>(I129+J129)/2</x:f>
        <x:v>0.02798618460907533</x:v>
      </x:c>
      <x:c r="L129" s="74" t="n">
        <x:f>$B$13+$B$14*SIN(RADIANS(K129+$B$15))+$B$9*SIN(RADIANS(K129+$B$15))*((1-EXP(-$B$10*(-LN(1-$B$10*($B$8/$B$12-$B$14*COS(RADIANS(K129+$B$15)))/($B$9*COS(RADIANS(K129+$B$15))))/$B$10)))/$B$10)-$B$11*(((-LN(1-$B$10*($B$8/$B$12-$B$14*COS(RADIANS(K129+$B$15)))/($B$9*COS(RADIANS(K129+$B$15))))/$B$10)-((1-EXP(-$B$10*(-LN(1-$B$10*($B$8/$B$12-$B$14*COS(RADIANS(K129+$B$15)))/($B$9*COS(RADIANS(K129+$B$15))))/$B$10)))/$B$10))/$B$10)</x:f>
        <x:v>0.9999999999988449</x:v>
      </x:c>
      <x:c r="M129" s="74" t="n">
        <x:f>L129-1</x:f>
        <x:v>-1.1550760348200129e-12</x:v>
      </x:c>
    </x:row>
    <x:row r="130">
      <x:c r="A130" s="35" t="n">
        <x:v>52</x:v>
      </x:c>
      <x:c r="B130" s="74" t="n">
        <x:f>IF(F129&lt;0,D129,B129)</x:f>
        <x:v>-0.18089695346820317</x:v>
      </x:c>
      <x:c r="C130" s="74" t="n">
        <x:f>IF(F129&lt;0,C129,D129)</x:f>
        <x:v>-0.18089695346812748</x:v>
      </x:c>
      <x:c r="D130" s="74" t="n">
        <x:f>(B130+C130)/2</x:f>
        <x:v>-0.1808969534681653</x:v>
      </x:c>
      <x:c r="E130" s="74" t="n">
        <x:f>$B$13+$B$14*SIN(RADIANS(D130+$B$15))+$B$9*SIN(RADIANS(D130+$B$15))*((1-EXP(-$B$10*(-LN(1-$B$10*($B$8/$B$12-$B$14*COS(RADIANS(D130+$B$15)))/($B$9*COS(RADIANS(D130+$B$15))))/$B$10)))/$B$10)-$B$11*(((-LN(1-$B$10*($B$8/$B$12-$B$14*COS(RADIANS(D130+$B$15)))/($B$9*COS(RADIANS(D130+$B$15))))/$B$10)-((1-EXP(-$B$10*(-LN(1-$B$10*($B$8/$B$12-$B$14*COS(RADIANS(D130+$B$15)))/($B$9*COS(RADIANS(D130+$B$15))))/$B$10)))/$B$10))/$B$10)</x:f>
        <x:v>-1.0440537323574972e-12</x:v>
      </x:c>
      <x:c r="F130" s="74" t="n">
        <x:f>E130</x:f>
        <x:v>-1.0440537323574972e-12</x:v>
      </x:c>
      <x:c r="G130" s="74"/>
      <x:c r="H130" s="74" t="n">
        <x:v>52</x:v>
      </x:c>
      <x:c r="I130" s="74" t="n">
        <x:f>IF(M129&lt;0,K129,I129)</x:f>
        <x:v>0.02798618460907533</x:v>
      </x:c>
      <x:c r="J130" s="74" t="n">
        <x:f>IF(M129&lt;0,J129,K129)</x:f>
        <x:v>0.027986184609151026</x:v>
      </x:c>
      <x:c r="K130" s="74" t="n">
        <x:f>(I130+J130)/2</x:f>
        <x:v>0.027986184609113177</x:v>
      </x:c>
      <x:c r="L130" s="74" t="n">
        <x:f>$B$13+$B$14*SIN(RADIANS(K130+$B$15))+$B$9*SIN(RADIANS(K130+$B$15))*((1-EXP(-$B$10*(-LN(1-$B$10*($B$8/$B$12-$B$14*COS(RADIANS(K130+$B$15)))/($B$9*COS(RADIANS(K130+$B$15))))/$B$10)))/$B$10)-$B$11*(((-LN(1-$B$10*($B$8/$B$12-$B$14*COS(RADIANS(K130+$B$15)))/($B$9*COS(RADIANS(K130+$B$15))))/$B$10)-((1-EXP(-$B$10*(-LN(1-$B$10*($B$8/$B$12-$B$14*COS(RADIANS(K130+$B$15)))/($B$9*COS(RADIANS(K130+$B$15))))/$B$10)))/$B$10))/$B$10)</x:f>
        <x:v>0.999999999999027</x:v>
      </x:c>
      <x:c r="M130" s="74" t="n">
        <x:f>L130-1</x:f>
        <x:v>-9.729994587814872e-13</x:v>
      </x:c>
    </x:row>
    <x:row r="131">
      <x:c r="A131" s="35" t="n">
        <x:v>53</x:v>
      </x:c>
      <x:c r="B131" s="74" t="n">
        <x:f>IF(F130&lt;0,D130,B130)</x:f>
        <x:v>-0.1808969534681653</x:v>
      </x:c>
      <x:c r="C131" s="74" t="n">
        <x:f>IF(F130&lt;0,C130,D130)</x:f>
        <x:v>-0.18089695346812748</x:v>
      </x:c>
      <x:c r="D131" s="74" t="n">
        <x:f>(B131+C131)/2</x:f>
        <x:v>-0.18089695346814638</x:v>
      </x:c>
      <x:c r="E131" s="74" t="n">
        <x:f>$B$13+$B$14*SIN(RADIANS(D131+$B$15))+$B$9*SIN(RADIANS(D131+$B$15))*((1-EXP(-$B$10*(-LN(1-$B$10*($B$8/$B$12-$B$14*COS(RADIANS(D131+$B$15)))/($B$9*COS(RADIANS(D131+$B$15))))/$B$10)))/$B$10)-$B$11*(((-LN(1-$B$10*($B$8/$B$12-$B$14*COS(RADIANS(D131+$B$15)))/($B$9*COS(RADIANS(D131+$B$15))))/$B$10)-((1-EXP(-$B$10*(-LN(1-$B$10*($B$8/$B$12-$B$14*COS(RADIANS(D131+$B$15)))/($B$9*COS(RADIANS(D131+$B$15))))/$B$10)))/$B$10))/$B$10)</x:f>
        <x:v>-9.534595335480844e-13</x:v>
      </x:c>
      <x:c r="F131" s="74" t="n">
        <x:f>E131</x:f>
        <x:v>-9.534595335480844e-13</x:v>
      </x:c>
      <x:c r="G131" s="74"/>
      <x:c r="H131" s="74" t="n">
        <x:v>53</x:v>
      </x:c>
      <x:c r="I131" s="74" t="n">
        <x:f>IF(M130&lt;0,K130,I130)</x:f>
        <x:v>0.02798618460907533</x:v>
      </x:c>
      <x:c r="J131" s="74" t="n">
        <x:f>IF(M130&lt;0,J130,K130)</x:f>
        <x:v>0.027986184609113177</x:v>
      </x:c>
      <x:c r="K131" s="74" t="n">
        <x:f>(I131+J131)/2</x:f>
        <x:v>0.02798618460909425</x:v>
      </x:c>
      <x:c r="L131" s="74" t="n">
        <x:f>$B$13+$B$14*SIN(RADIANS(K131+$B$15))+$B$9*SIN(RADIANS(K131+$B$15))*((1-EXP(-$B$10*(-LN(1-$B$10*($B$8/$B$12-$B$14*COS(RADIANS(K131+$B$15)))/($B$9*COS(RADIANS(K131+$B$15))))/$B$10)))/$B$10)-$B$11*(((-LN(1-$B$10*($B$8/$B$12-$B$14*COS(RADIANS(K131+$B$15)))/($B$9*COS(RADIANS(K131+$B$15))))/$B$10)-((1-EXP(-$B$10*(-LN(1-$B$10*($B$8/$B$12-$B$14*COS(RADIANS(K131+$B$15)))/($B$9*COS(RADIANS(K131+$B$15))))/$B$10)))/$B$10))/$B$10)</x:f>
        <x:v>0.9999999999989364</x:v>
      </x:c>
      <x:c r="M131" s="74" t="n">
        <x:f>L131-1</x:f>
        <x:v>-1.0635936575909e-12</x:v>
      </x:c>
    </x:row>
    <x:row r="132">
      <x:c r="A132" s="35" t="n">
        <x:v>54</x:v>
      </x:c>
      <x:c r="B132" s="74" t="n">
        <x:f>IF(F131&lt;0,D131,B131)</x:f>
        <x:v>-0.1808969534681653</x:v>
      </x:c>
      <x:c r="C132" s="74" t="n">
        <x:f>IF(F131&lt;0,C131,D131)</x:f>
        <x:v>-0.18089695346814638</x:v>
      </x:c>
      <x:c r="D132" s="74" t="n">
        <x:f>(B132+C132)/2</x:f>
        <x:v>-0.18089695346815585</x:v>
      </x:c>
      <x:c r="E132" s="74" t="n">
        <x:f>$B$13+$B$14*SIN(RADIANS(D132+$B$15))+$B$9*SIN(RADIANS(D132+$B$15))*((1-EXP(-$B$10*(-LN(1-$B$10*($B$8/$B$12-$B$14*COS(RADIANS(D132+$B$15)))/($B$9*COS(RADIANS(D132+$B$15))))/$B$10)))/$B$10)-$B$11*(((-LN(1-$B$10*($B$8/$B$12-$B$14*COS(RADIANS(D132+$B$15)))/($B$9*COS(RADIANS(D132+$B$15))))/$B$10)-((1-EXP(-$B$10*(-LN(1-$B$10*($B$8/$B$12-$B$14*COS(RADIANS(D132+$B$15)))/($B$9*COS(RADIANS(D132+$B$15))))/$B$10)))/$B$10))/$B$10)</x:f>
        <x:v>-9.987566329527908e-13</x:v>
      </x:c>
      <x:c r="F132" s="74" t="n">
        <x:f>E132</x:f>
        <x:v>-9.987566329527908e-13</x:v>
      </x:c>
      <x:c r="G132" s="74"/>
      <x:c r="H132" s="74" t="n">
        <x:v>54</x:v>
      </x:c>
      <x:c r="I132" s="74" t="n">
        <x:f>IF(M131&lt;0,K131,I131)</x:f>
        <x:v>0.02798618460909425</x:v>
      </x:c>
      <x:c r="J132" s="74" t="n">
        <x:f>IF(M131&lt;0,J131,K131)</x:f>
        <x:v>0.027986184609113177</x:v>
      </x:c>
      <x:c r="K132" s="74" t="n">
        <x:f>(I132+J132)/2</x:f>
        <x:v>0.027986184609103716</x:v>
      </x:c>
      <x:c r="L132" s="74" t="n">
        <x:f>$B$13+$B$14*SIN(RADIANS(K132+$B$15))+$B$9*SIN(RADIANS(K132+$B$15))*((1-EXP(-$B$10*(-LN(1-$B$10*($B$8/$B$12-$B$14*COS(RADIANS(K132+$B$15)))/($B$9*COS(RADIANS(K132+$B$15))))/$B$10)))/$B$10)-$B$11*(((-LN(1-$B$10*($B$8/$B$12-$B$14*COS(RADIANS(K132+$B$15)))/($B$9*COS(RADIANS(K132+$B$15))))/$B$10)-((1-EXP(-$B$10*(-LN(1-$B$10*($B$8/$B$12-$B$14*COS(RADIANS(K132+$B$15)))/($B$9*COS(RADIANS(K132+$B$15))))/$B$10)))/$B$10))/$B$10)</x:f>
        <x:v>0.9999999999989817</x:v>
      </x:c>
      <x:c r="M132" s="74" t="n">
        <x:f>L132-1</x:f>
        <x:v>-1.0182965581861936e-12</x:v>
      </x:c>
    </x:row>
    <x:row r="133">
      <x:c r="A133" s="35" t="n">
        <x:v>55</x:v>
      </x:c>
      <x:c r="B133" s="74" t="n">
        <x:f>IF(F132&lt;0,D132,B132)</x:f>
        <x:v>-0.1808969534681653</x:v>
      </x:c>
      <x:c r="C133" s="74" t="n">
        <x:f>IF(F132&lt;0,C132,D132)</x:f>
        <x:v>-0.18089695346815585</x:v>
      </x:c>
      <x:c r="D133" s="74" t="n">
        <x:f>(B133+C133)/2</x:f>
        <x:v>-0.1808969534681606</x:v>
      </x:c>
      <x:c r="E133" s="74" t="n">
        <x:f>$B$13+$B$14*SIN(RADIANS(D133+$B$15))+$B$9*SIN(RADIANS(D133+$B$15))*((1-EXP(-$B$10*(-LN(1-$B$10*($B$8/$B$12-$B$14*COS(RADIANS(D133+$B$15)))/($B$9*COS(RADIANS(D133+$B$15))))/$B$10)))/$B$10)-$B$11*(((-LN(1-$B$10*($B$8/$B$12-$B$14*COS(RADIANS(D133+$B$15)))/($B$9*COS(RADIANS(D133+$B$15))))/$B$10)-((1-EXP(-$B$10*(-LN(1-$B$10*($B$8/$B$12-$B$14*COS(RADIANS(D133+$B$15)))/($B$9*COS(RADIANS(D133+$B$15))))/$B$10)))/$B$10))/$B$10)</x:f>
        <x:v>-1.021849271864994e-12</x:v>
      </x:c>
      <x:c r="F133" s="74" t="n">
        <x:f>E133</x:f>
        <x:v>-1.021849271864994e-12</x:v>
      </x:c>
      <x:c r="G133" s="74"/>
      <x:c r="H133" s="74" t="n">
        <x:v>55</x:v>
      </x:c>
      <x:c r="I133" s="74" t="n">
        <x:f>IF(M132&lt;0,K132,I132)</x:f>
        <x:v>0.027986184609103716</x:v>
      </x:c>
      <x:c r="J133" s="74" t="n">
        <x:f>IF(M132&lt;0,J132,K132)</x:f>
        <x:v>0.027986184609113177</x:v>
      </x:c>
      <x:c r="K133" s="74" t="n">
        <x:f>(I133+J133)/2</x:f>
        <x:v>0.02798618460910845</x:v>
      </x:c>
      <x:c r="L133" s="74" t="n">
        <x:f>$B$13+$B$14*SIN(RADIANS(K133+$B$15))+$B$9*SIN(RADIANS(K133+$B$15))*((1-EXP(-$B$10*(-LN(1-$B$10*($B$8/$B$12-$B$14*COS(RADIANS(K133+$B$15)))/($B$9*COS(RADIANS(K133+$B$15))))/$B$10)))/$B$10)-$B$11*(((-LN(1-$B$10*($B$8/$B$12-$B$14*COS(RADIANS(K133+$B$15)))/($B$9*COS(RADIANS(K133+$B$15))))/$B$10)-((1-EXP(-$B$10*(-LN(1-$B$10*($B$8/$B$12-$B$14*COS(RADIANS(K133+$B$15)))/($B$9*COS(RADIANS(K133+$B$15))))/$B$10)))/$B$10))/$B$10)</x:f>
        <x:v>0.9999999999990039</x:v>
      </x:c>
      <x:c r="M133" s="74" t="n">
        <x:f>L133-1</x:f>
        <x:v>-9.960920976936904e-13</x:v>
      </x:c>
    </x:row>
    <x:row r="134">
      <x:c r="A134" s="35" t="n">
        <x:v>56</x:v>
      </x:c>
      <x:c r="B134" s="74" t="n">
        <x:f>IF(F133&lt;0,D133,B133)</x:f>
        <x:v>-0.1808969534681606</x:v>
      </x:c>
      <x:c r="C134" s="74" t="n">
        <x:f>IF(F133&lt;0,C133,D133)</x:f>
        <x:v>-0.18089695346815585</x:v>
      </x:c>
      <x:c r="D134" s="74" t="n">
        <x:f>(B134+C134)/2</x:f>
        <x:v>-0.1808969534681582</x:v>
      </x:c>
      <x:c r="E134" s="74" t="n">
        <x:f>$B$13+$B$14*SIN(RADIANS(D134+$B$15))+$B$9*SIN(RADIANS(D134+$B$15))*((1-EXP(-$B$10*(-LN(1-$B$10*($B$8/$B$12-$B$14*COS(RADIANS(D134+$B$15)))/($B$9*COS(RADIANS(D134+$B$15))))/$B$10)))/$B$10)-$B$11*(((-LN(1-$B$10*($B$8/$B$12-$B$14*COS(RADIANS(D134+$B$15)))/($B$9*COS(RADIANS(D134+$B$15))))/$B$10)-((1-EXP(-$B$10*(-LN(1-$B$10*($B$8/$B$12-$B$14*COS(RADIANS(D134+$B$15)))/($B$9*COS(RADIANS(D134+$B$15))))/$B$10)))/$B$10))/$B$10)</x:f>
        <x:v>-1.0103029524088925e-12</x:v>
      </x:c>
      <x:c r="F134" s="74" t="n">
        <x:f>E134</x:f>
        <x:v>-1.0103029524088925e-12</x:v>
      </x:c>
      <x:c r="G134" s="74"/>
      <x:c r="H134" s="74" t="n">
        <x:v>56</x:v>
      </x:c>
      <x:c r="I134" s="74" t="n">
        <x:f>IF(M133&lt;0,K133,I133)</x:f>
        <x:v>0.027986184609103716</x:v>
      </x:c>
      <x:c r="J134" s="74" t="n">
        <x:f>IF(M133&lt;0,J133,K133)</x:f>
        <x:v>0.02798618460910845</x:v>
      </x:c>
      <x:c r="K134" s="74" t="n">
        <x:f>(I134+J134)/2</x:f>
        <x:v>0.027986184609106082</x:v>
      </x:c>
      <x:c r="L134" s="74" t="n">
        <x:f>$B$13+$B$14*SIN(RADIANS(K134+$B$15))+$B$9*SIN(RADIANS(K134+$B$15))*((1-EXP(-$B$10*(-LN(1-$B$10*($B$8/$B$12-$B$14*COS(RADIANS(K134+$B$15)))/($B$9*COS(RADIANS(K134+$B$15))))/$B$10)))/$B$10)-$B$11*(((-LN(1-$B$10*($B$8/$B$12-$B$14*COS(RADIANS(K134+$B$15)))/($B$9*COS(RADIANS(K134+$B$15))))/$B$10)-((1-EXP(-$B$10*(-LN(1-$B$10*($B$8/$B$12-$B$14*COS(RADIANS(K134+$B$15)))/($B$9*COS(RADIANS(K134+$B$15))))/$B$10)))/$B$10))/$B$10)</x:f>
        <x:v>0.9999999999989932</x:v>
      </x:c>
      <x:c r="M134" s="74" t="n">
        <x:f>L134-1</x:f>
        <x:v>-1.006750238730092e-12</x:v>
      </x:c>
    </x:row>
    <x:row r="135">
      <x:c r="A135" s="35" t="n">
        <x:v>57</x:v>
      </x:c>
      <x:c r="B135" s="74" t="n">
        <x:f>IF(F134&lt;0,D134,B134)</x:f>
        <x:v>-0.1808969534681582</x:v>
      </x:c>
      <x:c r="C135" s="74" t="n">
        <x:f>IF(F134&lt;0,C134,D134)</x:f>
        <x:v>-0.18089695346815585</x:v>
      </x:c>
      <x:c r="D135" s="74" t="n">
        <x:f>(B135+C135)/2</x:f>
        <x:v>-0.18089695346815704</x:v>
      </x:c>
      <x:c r="E135" s="74" t="n">
        <x:f>$B$13+$B$14*SIN(RADIANS(D135+$B$15))+$B$9*SIN(RADIANS(D135+$B$15))*((1-EXP(-$B$10*(-LN(1-$B$10*($B$8/$B$12-$B$14*COS(RADIANS(D135+$B$15)))/($B$9*COS(RADIANS(D135+$B$15))))/$B$10)))/$B$10)-$B$11*(((-LN(1-$B$10*($B$8/$B$12-$B$14*COS(RADIANS(D135+$B$15)))/($B$9*COS(RADIANS(D135+$B$15))))/$B$10)-((1-EXP(-$B$10*(-LN(1-$B$10*($B$8/$B$12-$B$14*COS(RADIANS(D135+$B$15)))/($B$9*COS(RADIANS(D135+$B$15))))/$B$10)))/$B$10))/$B$10)</x:f>
        <x:v>-1.0049738818906917e-12</x:v>
      </x:c>
      <x:c r="F135" s="74" t="n">
        <x:f>E135</x:f>
        <x:v>-1.0049738818906917e-12</x:v>
      </x:c>
      <x:c r="G135" s="74"/>
      <x:c r="H135" s="74" t="n">
        <x:v>57</x:v>
      </x:c>
      <x:c r="I135" s="74" t="n">
        <x:f>IF(M134&lt;0,K134,I134)</x:f>
        <x:v>0.027986184609106082</x:v>
      </x:c>
      <x:c r="J135" s="74" t="n">
        <x:f>IF(M134&lt;0,J134,K134)</x:f>
        <x:v>0.02798618460910845</x:v>
      </x:c>
      <x:c r="K135" s="74" t="n">
        <x:f>(I135+J135)/2</x:f>
        <x:v>0.027986184609107265</x:v>
      </x:c>
      <x:c r="L135" s="74" t="n">
        <x:f>$B$13+$B$14*SIN(RADIANS(K135+$B$15))+$B$9*SIN(RADIANS(K135+$B$15))*((1-EXP(-$B$10*(-LN(1-$B$10*($B$8/$B$12-$B$14*COS(RADIANS(K135+$B$15)))/($B$9*COS(RADIANS(K135+$B$15))))/$B$10)))/$B$10)-$B$11*(((-LN(1-$B$10*($B$8/$B$12-$B$14*COS(RADIANS(K135+$B$15)))/($B$9*COS(RADIANS(K135+$B$15))))/$B$10)-((1-EXP(-$B$10*(-LN(1-$B$10*($B$8/$B$12-$B$14*COS(RADIANS(K135+$B$15)))/($B$9*COS(RADIANS(K135+$B$15))))/$B$10)))/$B$10))/$B$10)</x:f>
        <x:v>0.9999999999989986</x:v>
      </x:c>
      <x:c r="M135" s="74" t="n">
        <x:f>L135-1</x:f>
        <x:v>-1.0014211682118912e-12</x:v>
      </x:c>
    </x:row>
    <x:row r="136">
      <x:c r="A136" s="35" t="n">
        <x:v>58</x:v>
      </x:c>
      <x:c r="B136" s="74" t="n">
        <x:f>IF(F135&lt;0,D135,B135)</x:f>
        <x:v>-0.18089695346815704</x:v>
      </x:c>
      <x:c r="C136" s="74" t="n">
        <x:f>IF(F135&lt;0,C135,D135)</x:f>
        <x:v>-0.18089695346815585</x:v>
      </x:c>
      <x:c r="D136" s="74" t="n">
        <x:f>(B136+C136)/2</x:f>
        <x:v>-0.18089695346815643</x:v>
      </x:c>
      <x:c r="E136" s="74" t="n">
        <x:f>$B$13+$B$14*SIN(RADIANS(D136+$B$15))+$B$9*SIN(RADIANS(D136+$B$15))*((1-EXP(-$B$10*(-LN(1-$B$10*($B$8/$B$12-$B$14*COS(RADIANS(D136+$B$15)))/($B$9*COS(RADIANS(D136+$B$15))))/$B$10)))/$B$10)-$B$11*(((-LN(1-$B$10*($B$8/$B$12-$B$14*COS(RADIANS(D136+$B$15)))/($B$9*COS(RADIANS(D136+$B$15))))/$B$10)-((1-EXP(-$B$10*(-LN(1-$B$10*($B$8/$B$12-$B$14*COS(RADIANS(D136+$B$15)))/($B$9*COS(RADIANS(D136+$B$15))))/$B$10)))/$B$10))/$B$10)</x:f>
        <x:v>-1.0018652574217413e-12</x:v>
      </x:c>
      <x:c r="F136" s="74" t="n">
        <x:f>E136</x:f>
        <x:v>-1.0018652574217413e-12</x:v>
      </x:c>
      <x:c r="G136" s="74"/>
      <x:c r="H136" s="74" t="n">
        <x:v>58</x:v>
      </x:c>
      <x:c r="I136" s="74" t="n">
        <x:f>IF(M135&lt;0,K135,I135)</x:f>
        <x:v>0.027986184609107265</x:v>
      </x:c>
      <x:c r="J136" s="74" t="n">
        <x:f>IF(M135&lt;0,J135,K135)</x:f>
        <x:v>0.02798618460910845</x:v>
      </x:c>
      <x:c r="K136" s="74" t="n">
        <x:f>(I136+J136)/2</x:f>
        <x:v>0.02798618460910786</x:v>
      </x:c>
      <x:c r="L136" s="74" t="n">
        <x:f>$B$13+$B$14*SIN(RADIANS(K136+$B$15))+$B$9*SIN(RADIANS(K136+$B$15))*((1-EXP(-$B$10*(-LN(1-$B$10*($B$8/$B$12-$B$14*COS(RADIANS(K136+$B$15)))/($B$9*COS(RADIANS(K136+$B$15))))/$B$10)))/$B$10)-$B$11*(((-LN(1-$B$10*($B$8/$B$12-$B$14*COS(RADIANS(K136+$B$15)))/($B$9*COS(RADIANS(K136+$B$15))))/$B$10)-((1-EXP(-$B$10*(-LN(1-$B$10*($B$8/$B$12-$B$14*COS(RADIANS(K136+$B$15)))/($B$9*COS(RADIANS(K136+$B$15))))/$B$10)))/$B$10))/$B$10)</x:f>
        <x:v>0.9999999999990012</x:v>
      </x:c>
      <x:c r="M136" s="74" t="n">
        <x:f>L136-1</x:f>
        <x:v>-9.987566329527908e-13</x:v>
      </x:c>
    </x:row>
    <x:row r="137">
      <x:c r="A137" s="35" t="n">
        <x:v>59</x:v>
      </x:c>
      <x:c r="B137" s="74" t="n">
        <x:f>IF(F136&lt;0,D136,B136)</x:f>
        <x:v>-0.18089695346815643</x:v>
      </x:c>
      <x:c r="C137" s="74" t="n">
        <x:f>IF(F136&lt;0,C136,D136)</x:f>
        <x:v>-0.18089695346815585</x:v>
      </x:c>
      <x:c r="D137" s="74" t="n">
        <x:f>(B137+C137)/2</x:f>
        <x:v>-0.18089695346815615</x:v>
      </x:c>
      <x:c r="E137" s="74" t="n">
        <x:f>$B$13+$B$14*SIN(RADIANS(D137+$B$15))+$B$9*SIN(RADIANS(D137+$B$15))*((1-EXP(-$B$10*(-LN(1-$B$10*($B$8/$B$12-$B$14*COS(RADIANS(D137+$B$15)))/($B$9*COS(RADIANS(D137+$B$15))))/$B$10)))/$B$10)-$B$11*(((-LN(1-$B$10*($B$8/$B$12-$B$14*COS(RADIANS(D137+$B$15)))/($B$9*COS(RADIANS(D137+$B$15))))/$B$10)-((1-EXP(-$B$10*(-LN(1-$B$10*($B$8/$B$12-$B$14*COS(RADIANS(D137+$B$15)))/($B$9*COS(RADIANS(D137+$B$15))))/$B$10)))/$B$10))/$B$10)</x:f>
        <x:v>-1.000532989792191e-12</x:v>
      </x:c>
      <x:c r="F137" s="74" t="n">
        <x:f>E137</x:f>
        <x:v>-1.000532989792191e-12</x:v>
      </x:c>
      <x:c r="G137" s="74"/>
      <x:c r="H137" s="74" t="n">
        <x:v>59</x:v>
      </x:c>
      <x:c r="I137" s="74" t="n">
        <x:f>IF(M136&lt;0,K136,I136)</x:f>
        <x:v>0.027986184609107265</x:v>
      </x:c>
      <x:c r="J137" s="74" t="n">
        <x:f>IF(M136&lt;0,J136,K136)</x:f>
        <x:v>0.02798618460910786</x:v>
      </x:c>
      <x:c r="K137" s="74" t="n">
        <x:f>(I137+J137)/2</x:f>
        <x:v>0.02798618460910756</x:v>
      </x:c>
      <x:c r="L137" s="74" t="n">
        <x:f>$B$13+$B$14*SIN(RADIANS(K137+$B$15))+$B$9*SIN(RADIANS(K137+$B$15))*((1-EXP(-$B$10*(-LN(1-$B$10*($B$8/$B$12-$B$14*COS(RADIANS(K137+$B$15)))/($B$9*COS(RADIANS(K137+$B$15))))/$B$10)))/$B$10)-$B$11*(((-LN(1-$B$10*($B$8/$B$12-$B$14*COS(RADIANS(K137+$B$15)))/($B$9*COS(RADIANS(K137+$B$15))))/$B$10)-((1-EXP(-$B$10*(-LN(1-$B$10*($B$8/$B$12-$B$14*COS(RADIANS(K137+$B$15)))/($B$9*COS(RADIANS(K137+$B$15))))/$B$10)))/$B$10))/$B$10)</x:f>
        <x:v>0.9999999999989995</x:v>
      </x:c>
      <x:c r="M137" s="74" t="n">
        <x:f>L137-1</x:f>
        <x:v>-1.000532989792191e-12</x:v>
      </x:c>
    </x:row>
    <x:row r="138">
      <x:c r="A138" s="35" t="n">
        <x:v>60</x:v>
      </x:c>
      <x:c r="B138" s="74" t="n">
        <x:f>IF(F137&lt;0,D137,B137)</x:f>
        <x:v>-0.18089695346815615</x:v>
      </x:c>
      <x:c r="C138" s="74" t="n">
        <x:f>IF(F137&lt;0,C137,D137)</x:f>
        <x:v>-0.18089695346815585</x:v>
      </x:c>
      <x:c r="D138" s="74" t="n">
        <x:f>(B138+C138)/2</x:f>
        <x:v>-0.18089695346815599</x:v>
      </x:c>
      <x:c r="E138" s="74" t="n">
        <x:f>$B$13+$B$14*SIN(RADIANS(D138+$B$15))+$B$9*SIN(RADIANS(D138+$B$15))*((1-EXP(-$B$10*(-LN(1-$B$10*($B$8/$B$12-$B$14*COS(RADIANS(D138+$B$15)))/($B$9*COS(RADIANS(D138+$B$15))))/$B$10)))/$B$10)-$B$11*(((-LN(1-$B$10*($B$8/$B$12-$B$14*COS(RADIANS(D138+$B$15)))/($B$9*COS(RADIANS(D138+$B$15))))/$B$10)-((1-EXP(-$B$10*(-LN(1-$B$10*($B$8/$B$12-$B$14*COS(RADIANS(D138+$B$15)))/($B$9*COS(RADIANS(D138+$B$15))))/$B$10)))/$B$10))/$B$10)</x:f>
        <x:v>-9.99644811372491e-13</x:v>
      </x:c>
      <x:c r="F138" s="74" t="n">
        <x:f>E138</x:f>
        <x:v>-9.99644811372491e-13</x:v>
      </x:c>
      <x:c r="G138" s="74"/>
      <x:c r="H138" s="74" t="n">
        <x:v>60</x:v>
      </x:c>
      <x:c r="I138" s="74" t="n">
        <x:f>IF(M137&lt;0,K137,I137)</x:f>
        <x:v>0.02798618460910756</x:v>
      </x:c>
      <x:c r="J138" s="74" t="n">
        <x:f>IF(M137&lt;0,J137,K137)</x:f>
        <x:v>0.02798618460910786</x:v>
      </x:c>
      <x:c r="K138" s="74" t="n">
        <x:f>(I138+J138)/2</x:f>
        <x:v>0.02798618460910771</x:v>
      </x:c>
      <x:c r="L138" s="74" t="n">
        <x:f>$B$13+$B$14*SIN(RADIANS(K138+$B$15))+$B$9*SIN(RADIANS(K138+$B$15))*((1-EXP(-$B$10*(-LN(1-$B$10*($B$8/$B$12-$B$14*COS(RADIANS(K138+$B$15)))/($B$9*COS(RADIANS(K138+$B$15))))/$B$10)))/$B$10)-$B$11*(((-LN(1-$B$10*($B$8/$B$12-$B$14*COS(RADIANS(K138+$B$15)))/($B$9*COS(RADIANS(K138+$B$15))))/$B$10)-((1-EXP(-$B$10*(-LN(1-$B$10*($B$8/$B$12-$B$14*COS(RADIANS(K138+$B$15)))/($B$9*COS(RADIANS(K138+$B$15))))/$B$10)))/$B$10))/$B$10)</x:f>
        <x:v>0.9999999999990004</x:v>
      </x:c>
      <x:c r="M138" s="74" t="n">
        <x:f>L138-1</x:f>
        <x:v>-9.99644811372491e-13</x:v>
      </x:c>
    </x:row>
    <x:row r="139">
      <x:c r="A139" s="35" t="n">
        <x:v>61</x:v>
      </x:c>
      <x:c r="B139" s="74" t="n">
        <x:f>IF(F138&lt;0,D138,B138)</x:f>
        <x:v>-0.18089695346815615</x:v>
      </x:c>
      <x:c r="C139" s="74" t="n">
        <x:f>IF(F138&lt;0,C138,D138)</x:f>
        <x:v>-0.18089695346815599</x:v>
      </x:c>
      <x:c r="D139" s="74" t="n">
        <x:f>(B139+C139)/2</x:f>
        <x:v>-0.18089695346815607</x:v>
      </x:c>
      <x:c r="E139" s="74" t="n">
        <x:f>$B$13+$B$14*SIN(RADIANS(D139+$B$15))+$B$9*SIN(RADIANS(D139+$B$15))*((1-EXP(-$B$10*(-LN(1-$B$10*($B$8/$B$12-$B$14*COS(RADIANS(D139+$B$15)))/($B$9*COS(RADIANS(D139+$B$15))))/$B$10)))/$B$10)-$B$11*(((-LN(1-$B$10*($B$8/$B$12-$B$14*COS(RADIANS(D139+$B$15)))/($B$9*COS(RADIANS(D139+$B$15))))/$B$10)-((1-EXP(-$B$10*(-LN(1-$B$10*($B$8/$B$12-$B$14*COS(RADIANS(D139+$B$15)))/($B$9*COS(RADIANS(D139+$B$15))))/$B$10)))/$B$10))/$B$10)</x:f>
        <x:v>-9.99644811372491e-13</x:v>
      </x:c>
      <x:c r="F139" s="74" t="n">
        <x:f>E139</x:f>
        <x:v>-9.99644811372491e-13</x:v>
      </x:c>
      <x:c r="G139" s="74"/>
      <x:c r="H139" s="74" t="n">
        <x:v>61</x:v>
      </x:c>
      <x:c r="I139" s="74" t="n">
        <x:f>IF(M138&lt;0,K138,I138)</x:f>
        <x:v>0.02798618460910756</x:v>
      </x:c>
      <x:c r="J139" s="74" t="n">
        <x:f>IF(M138&lt;0,J138,K138)</x:f>
        <x:v>0.02798618460910771</x:v>
      </x:c>
      <x:c r="K139" s="74" t="n">
        <x:f>(I139+J139)/2</x:f>
        <x:v>0.027986184609107637</x:v>
      </x:c>
      <x:c r="L139" s="74" t="n">
        <x:f>$B$13+$B$14*SIN(RADIANS(K139+$B$15))+$B$9*SIN(RADIANS(K139+$B$15))*((1-EXP(-$B$10*(-LN(1-$B$10*($B$8/$B$12-$B$14*COS(RADIANS(K139+$B$15)))/($B$9*COS(RADIANS(K139+$B$15))))/$B$10)))/$B$10)-$B$11*(((-LN(1-$B$10*($B$8/$B$12-$B$14*COS(RADIANS(K139+$B$15)))/($B$9*COS(RADIANS(K139+$B$15))))/$B$10)-((1-EXP(-$B$10*(-LN(1-$B$10*($B$8/$B$12-$B$14*COS(RADIANS(K139+$B$15)))/($B$9*COS(RADIANS(K139+$B$15))))/$B$10)))/$B$10))/$B$10)</x:f>
        <x:v>0.9999999999989995</x:v>
      </x:c>
      <x:c r="M139" s="74" t="n">
        <x:f>L139-1</x:f>
        <x:v>-1.000532989792191e-12</x:v>
      </x:c>
    </x:row>
    <x:row r="140">
      <x:c r="A140" s="35" t="n">
        <x:v>62</x:v>
      </x:c>
      <x:c r="B140" s="74" t="n">
        <x:f>IF(F139&lt;0,D139,B139)</x:f>
        <x:v>-0.18089695346815615</x:v>
      </x:c>
      <x:c r="C140" s="74" t="n">
        <x:f>IF(F139&lt;0,C139,D139)</x:f>
        <x:v>-0.18089695346815607</x:v>
      </x:c>
      <x:c r="D140" s="74" t="n">
        <x:f>(B140+C140)/2</x:f>
        <x:v>-0.1808969534681561</x:v>
      </x:c>
      <x:c r="E140" s="74" t="n">
        <x:f>$B$13+$B$14*SIN(RADIANS(D140+$B$15))+$B$9*SIN(RADIANS(D140+$B$15))*((1-EXP(-$B$10*(-LN(1-$B$10*($B$8/$B$12-$B$14*COS(RADIANS(D140+$B$15)))/($B$9*COS(RADIANS(D140+$B$15))))/$B$10)))/$B$10)-$B$11*(((-LN(1-$B$10*($B$8/$B$12-$B$14*COS(RADIANS(D140+$B$15)))/($B$9*COS(RADIANS(D140+$B$15))))/$B$10)-((1-EXP(-$B$10*(-LN(1-$B$10*($B$8/$B$12-$B$14*COS(RADIANS(D140+$B$15)))/($B$9*COS(RADIANS(D140+$B$15))))/$B$10)))/$B$10))/$B$10)</x:f>
        <x:v>-1.000088900582341e-12</x:v>
      </x:c>
      <x:c r="F140" s="74" t="n">
        <x:f>E140</x:f>
        <x:v>-1.000088900582341e-12</x:v>
      </x:c>
      <x:c r="G140" s="74"/>
      <x:c r="H140" s="74" t="n">
        <x:v>62</x:v>
      </x:c>
      <x:c r="I140" s="74" t="n">
        <x:f>IF(M139&lt;0,K139,I139)</x:f>
        <x:v>0.027986184609107637</x:v>
      </x:c>
      <x:c r="J140" s="74" t="n">
        <x:f>IF(M139&lt;0,J139,K139)</x:f>
        <x:v>0.02798618460910771</x:v>
      </x:c>
      <x:c r="K140" s="74" t="n">
        <x:f>(I140+J140)/2</x:f>
        <x:v>0.02798618460910767</x:v>
      </x:c>
      <x:c r="L140" s="74" t="n">
        <x:f>$B$13+$B$14*SIN(RADIANS(K140+$B$15))+$B$9*SIN(RADIANS(K140+$B$15))*((1-EXP(-$B$10*(-LN(1-$B$10*($B$8/$B$12-$B$14*COS(RADIANS(K140+$B$15)))/($B$9*COS(RADIANS(K140+$B$15))))/$B$10)))/$B$10)-$B$11*(((-LN(1-$B$10*($B$8/$B$12-$B$14*COS(RADIANS(K140+$B$15)))/($B$9*COS(RADIANS(K140+$B$15))))/$B$10)-((1-EXP(-$B$10*(-LN(1-$B$10*($B$8/$B$12-$B$14*COS(RADIANS(K140+$B$15)))/($B$9*COS(RADIANS(K140+$B$15))))/$B$10)))/$B$10))/$B$10)</x:f>
        <x:v>0.9999999999989995</x:v>
      </x:c>
      <x:c r="M140" s="74" t="n">
        <x:f>L140-1</x:f>
        <x:v>-1.000532989792191e-12</x:v>
      </x:c>
    </x:row>
    <x:row r="141">
      <x:c r="A141" s="35" t="n">
        <x:v>63</x:v>
      </x:c>
      <x:c r="B141" s="74" t="n">
        <x:f>IF(F140&lt;0,D140,B140)</x:f>
        <x:v>-0.1808969534681561</x:v>
      </x:c>
      <x:c r="C141" s="74" t="n">
        <x:f>IF(F140&lt;0,C140,D140)</x:f>
        <x:v>-0.18089695346815607</x:v>
      </x:c>
      <x:c r="D141" s="74" t="n">
        <x:f>(B141+C141)/2</x:f>
        <x:v>-0.1808969534681561</x:v>
      </x:c>
      <x:c r="E141" s="74" t="n">
        <x:f>$B$13+$B$14*SIN(RADIANS(D141+$B$15))+$B$9*SIN(RADIANS(D141+$B$15))*((1-EXP(-$B$10*(-LN(1-$B$10*($B$8/$B$12-$B$14*COS(RADIANS(D141+$B$15)))/($B$9*COS(RADIANS(D141+$B$15))))/$B$10)))/$B$10)-$B$11*(((-LN(1-$B$10*($B$8/$B$12-$B$14*COS(RADIANS(D141+$B$15)))/($B$9*COS(RADIANS(D141+$B$15))))/$B$10)-((1-EXP(-$B$10*(-LN(1-$B$10*($B$8/$B$12-$B$14*COS(RADIANS(D141+$B$15)))/($B$9*COS(RADIANS(D141+$B$15))))/$B$10)))/$B$10))/$B$10)</x:f>
        <x:v>-1.000088900582341e-12</x:v>
      </x:c>
      <x:c r="F141" s="74" t="n">
        <x:f>E141</x:f>
        <x:v>-1.000088900582341e-12</x:v>
      </x:c>
      <x:c r="G141" s="74"/>
      <x:c r="H141" s="74" t="n">
        <x:v>63</x:v>
      </x:c>
      <x:c r="I141" s="74" t="n">
        <x:f>IF(M140&lt;0,K140,I140)</x:f>
        <x:v>0.02798618460910767</x:v>
      </x:c>
      <x:c r="J141" s="74" t="n">
        <x:f>IF(M140&lt;0,J140,K140)</x:f>
        <x:v>0.02798618460910771</x:v>
      </x:c>
      <x:c r="K141" s="74" t="n">
        <x:f>(I141+J141)/2</x:f>
        <x:v>0.027986184609107692</x:v>
      </x:c>
      <x:c r="L141" s="74" t="n">
        <x:f>$B$13+$B$14*SIN(RADIANS(K141+$B$15))+$B$9*SIN(RADIANS(K141+$B$15))*((1-EXP(-$B$10*(-LN(1-$B$10*($B$8/$B$12-$B$14*COS(RADIANS(K141+$B$15)))/($B$9*COS(RADIANS(K141+$B$15))))/$B$10)))/$B$10)-$B$11*(((-LN(1-$B$10*($B$8/$B$12-$B$14*COS(RADIANS(K141+$B$15)))/($B$9*COS(RADIANS(K141+$B$15))))/$B$10)-((1-EXP(-$B$10*(-LN(1-$B$10*($B$8/$B$12-$B$14*COS(RADIANS(K141+$B$15)))/($B$9*COS(RADIANS(K141+$B$15))))/$B$10)))/$B$10))/$B$10)</x:f>
        <x:v>0.9999999999990004</x:v>
      </x:c>
      <x:c r="M141" s="74" t="n">
        <x:f>L141-1</x:f>
        <x:v>-9.99644811372491e-13</x:v>
      </x:c>
    </x:row>
    <x:row r="142">
      <x:c r="A142" s="35" t="n">
        <x:v>64</x:v>
      </x:c>
      <x:c r="B142" s="74" t="n">
        <x:f>IF(F141&lt;0,D141,B141)</x:f>
        <x:v>-0.1808969534681561</x:v>
      </x:c>
      <x:c r="C142" s="74" t="n">
        <x:f>IF(F141&lt;0,C141,D141)</x:f>
        <x:v>-0.18089695346815607</x:v>
      </x:c>
      <x:c r="D142" s="74" t="n">
        <x:f>(B142+C142)/2</x:f>
        <x:v>-0.1808969534681561</x:v>
      </x:c>
      <x:c r="E142" s="74" t="n">
        <x:f>$B$13+$B$14*SIN(RADIANS(D142+$B$15))+$B$9*SIN(RADIANS(D142+$B$15))*((1-EXP(-$B$10*(-LN(1-$B$10*($B$8/$B$12-$B$14*COS(RADIANS(D142+$B$15)))/($B$9*COS(RADIANS(D142+$B$15))))/$B$10)))/$B$10)-$B$11*(((-LN(1-$B$10*($B$8/$B$12-$B$14*COS(RADIANS(D142+$B$15)))/($B$9*COS(RADIANS(D142+$B$15))))/$B$10)-((1-EXP(-$B$10*(-LN(1-$B$10*($B$8/$B$12-$B$14*COS(RADIANS(D142+$B$15)))/($B$9*COS(RADIANS(D142+$B$15))))/$B$10)))/$B$10))/$B$10)</x:f>
        <x:v>-1.000088900582341e-12</x:v>
      </x:c>
      <x:c r="F142" s="74" t="n">
        <x:f>E142</x:f>
        <x:v>-1.000088900582341e-12</x:v>
      </x:c>
      <x:c r="G142" s="74"/>
      <x:c r="H142" s="74" t="n">
        <x:v>64</x:v>
      </x:c>
      <x:c r="I142" s="74" t="n">
        <x:f>IF(M141&lt;0,K141,I141)</x:f>
        <x:v>0.02798618460910767</x:v>
      </x:c>
      <x:c r="J142" s="74" t="n">
        <x:f>IF(M141&lt;0,J141,K141)</x:f>
        <x:v>0.027986184609107692</x:v>
      </x:c>
      <x:c r="K142" s="74" t="n">
        <x:f>(I142+J142)/2</x:f>
        <x:v>0.02798618460910768</x:v>
      </x:c>
      <x:c r="L142" s="74" t="n">
        <x:f>$B$13+$B$14*SIN(RADIANS(K142+$B$15))+$B$9*SIN(RADIANS(K142+$B$15))*((1-EXP(-$B$10*(-LN(1-$B$10*($B$8/$B$12-$B$14*COS(RADIANS(K142+$B$15)))/($B$9*COS(RADIANS(K142+$B$15))))/$B$10)))/$B$10)-$B$11*(((-LN(1-$B$10*($B$8/$B$12-$B$14*COS(RADIANS(K142+$B$15)))/($B$9*COS(RADIANS(K142+$B$15))))/$B$10)-((1-EXP(-$B$10*(-LN(1-$B$10*($B$8/$B$12-$B$14*COS(RADIANS(K142+$B$15)))/($B$9*COS(RADIANS(K142+$B$15))))/$B$10)))/$B$10))/$B$10)</x:f>
        <x:v>0.9999999999990004</x:v>
      </x:c>
      <x:c r="M142" s="74" t="n">
        <x:f>L142-1</x:f>
        <x:v>-9.99644811372491e-13</x:v>
      </x:c>
    </x:row>
    <x:row r="143">
      <x:c r="A143" s="35" t="n">
        <x:v>65</x:v>
      </x:c>
      <x:c r="B143" s="74" t="n">
        <x:f>IF(F142&lt;0,D142,B142)</x:f>
        <x:v>-0.1808969534681561</x:v>
      </x:c>
      <x:c r="C143" s="74" t="n">
        <x:f>IF(F142&lt;0,C142,D142)</x:f>
        <x:v>-0.18089695346815607</x:v>
      </x:c>
      <x:c r="D143" s="74" t="n">
        <x:f>(B143+C143)/2</x:f>
        <x:v>-0.1808969534681561</x:v>
      </x:c>
      <x:c r="E143" s="74" t="n">
        <x:f>$B$13+$B$14*SIN(RADIANS(D143+$B$15))+$B$9*SIN(RADIANS(D143+$B$15))*((1-EXP(-$B$10*(-LN(1-$B$10*($B$8/$B$12-$B$14*COS(RADIANS(D143+$B$15)))/($B$9*COS(RADIANS(D143+$B$15))))/$B$10)))/$B$10)-$B$11*(((-LN(1-$B$10*($B$8/$B$12-$B$14*COS(RADIANS(D143+$B$15)))/($B$9*COS(RADIANS(D143+$B$15))))/$B$10)-((1-EXP(-$B$10*(-LN(1-$B$10*($B$8/$B$12-$B$14*COS(RADIANS(D143+$B$15)))/($B$9*COS(RADIANS(D143+$B$15))))/$B$10)))/$B$10))/$B$10)</x:f>
        <x:v>-1.000088900582341e-12</x:v>
      </x:c>
      <x:c r="F143" s="74" t="n">
        <x:f>E143</x:f>
        <x:v>-1.000088900582341e-12</x:v>
      </x:c>
      <x:c r="G143" s="74"/>
      <x:c r="H143" s="74" t="n">
        <x:v>65</x:v>
      </x:c>
      <x:c r="I143" s="74" t="n">
        <x:f>IF(M142&lt;0,K142,I142)</x:f>
        <x:v>0.02798618460910767</x:v>
      </x:c>
      <x:c r="J143" s="74" t="n">
        <x:f>IF(M142&lt;0,J142,K142)</x:f>
        <x:v>0.02798618460910768</x:v>
      </x:c>
      <x:c r="K143" s="74" t="n">
        <x:f>(I143+J143)/2</x:f>
        <x:v>0.027986184609107678</x:v>
      </x:c>
      <x:c r="L143" s="74" t="n">
        <x:f>$B$13+$B$14*SIN(RADIANS(K143+$B$15))+$B$9*SIN(RADIANS(K143+$B$15))*((1-EXP(-$B$10*(-LN(1-$B$10*($B$8/$B$12-$B$14*COS(RADIANS(K143+$B$15)))/($B$9*COS(RADIANS(K143+$B$15))))/$B$10)))/$B$10)-$B$11*(((-LN(1-$B$10*($B$8/$B$12-$B$14*COS(RADIANS(K143+$B$15)))/($B$9*COS(RADIANS(K143+$B$15))))/$B$10)-((1-EXP(-$B$10*(-LN(1-$B$10*($B$8/$B$12-$B$14*COS(RADIANS(K143+$B$15)))/($B$9*COS(RADIANS(K143+$B$15))))/$B$10)))/$B$10))/$B$10)</x:f>
        <x:v>0.9999999999989995</x:v>
      </x:c>
      <x:c r="M143" s="74" t="n">
        <x:f>L143-1</x:f>
        <x:v>-1.000532989792191e-12</x:v>
      </x:c>
    </x:row>
    <x:row r="144">
      <x:c r="A144" s="35"/>
      <x:c r="B144" s="74"/>
      <x:c r="C144" s="74"/>
      <x:c r="D144" s="74"/>
      <x:c r="E144" s="74"/>
      <x:c r="F144" s="74"/>
      <x:c r="G144" s="74"/>
      <x:c r="H144" s="74"/>
      <x:c r="I144" s="74"/>
      <x:c r="J144" s="74"/>
      <x:c r="K144" s="74"/>
      <x:c r="L144" s="74"/>
      <x:c r="M144" s="74"/>
    </x:row>
    <x:row r="145">
      <x:c r="A145" s="35"/>
      <x:c r="B145" s="74"/>
      <x:c r="C145" s="74"/>
      <x:c r="D145" s="74"/>
      <x:c r="E145" s="74"/>
      <x:c r="F145" s="74"/>
      <x:c r="G145" s="74"/>
      <x:c r="H145" s="74"/>
      <x:c r="I145" s="74"/>
      <x:c r="J145" s="74"/>
      <x:c r="K145" s="74"/>
      <x:c r="L145" s="74"/>
      <x:c r="M145" s="74"/>
    </x:row>
    <x:row r="146">
      <x:c r="A146" s="35"/>
      <x:c r="B146" s="74"/>
      <x:c r="C146" s="74"/>
      <x:c r="D146" s="74"/>
      <x:c r="E146" s="74"/>
      <x:c r="F146" s="74"/>
      <x:c r="G146" s="74"/>
      <x:c r="H146" s="74"/>
      <x:c r="I146" s="74"/>
      <x:c r="J146" s="74"/>
      <x:c r="K146" s="74"/>
      <x:c r="L146" s="74"/>
      <x:c r="M146" s="74"/>
    </x:row>
    <x:row r="147">
      <x:c r="A147" s="72" t="str">
        <x:v>Ground lower-bound height</x:v>
      </x:c>
      <x:c r="B147" s="76" t="n">
        <x:f>$B$13+$B$14*SIN(RADIANS($B$18+$B$15))+$B$9*SIN(RADIANS($B$18+$B$15))*((1-EXP(-$B$10*(-LN(1-$B$10*($B$8/$B$12-$B$14*COS(RADIANS($B$18+$B$15)))/($B$9*COS(RADIANS($B$18+$B$15))))/$B$10)))/$B$10)-$B$11*(((-LN(1-$B$10*($B$8/$B$12-$B$14*COS(RADIANS($B$18+$B$15)))/($B$9*COS(RADIANS($B$18+$B$15))))/$B$10)-((1-EXP(-$B$10*(-LN(1-$B$10*($B$8/$B$12-$B$14*COS(RADIANS($B$18+$B$15)))/($B$9*COS(RADIANS($B$18+$B$15))))/$B$10)))/$B$10))/$B$10)</x:f>
        <x:v>-20860.20031793089</x:v>
      </x:c>
      <x:c r="C147" s="74"/>
      <x:c r="D147" s="74"/>
      <x:c r="E147" s="74"/>
      <x:c r="F147" s="74"/>
      <x:c r="G147" s="76" t="str">
        <x:v>Airburst lower-bound height</x:v>
      </x:c>
      <x:c r="H147" s="76" t="n">
        <x:f>$B$13+$B$14*SIN(RADIANS($B$18+$B$15))+$B$9*SIN(RADIANS($B$18+$B$15))*((1-EXP(-$B$10*(-LN(1-$B$10*($B$8/$B$12-$B$14*COS(RADIANS($B$18+$B$15)))/($B$9*COS(RADIANS($B$18+$B$15))))/$B$10)))/$B$10)-$B$11*(((-LN(1-$B$10*($B$8/$B$12-$B$14*COS(RADIANS($B$18+$B$15)))/($B$9*COS(RADIANS($B$18+$B$15))))/$B$10)-((1-EXP(-$B$10*(-LN(1-$B$10*($B$8/$B$12-$B$14*COS(RADIANS($B$18+$B$15)))/($B$9*COS(RADIANS($B$18+$B$15))))/$B$10)))/$B$10))/$B$10)</x:f>
        <x:v>-20860.20031793089</x:v>
      </x:c>
      <x:c r="I147" s="74"/>
      <x:c r="J147" s="74"/>
      <x:c r="K147" s="74"/>
      <x:c r="L147" s="74"/>
      <x:c r="M147" s="74"/>
    </x:row>
    <x:row r="148">
      <x:c r="A148" s="72" t="str">
        <x:v>Ground fuze</x:v>
      </x:c>
      <x:c r="B148" s="76" t="n">
        <x:f>-LN(1-$B$10*($B$8/$B$12-$B$14*COS(RADIANS((($B$143+$C$143)/2)+$B$15)))/($B$9*COS(RADIANS((($B$143+$C$143)/2)+$B$15))))/$B$10</x:f>
        <x:v>0.7703391864097384</x:v>
      </x:c>
      <x:c r="C148" s="74"/>
      <x:c r="D148" s="74"/>
      <x:c r="E148" s="74"/>
      <x:c r="F148" s="74"/>
      <x:c r="G148" s="76" t="str">
        <x:v>Airburst fuze</x:v>
      </x:c>
      <x:c r="H148" s="76" t="n">
        <x:f>-LN(1-$B$10*($B$8/$B$12-$B$14*COS(RADIANS((($I$143+$J$143)/2)+$B$15)))/($B$9*COS(RADIANS((($I$143+$J$143)/2)+$B$15))))/$B$10</x:f>
        <x:v>0.7703597491235804</x:v>
      </x:c>
      <x:c r="I148" s="74"/>
      <x:c r="J148" s="74"/>
      <x:c r="K148" s="74"/>
      <x:c r="L148" s="74"/>
      <x:c r="M148" s="74"/>
    </x:row>
  </x:sheetData>
  <x:pageMargins left="0.7" right="0.7" top="0.75" bottom="0.75" header="0.3" footer="0.3"/>
</x:worksheet>
</file>